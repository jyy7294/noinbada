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61d05910c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_요약" sheetId="1" r:id="R496a6b2a8c924035"/>
    <x:sheet xmlns:r="http://schemas.openxmlformats.org/officeDocument/2006/relationships" name="판정기준" sheetId="2" r:id="R7dc29cb770f942ab"/>
    <x:sheet xmlns:r="http://schemas.openxmlformats.org/officeDocument/2006/relationships" name="사례원장" sheetId="3" r:id="R7b0044811e8d473a"/>
    <x:sheet xmlns:r="http://schemas.openxmlformats.org/officeDocument/2006/relationships" name="강한밈" sheetId="4" r:id="Re71cb0d8ad6e4ab9"/>
    <x:sheet xmlns:r="http://schemas.openxmlformats.org/officeDocument/2006/relationships" name="정책문화_혼합" sheetId="5" r:id="R9ba4ab004aac46a1"/>
    <x:sheet xmlns:r="http://schemas.openxmlformats.org/officeDocument/2006/relationships" name="해외비교" sheetId="6" r:id="R5f4340f78ac040bb"/>
    <x:sheet xmlns:r="http://schemas.openxmlformats.org/officeDocument/2006/relationships" name="후보_제외" sheetId="7" r:id="Rff374cc414b245ea"/>
    <x:sheet xmlns:r="http://schemas.openxmlformats.org/officeDocument/2006/relationships" name="출처" sheetId="8" r:id="R54b43c65f0db4903"/>
    <x:sheet xmlns:r="http://schemas.openxmlformats.org/officeDocument/2006/relationships" name="검증" sheetId="9" r:id="Rbce0d1354d0f4dff"/>
    <x:sheet xmlns:r="http://schemas.openxmlformats.org/officeDocument/2006/relationships" name="SNS소비_확장" sheetId="10" r:id="R2fcdf8b5a3dc4e85"/>
    <x:sheet xmlns:r="http://schemas.openxmlformats.org/officeDocument/2006/relationships" name="연도태그" sheetId="11" r:id="R5c2541d24b2d41e0"/>
    <x:sheet xmlns:r="http://schemas.openxmlformats.org/officeDocument/2006/relationships" name="초기확장_2009_2010" sheetId="12" r:id="R7fdb3a8bd326417e"/>
    <x:sheet xmlns:r="http://schemas.openxmlformats.org/officeDocument/2006/relationships" name="2009_2026_커버리지" sheetId="13" r:id="R3152beb6a71b415f"/>
    <x:sheet xmlns:r="http://schemas.openxmlformats.org/officeDocument/2006/relationships" name="수집한계_방법" sheetId="14" r:id="R17ca3f164b484df7"/>
    <x:sheet xmlns:r="http://schemas.openxmlformats.org/officeDocument/2006/relationships" name="광범위_경계코퍼스" sheetId="15" r:id="R7a151a98ead547ba"/>
    <x:sheet xmlns:r="http://schemas.openxmlformats.org/officeDocument/2006/relationships" name="분류_실험실" sheetId="16" r:id="R1791eacfd33d4896"/>
    <x:sheet xmlns:r="http://schemas.openxmlformats.org/officeDocument/2006/relationships" name="수집_판정가이드" sheetId="17" r:id="Rd24a9bd8947b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00000"/>
    <x:numFmt numFmtId="201" formatCode="0.00;[Red]-0.00;-"/>
    <x:numFmt numFmtId="202" formatCode="0.00"/>
    <x:numFmt numFmtId="203" formatCode="0.0%"/>
    <x:numFmt numFmtId="204" formatCode="0"/>
  </x:numFmts>
  <x:fonts count="1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B1F4D"/>
      <x:name val="Carlito"/>
    </x:font>
    <x:font>
      <x:b/>
      <x:sz val="11"/>
      <x:color rgb="FF0B1F4D"/>
      <x:name val="Carlito"/>
    </x:font>
    <x:font>
      <x:b/>
      <x:sz val="11"/>
      <x:color rgb="FFFFFFFF"/>
      <x:name val="Carlito"/>
    </x:font>
    <x:font>
      <x:b/>
      <x:sz val="22"/>
      <x:color rgb="FF246BCE"/>
      <x:name val="Carlito"/>
    </x:font>
    <x:font>
      <x:b/>
      <x:sz val="11"/>
      <x:color rgb="FF8A1C1C"/>
      <x:name val="Carlito"/>
    </x:font>
    <x:font>
      <x:sz val="11"/>
      <x:color rgb="FF246BCE"/>
      <x:name val="Carlito"/>
    </x:font>
    <x:font>
      <x:b/>
      <x:sz val="11"/>
      <x:color rgb="FF6A4A00"/>
      <x:name val="Carlito"/>
    </x:font>
    <x:font>
      <x:b/>
      <x:sz val="11"/>
      <x:name val="Carlito"/>
    </x:font>
    <x:font>
      <x:sz val="11"/>
      <x:color rgb="FF0B1F4D"/>
      <x:name val="Carlito"/>
    </x:font>
    <x:font>
      <x:sz val="11"/>
      <x:color rgb="FF0B1F4D"/>
      <x:name val="Carlito"/>
    </x:font>
    <x:font>
      <x:i/>
      <x:sz val="11"/>
      <x:color rgb="FF0B1F4D"/>
      <x:name val="Carlito"/>
    </x:font>
    <x:font>
      <x:b/>
      <x:sz val="16"/>
      <x:color rgb="FFFFFFFF"/>
      <x:name val="Carlito"/>
    </x:font>
    <x:font>
      <x:sz val="10"/>
      <x:color rgb="FF475569"/>
      <x:name val="Carlito"/>
    </x:font>
    <x:font>
      <x:b/>
      <x:sz val="13"/>
      <x:color rgb="FF0B1F4D"/>
      <x:name val="Carlito"/>
    </x:font>
    <x:font>
      <x:sz val="11"/>
      <x:color rgb="FF475569"/>
      <x:name val="Carlito"/>
    </x:font>
    <x:font>
      <x:b/>
      <x:sz val="14"/>
      <x:color rgb="FFFFFFFF"/>
      <x:name val="Carlito"/>
    </x:font>
    <x:font>
      <x:b/>
      <x:sz val="11"/>
      <x:color rgb="FF92400E"/>
      <x:name val="Carlito"/>
    </x:font>
  </x:fonts>
  <x:fills count="36">
    <x:fill>
      <x:patternFill patternType="none"/>
    </x:fill>
    <x:fill>
      <x:patternFill patternType="gray125"/>
    </x:fill>
    <x:fill>
      <x:patternFill patternType="solid">
        <x:fgColor rgb="FF0B1F4D"/>
      </x:patternFill>
    </x:fill>
    <x:fill>
      <x:patternFill patternType="solid">
        <x:fgColor rgb="FFEAF2FF"/>
      </x:patternFill>
    </x:fill>
    <x:fill>
      <x:patternFill patternType="solid">
        <x:fgColor rgb="FFFFF0F6"/>
      </x:patternFill>
    </x:fill>
    <x:fill>
      <x:patternFill patternType="solid">
        <x:fgColor rgb="FF246BCE"/>
      </x:patternFill>
    </x:fill>
    <x:fill>
      <x:patternFill patternType="solid">
        <x:fgColor rgb="FFFDE2E2"/>
      </x:patternFill>
    </x:fill>
    <x:fill>
      <x:patternFill patternType="solid">
        <x:fgColor rgb="FFF3F5F8"/>
      </x:patternFill>
    </x:fill>
    <x:fill>
      <x:patternFill patternType="solid">
        <x:fgColor rgb="FFFFF2CC"/>
      </x:patternFill>
    </x:fill>
    <x:fill>
      <x:patternFill patternType="solid">
        <x:fgColor rgb="FFE3F6EC"/>
      </x:patternFill>
    </x:fill>
    <x:fill>
      <x:patternFill patternType="solid">
        <x:fgColor rgb="FFD9EAF7"/>
      </x:patternFill>
    </x:fill>
    <x:fill>
      <x:patternFill patternType="solid">
        <x:fgColor rgb="FFF3E8FF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FFE3F0"/>
      </x:patternFill>
    </x:fill>
    <x:fill>
      <x:patternFill patternType="solid">
        <x:fgColor rgb="FFFFF0F6"/>
      </x:patternFill>
    </x:fill>
    <x:fill>
      <x:patternFill patternType="solid">
        <x:fgColor rgb="FFEAF2FF"/>
      </x:patternFill>
    </x:fill>
    <x:fill>
      <x:patternFill patternType="solid">
        <x:fgColor rgb="FF246BCE"/>
      </x:patternFill>
    </x:fill>
    <x:fill>
      <x:patternFill patternType="solid">
        <x:fgColor rgb="FF0B1F4D"/>
      </x:patternFill>
    </x:fill>
    <x:fill>
      <x:patternFill patternType="solid">
        <x:fgColor rgb="FFF7FAFF"/>
      </x:patternFill>
    </x:fill>
    <x:fill>
      <x:patternFill patternType="solid">
        <x:fgColor rgb="FF0B1F4D"/>
      </x:patternFill>
    </x:fill>
    <x:fill>
      <x:patternFill patternType="solid">
        <x:fgColor rgb="FFEAF2FF"/>
      </x:patternFill>
    </x:fill>
    <x:fill>
      <x:patternFill patternType="solid">
        <x:fgColor rgb="FF246BCE"/>
      </x:patternFill>
    </x:fill>
    <x:fill>
      <x:patternFill patternType="solid">
        <x:fgColor rgb="FFDFF3FF"/>
      </x:patternFill>
    </x:fill>
    <x:fill>
      <x:patternFill patternType="solid">
        <x:fgColor rgb="FFFFF2CC"/>
      </x:patternFill>
    </x:fill>
    <x:fill>
      <x:patternFill patternType="solid">
        <x:fgColor rgb="FFF3E8FF"/>
      </x:patternFill>
    </x:fill>
    <x:fill>
      <x:patternFill patternType="solid">
        <x:fgColor rgb="FFF7FAFF"/>
      </x:patternFill>
    </x:fill>
    <x:fill>
      <x:patternFill patternType="solid">
        <x:fgColor rgb="FF0B1F4D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0B1F4D"/>
      </x:patternFill>
    </x:fill>
    <x:fill>
      <x:patternFill patternType="solid">
        <x:fgColor rgb="FFEFF6FF"/>
      </x:patternFill>
    </x:fill>
    <x:fill>
      <x:patternFill patternType="solid">
        <x:fgColor rgb="FF0E7490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</x:fills>
  <x:borders count="23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medium">
        <x:color rgb="FFE57373"/>
      </x:left>
      <x:top style="medium">
        <x:color rgb="FFE57373"/>
      </x:top>
    </x:border>
    <x:border>
      <x:top style="medium">
        <x:color rgb="FFE57373"/>
      </x:top>
    </x:border>
    <x:border>
      <x:right style="medium">
        <x:color rgb="FFE57373"/>
      </x:right>
      <x:top style="medium">
        <x:color rgb="FFE57373"/>
      </x:top>
    </x:border>
    <x:border>
      <x:left style="medium">
        <x:color rgb="FFE57373"/>
      </x:left>
      <x:bottom style="medium">
        <x:color rgb="FFE57373"/>
      </x:bottom>
    </x:border>
    <x:border>
      <x:bottom style="medium">
        <x:color rgb="FFE57373"/>
      </x:bottom>
    </x:border>
    <x:border>
      <x:right style="medium">
        <x:color rgb="FFE57373"/>
      </x:right>
      <x:bottom style="medium">
        <x:color rgb="FFE5737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D6B656"/>
      </x:left>
      <x:top style="medium">
        <x:color rgb="FFD6B656"/>
      </x:top>
    </x:border>
    <x:border>
      <x:top style="medium">
        <x:color rgb="FFD6B656"/>
      </x:top>
    </x:border>
    <x:border>
      <x:right style="medium">
        <x:color rgb="FFD6B656"/>
      </x:right>
      <x:top style="medium">
        <x:color rgb="FFD6B656"/>
      </x:top>
    </x:border>
    <x:border>
      <x:left style="medium">
        <x:color rgb="FFD6B656"/>
      </x:left>
    </x:border>
    <x:border>
      <x:right style="medium">
        <x:color rgb="FFD6B656"/>
      </x:right>
    </x:border>
    <x:border>
      <x:left style="medium">
        <x:color rgb="FFD6B656"/>
      </x:left>
      <x:bottom style="medium">
        <x:color rgb="FFD6B656"/>
      </x:bottom>
    </x:border>
    <x:border>
      <x:bottom style="medium">
        <x:color rgb="FFD6B656"/>
      </x:bottom>
    </x:border>
    <x:border>
      <x:right style="medium">
        <x:color rgb="FFD6B656"/>
      </x:right>
      <x:bottom style="medium">
        <x:color rgb="FFD6B656"/>
      </x:bottom>
    </x:border>
    <x:border>
      <x:left style="thin">
        <x:color rgb="FFD9DEE8"/>
      </x:left>
      <x:top style="thin">
        <x:color rgb="FFD9DEE8"/>
      </x:top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  <x:bottom style="thin">
        <x:color rgb="FFD9DEE8"/>
      </x:bottom>
    </x:border>
    <x:border>
      <x:right style="thin">
        <x:color rgb="FFD9DEE8"/>
      </x:right>
      <x:bottom style="thin">
        <x:color rgb="FFD9DEE8"/>
      </x:bottom>
    </x:border>
    <x:border>
      <x:top style="thin">
        <x:color rgb="FFD9DEE8"/>
      </x:top>
    </x:border>
    <x:border>
      <x:bottom style="thin">
        <x:color rgb="FFD9DEE8"/>
      </x:bottom>
    </x:border>
  </x:borders>
  <x:cellStyleXfs count="1">
    <x:xf numFmtId="0" fontId="0" fillId="0" borderId="0"/>
  </x:cellStyleXfs>
  <x:cellXfs count="3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4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6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0" fontId="8" fillId="8" borderId="13" xfId="0" applyNumberFormat="1" applyFont="1" applyFill="1" applyBorder="1"/>
    <x:xf numFmtId="0" fontId="8" fillId="8" borderId="14" xfId="0" applyNumberFormat="1" applyFont="1" applyFill="1" applyBorder="1"/>
    <x:xf numFmtId="0" fontId="8" fillId="8" borderId="15" xfId="0" applyNumberFormat="1" applyFont="1" applyFill="1" applyBorder="1"/>
    <x:xf numFmtId="0" fontId="8" fillId="8" borderId="16" xfId="0" applyNumberFormat="1" applyFont="1" applyFill="1" applyBorder="1"/>
    <x:xf numFmtId="0" fontId="8" fillId="8" borderId="9" xfId="0" applyNumberFormat="1" applyFont="1" applyFill="1" applyBorder="1" applyAlignment="1">
      <x:alignment wrapText="1"/>
    </x:xf>
    <x:xf numFmtId="0" fontId="8" fillId="8" borderId="10" xfId="0" applyNumberFormat="1" applyFont="1" applyFill="1" applyBorder="1" applyAlignment="1">
      <x:alignment wrapText="1"/>
    </x:xf>
    <x:xf numFmtId="0" fontId="8" fillId="8" borderId="11" xfId="0" applyNumberFormat="1" applyFont="1" applyFill="1" applyBorder="1" applyAlignment="1">
      <x:alignment wrapText="1"/>
    </x:xf>
    <x:xf numFmtId="0" fontId="8" fillId="8" borderId="12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13" xfId="0" applyNumberFormat="1" applyFont="1" applyFill="1" applyBorder="1" applyAlignment="1">
      <x:alignment wrapText="1"/>
    </x:xf>
    <x:xf numFmtId="0" fontId="8" fillId="8" borderId="14" xfId="0" applyNumberFormat="1" applyFont="1" applyFill="1" applyBorder="1" applyAlignment="1">
      <x:alignment wrapText="1"/>
    </x:xf>
    <x:xf numFmtId="0" fontId="8" fillId="8" borderId="15" xfId="0" applyNumberFormat="1" applyFont="1" applyFill="1" applyBorder="1" applyAlignment="1">
      <x:alignment wrapText="1"/>
    </x:xf>
    <x:xf numFmtId="0" fontId="8" fillId="8" borderId="16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horizontal="center" wrapText="1"/>
    </x:xf>
    <x:xf numFmtId="0" fontId="8" fillId="8" borderId="10" xfId="0" applyNumberFormat="1" applyFont="1" applyFill="1" applyBorder="1" applyAlignment="1">
      <x:alignment horizontal="center" wrapText="1"/>
    </x:xf>
    <x:xf numFmtId="0" fontId="8" fillId="8" borderId="11" xfId="0" applyNumberFormat="1" applyFont="1" applyFill="1" applyBorder="1" applyAlignment="1">
      <x:alignment horizontal="center" wrapText="1"/>
    </x:xf>
    <x:xf numFmtId="0" fontId="8" fillId="8" borderId="12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13" xfId="0" applyNumberFormat="1" applyFont="1" applyFill="1" applyBorder="1" applyAlignment="1">
      <x:alignment horizontal="center" wrapText="1"/>
    </x:xf>
    <x:xf numFmtId="0" fontId="8" fillId="8" borderId="14" xfId="0" applyNumberFormat="1" applyFont="1" applyFill="1" applyBorder="1" applyAlignment="1">
      <x:alignment horizontal="center" wrapText="1"/>
    </x:xf>
    <x:xf numFmtId="0" fontId="8" fillId="8" borderId="15" xfId="0" applyNumberFormat="1" applyFont="1" applyFill="1" applyBorder="1" applyAlignment="1">
      <x:alignment horizontal="center" wrapText="1"/>
    </x:xf>
    <x:xf numFmtId="0" fontId="8" fillId="8" borderId="16" xfId="0" applyNumberFormat="1" applyFont="1" applyFill="1" applyBorder="1" applyAlignment="1">
      <x:alignment horizont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8" fillId="8" borderId="10" xfId="0" applyNumberFormat="1" applyFont="1" applyFill="1" applyBorder="1" applyAlignment="1">
      <x:alignment horizontal="center" vertical="center" wrapText="1"/>
    </x:xf>
    <x:xf numFmtId="0" fontId="8" fillId="8" borderId="11" xfId="0" applyNumberFormat="1" applyFont="1" applyFill="1" applyBorder="1" applyAlignment="1">
      <x:alignment horizontal="center" vertical="center" wrapText="1"/>
    </x:xf>
    <x:xf numFmtId="0" fontId="8" fillId="8" borderId="12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13" xfId="0" applyNumberFormat="1" applyFont="1" applyFill="1" applyBorder="1" applyAlignment="1">
      <x:alignment horizontal="center" vertical="center" wrapText="1"/>
    </x:xf>
    <x:xf numFmtId="0" fontId="8" fillId="8" borderId="14" xfId="0" applyNumberFormat="1" applyFont="1" applyFill="1" applyBorder="1" applyAlignment="1">
      <x:alignment horizontal="center" vertical="center" wrapText="1"/>
    </x:xf>
    <x:xf numFmtId="0" fontId="8" fillId="8" borderId="15" xfId="0" applyNumberFormat="1" applyFont="1" applyFill="1" applyBorder="1" applyAlignment="1">
      <x:alignment horizontal="center" vertical="center" wrapText="1"/>
    </x:xf>
    <x:xf numFmtId="0" fontId="8" fillId="8" borderId="16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17" xfId="0" applyNumberFormat="1" applyFont="1" applyFill="1" applyBorder="1"/>
    <x:xf numFmtId="0" fontId="3" fillId="15" borderId="18" xfId="0" applyNumberFormat="1" applyFont="1" applyFill="1" applyBorder="1"/>
    <x:xf numFmtId="0" fontId="3" fillId="15" borderId="19" xfId="0" applyNumberFormat="1" applyFont="1" applyFill="1" applyBorder="1"/>
    <x:xf numFmtId="0" fontId="3" fillId="15" borderId="20" xfId="0" applyNumberFormat="1" applyFont="1" applyFill="1" applyBorder="1"/>
    <x:xf numFmtId="0" fontId="3" fillId="15" borderId="17" xfId="0" applyNumberFormat="1" applyFont="1" applyFill="1" applyBorder="1" applyAlignment="1">
      <x:alignment wrapText="1"/>
    </x:xf>
    <x:xf numFmtId="0" fontId="3" fillId="15" borderId="18" xfId="0" applyNumberFormat="1" applyFont="1" applyFill="1" applyBorder="1" applyAlignment="1">
      <x:alignment wrapText="1"/>
    </x:xf>
    <x:xf numFmtId="0" fontId="3" fillId="15" borderId="19" xfId="0" applyNumberFormat="1" applyFont="1" applyFill="1" applyBorder="1" applyAlignment="1">
      <x:alignment wrapText="1"/>
    </x:xf>
    <x:xf numFmtId="0" fontId="3" fillId="15" borderId="20" xfId="0" applyNumberFormat="1" applyFont="1" applyFill="1" applyBorder="1" applyAlignment="1">
      <x:alignment wrapText="1"/>
    </x:xf>
    <x:xf numFmtId="0" fontId="3" fillId="15" borderId="17" xfId="0" applyNumberFormat="1" applyFont="1" applyFill="1" applyBorder="1" applyAlignment="1">
      <x:alignment horizontal="center" wrapText="1"/>
    </x:xf>
    <x:xf numFmtId="0" fontId="3" fillId="15" borderId="18" xfId="0" applyNumberFormat="1" applyFont="1" applyFill="1" applyBorder="1" applyAlignment="1">
      <x:alignment horizontal="center" wrapText="1"/>
    </x:xf>
    <x:xf numFmtId="0" fontId="3" fillId="15" borderId="19" xfId="0" applyNumberFormat="1" applyFont="1" applyFill="1" applyBorder="1" applyAlignment="1">
      <x:alignment horizontal="center" wrapText="1"/>
    </x:xf>
    <x:xf numFmtId="0" fontId="3" fillId="15" borderId="20" xfId="0" applyNumberFormat="1" applyFont="1" applyFill="1" applyBorder="1" applyAlignment="1">
      <x:alignment horizontal="center" wrapText="1"/>
    </x:xf>
    <x:xf numFmtId="0" fontId="3" fillId="15" borderId="17" xfId="0" applyNumberFormat="1" applyFont="1" applyFill="1" applyBorder="1" applyAlignment="1">
      <x:alignment horizontal="center" vertical="center" wrapText="1"/>
    </x:xf>
    <x:xf numFmtId="0" fontId="3" fillId="15" borderId="18" xfId="0" applyNumberFormat="1" applyFont="1" applyFill="1" applyBorder="1" applyAlignment="1">
      <x:alignment horizontal="center" vertical="center" wrapText="1"/>
    </x:xf>
    <x:xf numFmtId="0" fontId="3" fillId="15" borderId="19" xfId="0" applyNumberFormat="1" applyFont="1" applyFill="1" applyBorder="1" applyAlignment="1">
      <x:alignment horizontal="center" vertical="center" wrapText="1"/>
    </x:xf>
    <x:xf numFmtId="0" fontId="3" fillId="15" borderId="2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17" xfId="0" applyNumberFormat="1" applyFont="1" applyFill="1" applyBorder="1"/>
    <x:xf numFmtId="0" fontId="3" fillId="16" borderId="18" xfId="0" applyNumberFormat="1" applyFont="1" applyFill="1" applyBorder="1"/>
    <x:xf numFmtId="0" fontId="3" fillId="16" borderId="19" xfId="0" applyNumberFormat="1" applyFont="1" applyFill="1" applyBorder="1"/>
    <x:xf numFmtId="0" fontId="3" fillId="16" borderId="20" xfId="0" applyNumberFormat="1" applyFont="1" applyFill="1" applyBorder="1"/>
    <x:xf numFmtId="0" fontId="3" fillId="16" borderId="17" xfId="0" applyNumberFormat="1" applyFont="1" applyFill="1" applyBorder="1" applyAlignment="1">
      <x:alignment wrapText="1"/>
    </x:xf>
    <x:xf numFmtId="0" fontId="3" fillId="16" borderId="18" xfId="0" applyNumberFormat="1" applyFont="1" applyFill="1" applyBorder="1" applyAlignment="1">
      <x:alignment wrapText="1"/>
    </x:xf>
    <x:xf numFmtId="0" fontId="3" fillId="16" borderId="19" xfId="0" applyNumberFormat="1" applyFont="1" applyFill="1" applyBorder="1" applyAlignment="1">
      <x:alignment wrapText="1"/>
    </x:xf>
    <x:xf numFmtId="0" fontId="3" fillId="16" borderId="20" xfId="0" applyNumberFormat="1" applyFont="1" applyFill="1" applyBorder="1" applyAlignment="1">
      <x:alignment wrapText="1"/>
    </x:xf>
    <x:xf numFmtId="0" fontId="3" fillId="16" borderId="17" xfId="0" applyNumberFormat="1" applyFont="1" applyFill="1" applyBorder="1" applyAlignment="1">
      <x:alignment horizontal="center" wrapText="1"/>
    </x:xf>
    <x:xf numFmtId="0" fontId="3" fillId="16" borderId="18" xfId="0" applyNumberFormat="1" applyFont="1" applyFill="1" applyBorder="1" applyAlignment="1">
      <x:alignment horizontal="center" wrapText="1"/>
    </x:xf>
    <x:xf numFmtId="0" fontId="3" fillId="16" borderId="19" xfId="0" applyNumberFormat="1" applyFont="1" applyFill="1" applyBorder="1" applyAlignment="1">
      <x:alignment horizontal="center" wrapText="1"/>
    </x:xf>
    <x:xf numFmtId="0" fontId="3" fillId="16" borderId="20" xfId="0" applyNumberFormat="1" applyFont="1" applyFill="1" applyBorder="1" applyAlignment="1">
      <x:alignment horizontal="center" wrapText="1"/>
    </x:xf>
    <x:xf numFmtId="0" fontId="3" fillId="16" borderId="17" xfId="0" applyNumberFormat="1" applyFont="1" applyFill="1" applyBorder="1" applyAlignment="1">
      <x:alignment horizontal="center" vertical="center" wrapText="1"/>
    </x:xf>
    <x:xf numFmtId="0" fontId="3" fillId="16" borderId="18" xfId="0" applyNumberFormat="1" applyFont="1" applyFill="1" applyBorder="1" applyAlignment="1">
      <x:alignment horizontal="center" vertical="center" wrapText="1"/>
    </x:xf>
    <x:xf numFmtId="0" fontId="3" fillId="16" borderId="19" xfId="0" applyNumberFormat="1" applyFont="1" applyFill="1" applyBorder="1" applyAlignment="1">
      <x:alignment horizontal="center" vertical="center" wrapText="1"/>
    </x:xf>
    <x:xf numFmtId="0" fontId="3" fillId="16" borderId="20" xfId="0" applyNumberFormat="1" applyFont="1" applyFill="1" applyBorder="1" applyAlignment="1">
      <x:alignment horizontal="center" vertical="center" wrapText="1"/>
    </x:xf>
    <x:xf numFmtId="0" fontId="3" fillId="16" borderId="21" xfId="0" applyNumberFormat="1" applyFont="1" applyFill="1" applyBorder="1"/>
    <x:xf numFmtId="0" fontId="3" fillId="16" borderId="22" xfId="0" applyNumberFormat="1" applyFont="1" applyFill="1" applyBorder="1"/>
    <x:xf numFmtId="0" fontId="3" fillId="16" borderId="21" xfId="0" applyNumberFormat="1" applyFont="1" applyFill="1" applyBorder="1" applyAlignment="1">
      <x:alignment wrapText="1"/>
    </x:xf>
    <x:xf numFmtId="0" fontId="3" fillId="16" borderId="22" xfId="0" applyNumberFormat="1" applyFont="1" applyFill="1" applyBorder="1" applyAlignment="1">
      <x:alignment wrapText="1"/>
    </x:xf>
    <x:xf numFmtId="0" fontId="3" fillId="16" borderId="21" xfId="0" applyNumberFormat="1" applyFont="1" applyFill="1" applyBorder="1" applyAlignment="1">
      <x:alignment horizontal="center" wrapText="1"/>
    </x:xf>
    <x:xf numFmtId="0" fontId="3" fillId="16" borderId="22" xfId="0" applyNumberFormat="1" applyFont="1" applyFill="1" applyBorder="1" applyAlignment="1">
      <x:alignment horizontal="center" wrapText="1"/>
    </x:xf>
    <x:xf numFmtId="0" fontId="3" fillId="16" borderId="21" xfId="0" applyNumberFormat="1" applyFont="1" applyFill="1" applyBorder="1" applyAlignment="1">
      <x:alignment horizontal="center" vertical="center" wrapText="1"/>
    </x:xf>
    <x:xf numFmtId="0" fontId="3" fillId="16" borderId="22" xfId="0" applyNumberFormat="1" applyFont="1" applyFill="1" applyBorder="1" applyAlignment="1">
      <x:alignment horizontal="center" vertical="center" wrapText="1"/>
    </x:xf>
    <x:xf numFmtId="0" fontId="3" fillId="9" borderId="17" xfId="0" applyNumberFormat="1" applyFont="1" applyFill="1" applyBorder="1"/>
    <x:xf numFmtId="0" fontId="3" fillId="9" borderId="18" xfId="0" applyNumberFormat="1" applyFont="1" applyFill="1" applyBorder="1"/>
    <x:xf numFmtId="0" fontId="3" fillId="9" borderId="19" xfId="0" applyNumberFormat="1" applyFont="1" applyFill="1" applyBorder="1"/>
    <x:xf numFmtId="0" fontId="3" fillId="9" borderId="20" xfId="0" applyNumberFormat="1" applyFont="1" applyFill="1" applyBorder="1"/>
    <x:xf numFmtId="0" fontId="3" fillId="9" borderId="17" xfId="0" applyNumberFormat="1" applyFont="1" applyFill="1" applyBorder="1" applyAlignment="1">
      <x:alignment wrapText="1"/>
    </x:xf>
    <x:xf numFmtId="0" fontId="3" fillId="9" borderId="18" xfId="0" applyNumberFormat="1" applyFont="1" applyFill="1" applyBorder="1" applyAlignment="1">
      <x:alignment wrapText="1"/>
    </x:xf>
    <x:xf numFmtId="0" fontId="3" fillId="9" borderId="19" xfId="0" applyNumberFormat="1" applyFont="1" applyFill="1" applyBorder="1" applyAlignment="1">
      <x:alignment wrapText="1"/>
    </x:xf>
    <x:xf numFmtId="0" fontId="3" fillId="9" borderId="20" xfId="0" applyNumberFormat="1" applyFont="1" applyFill="1" applyBorder="1" applyAlignment="1">
      <x:alignment wrapText="1"/>
    </x:xf>
    <x:xf numFmtId="0" fontId="3" fillId="9" borderId="17" xfId="0" applyNumberFormat="1" applyFont="1" applyFill="1" applyBorder="1" applyAlignment="1">
      <x:alignment horizontal="center" wrapText="1"/>
    </x:xf>
    <x:xf numFmtId="0" fontId="3" fillId="9" borderId="18" xfId="0" applyNumberFormat="1" applyFont="1" applyFill="1" applyBorder="1" applyAlignment="1">
      <x:alignment horizontal="center" wrapText="1"/>
    </x:xf>
    <x:xf numFmtId="0" fontId="3" fillId="9" borderId="19" xfId="0" applyNumberFormat="1" applyFont="1" applyFill="1" applyBorder="1" applyAlignment="1">
      <x:alignment horizontal="center" wrapText="1"/>
    </x:xf>
    <x:xf numFmtId="0" fontId="3" fillId="9" borderId="20" xfId="0" applyNumberFormat="1" applyFont="1" applyFill="1" applyBorder="1" applyAlignment="1">
      <x:alignment horizontal="center" wrapText="1"/>
    </x:xf>
    <x:xf numFmtId="0" fontId="3" fillId="9" borderId="17" xfId="0" applyNumberFormat="1" applyFont="1" applyFill="1" applyBorder="1" applyAlignment="1">
      <x:alignment horizontal="center" vertical="center" wrapText="1"/>
    </x:xf>
    <x:xf numFmtId="0" fontId="3" fillId="9" borderId="18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 wrapText="1"/>
    </x:xf>
    <x:xf numFmtId="0" fontId="3" fillId="9" borderId="20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/>
    <x:xf numFmtId="0" fontId="10" fillId="9" borderId="17" xfId="0" applyNumberFormat="1" applyFont="1" applyFill="1" applyBorder="1"/>
    <x:xf numFmtId="0" fontId="10" fillId="9" borderId="18" xfId="0" applyNumberFormat="1" applyFont="1" applyFill="1" applyBorder="1"/>
    <x:xf numFmtId="0" fontId="10" fillId="9" borderId="19" xfId="0" applyNumberFormat="1" applyFont="1" applyFill="1" applyBorder="1"/>
    <x:xf numFmtId="0" fontId="10" fillId="9" borderId="20" xfId="0" applyNumberFormat="1" applyFont="1" applyFill="1" applyBorder="1"/>
    <x:xf numFmtId="0" fontId="10" fillId="9" borderId="17" xfId="0" applyNumberFormat="1" applyFont="1" applyFill="1" applyBorder="1" applyAlignment="1">
      <x:alignment wrapText="1"/>
    </x:xf>
    <x:xf numFmtId="0" fontId="10" fillId="9" borderId="18" xfId="0" applyNumberFormat="1" applyFont="1" applyFill="1" applyBorder="1" applyAlignment="1">
      <x:alignment wrapText="1"/>
    </x:xf>
    <x:xf numFmtId="0" fontId="10" fillId="9" borderId="19" xfId="0" applyNumberFormat="1" applyFont="1" applyFill="1" applyBorder="1" applyAlignment="1">
      <x:alignment wrapText="1"/>
    </x:xf>
    <x:xf numFmtId="0" fontId="10" fillId="9" borderId="20" xfId="0" applyNumberFormat="1" applyFont="1" applyFill="1" applyBorder="1" applyAlignment="1">
      <x:alignment wrapText="1"/>
    </x:xf>
    <x:xf numFmtId="0" fontId="10" fillId="9" borderId="17" xfId="0" applyNumberFormat="1" applyFont="1" applyFill="1" applyBorder="1" applyAlignment="1">
      <x:alignment horizontal="center" wrapText="1"/>
    </x:xf>
    <x:xf numFmtId="0" fontId="10" fillId="9" borderId="18" xfId="0" applyNumberFormat="1" applyFont="1" applyFill="1" applyBorder="1" applyAlignment="1">
      <x:alignment horizontal="center" wrapText="1"/>
    </x:xf>
    <x:xf numFmtId="0" fontId="10" fillId="9" borderId="19" xfId="0" applyNumberFormat="1" applyFont="1" applyFill="1" applyBorder="1" applyAlignment="1">
      <x:alignment horizontal="center" wrapText="1"/>
    </x:xf>
    <x:xf numFmtId="0" fontId="10" fillId="9" borderId="20" xfId="0" applyNumberFormat="1" applyFont="1" applyFill="1" applyBorder="1" applyAlignment="1">
      <x:alignment horizontal="center" wrapText="1"/>
    </x:xf>
    <x:xf numFmtId="0" fontId="10" fillId="9" borderId="17" xfId="0" applyNumberFormat="1" applyFont="1" applyFill="1" applyBorder="1" applyAlignment="1">
      <x:alignment horizontal="center" vertical="center" wrapText="1"/>
    </x:xf>
    <x:xf numFmtId="0" fontId="10" fillId="9" borderId="18" xfId="0" applyNumberFormat="1" applyFont="1" applyFill="1" applyBorder="1" applyAlignment="1">
      <x:alignment horizontal="center"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20" xfId="0" applyNumberFormat="1" applyFont="1" applyFill="1" applyBorder="1" applyAlignment="1">
      <x:alignment horizontal="center" vertical="center" wrapText="1"/>
    </x:xf>
    <x:xf numFmtId="0" fontId="10" fillId="14" borderId="0" xfId="0" applyNumberFormat="1" applyFont="1" applyFill="1" applyBorder="1"/>
    <x:xf numFmtId="0" fontId="10" fillId="14" borderId="17" xfId="0" applyNumberFormat="1" applyFont="1" applyFill="1" applyBorder="1"/>
    <x:xf numFmtId="0" fontId="10" fillId="14" borderId="18" xfId="0" applyNumberFormat="1" applyFont="1" applyFill="1" applyBorder="1"/>
    <x:xf numFmtId="0" fontId="10" fillId="14" borderId="19" xfId="0" applyNumberFormat="1" applyFont="1" applyFill="1" applyBorder="1"/>
    <x:xf numFmtId="0" fontId="10" fillId="14" borderId="20" xfId="0" applyNumberFormat="1" applyFont="1" applyFill="1" applyBorder="1"/>
    <x:xf numFmtId="0" fontId="10" fillId="14" borderId="17" xfId="0" applyNumberFormat="1" applyFont="1" applyFill="1" applyBorder="1" applyAlignment="1">
      <x:alignment wrapText="1"/>
    </x:xf>
    <x:xf numFmtId="0" fontId="10" fillId="14" borderId="18" xfId="0" applyNumberFormat="1" applyFont="1" applyFill="1" applyBorder="1" applyAlignment="1">
      <x:alignment wrapText="1"/>
    </x:xf>
    <x:xf numFmtId="0" fontId="10" fillId="14" borderId="19" xfId="0" applyNumberFormat="1" applyFont="1" applyFill="1" applyBorder="1" applyAlignment="1">
      <x:alignment wrapText="1"/>
    </x:xf>
    <x:xf numFmtId="0" fontId="10" fillId="14" borderId="20" xfId="0" applyNumberFormat="1" applyFont="1" applyFill="1" applyBorder="1" applyAlignment="1">
      <x:alignment wrapText="1"/>
    </x:xf>
    <x:xf numFmtId="0" fontId="10" fillId="14" borderId="17" xfId="0" applyNumberFormat="1" applyFont="1" applyFill="1" applyBorder="1" applyAlignment="1">
      <x:alignment horizontal="center" wrapText="1"/>
    </x:xf>
    <x:xf numFmtId="0" fontId="10" fillId="14" borderId="18" xfId="0" applyNumberFormat="1" applyFont="1" applyFill="1" applyBorder="1" applyAlignment="1">
      <x:alignment horizontal="center" wrapText="1"/>
    </x:xf>
    <x:xf numFmtId="0" fontId="10" fillId="14" borderId="19" xfId="0" applyNumberFormat="1" applyFont="1" applyFill="1" applyBorder="1" applyAlignment="1">
      <x:alignment horizontal="center" wrapText="1"/>
    </x:xf>
    <x:xf numFmtId="0" fontId="10" fillId="14" borderId="20" xfId="0" applyNumberFormat="1" applyFont="1" applyFill="1" applyBorder="1" applyAlignment="1">
      <x:alignment horizontal="center" wrapText="1"/>
    </x:xf>
    <x:xf numFmtId="0" fontId="10" fillId="14" borderId="17" xfId="0" applyNumberFormat="1" applyFont="1" applyFill="1" applyBorder="1" applyAlignment="1">
      <x:alignment horizontal="center" vertical="center" wrapText="1"/>
    </x:xf>
    <x:xf numFmtId="0" fontId="10" fillId="14" borderId="18" xfId="0" applyNumberFormat="1" applyFont="1" applyFill="1" applyBorder="1" applyAlignment="1">
      <x:alignment horizontal="center" vertical="center" wrapText="1"/>
    </x:xf>
    <x:xf numFmtId="0" fontId="10" fillId="14" borderId="19" xfId="0" applyNumberFormat="1" applyFont="1" applyFill="1" applyBorder="1" applyAlignment="1">
      <x:alignment horizontal="center" vertical="center" wrapText="1"/>
    </x:xf>
    <x:xf numFmtId="0" fontId="10" fillId="14" borderId="2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/>
    <x:xf numFmtId="0" fontId="10" fillId="12" borderId="17" xfId="0" applyNumberFormat="1" applyFont="1" applyFill="1" applyBorder="1"/>
    <x:xf numFmtId="0" fontId="10" fillId="12" borderId="18" xfId="0" applyNumberFormat="1" applyFont="1" applyFill="1" applyBorder="1"/>
    <x:xf numFmtId="0" fontId="10" fillId="12" borderId="19" xfId="0" applyNumberFormat="1" applyFont="1" applyFill="1" applyBorder="1"/>
    <x:xf numFmtId="0" fontId="10" fillId="12" borderId="20" xfId="0" applyNumberFormat="1" applyFont="1" applyFill="1" applyBorder="1"/>
    <x:xf numFmtId="0" fontId="10" fillId="12" borderId="17" xfId="0" applyNumberFormat="1" applyFont="1" applyFill="1" applyBorder="1" applyAlignment="1">
      <x:alignment wrapText="1"/>
    </x:xf>
    <x:xf numFmtId="0" fontId="10" fillId="12" borderId="18" xfId="0" applyNumberFormat="1" applyFont="1" applyFill="1" applyBorder="1" applyAlignment="1">
      <x:alignment wrapText="1"/>
    </x:xf>
    <x:xf numFmtId="0" fontId="10" fillId="12" borderId="19" xfId="0" applyNumberFormat="1" applyFont="1" applyFill="1" applyBorder="1" applyAlignment="1">
      <x:alignment wrapText="1"/>
    </x:xf>
    <x:xf numFmtId="0" fontId="10" fillId="12" borderId="20" xfId="0" applyNumberFormat="1" applyFont="1" applyFill="1" applyBorder="1" applyAlignment="1">
      <x:alignment wrapText="1"/>
    </x:xf>
    <x:xf numFmtId="0" fontId="10" fillId="12" borderId="17" xfId="0" applyNumberFormat="1" applyFont="1" applyFill="1" applyBorder="1" applyAlignment="1">
      <x:alignment horizontal="center" wrapText="1"/>
    </x:xf>
    <x:xf numFmtId="0" fontId="10" fillId="12" borderId="18" xfId="0" applyNumberFormat="1" applyFont="1" applyFill="1" applyBorder="1" applyAlignment="1">
      <x:alignment horizontal="center" wrapText="1"/>
    </x:xf>
    <x:xf numFmtId="0" fontId="10" fillId="12" borderId="19" xfId="0" applyNumberFormat="1" applyFont="1" applyFill="1" applyBorder="1" applyAlignment="1">
      <x:alignment horizontal="center" wrapText="1"/>
    </x:xf>
    <x:xf numFmtId="0" fontId="10" fillId="12" borderId="20" xfId="0" applyNumberFormat="1" applyFont="1" applyFill="1" applyBorder="1" applyAlignment="1">
      <x:alignment horizontal="center" wrapText="1"/>
    </x:xf>
    <x:xf numFmtId="0" fontId="10" fillId="12" borderId="17" xfId="0" applyNumberFormat="1" applyFont="1" applyFill="1" applyBorder="1" applyAlignment="1">
      <x:alignment horizontal="center" vertical="center" wrapText="1"/>
    </x:xf>
    <x:xf numFmtId="0" fontId="10" fillId="12" borderId="18" xfId="0" applyNumberFormat="1" applyFont="1" applyFill="1" applyBorder="1" applyAlignment="1">
      <x:alignment horizontal="center" vertical="center" wrapText="1"/>
    </x:xf>
    <x:xf numFmtId="0" fontId="10" fillId="12" borderId="19" xfId="0" applyNumberFormat="1" applyFont="1" applyFill="1" applyBorder="1" applyAlignment="1">
      <x:alignment horizontal="center" vertical="center" wrapText="1"/>
    </x:xf>
    <x:xf numFmtId="0" fontId="10" fillId="12" borderId="2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horizontal="center"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horizontal="center" vertical="top" wrapText="1"/>
    </x:xf>
    <x:xf numFmtId="0" fontId="11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11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11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horizontal="center" vertical="top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vertical="center"/>
    </x:xf>
    <x:xf numFmtId="0" fontId="12" fillId="16" borderId="0" xfId="0" applyNumberFormat="1" applyFont="1" applyFill="1" applyBorder="1"/>
    <x:xf numFmtId="0" fontId="12" fillId="16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/>
    </x:xf>
    <x:xf numFmtId="0" fontId="4" fillId="18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4" fillId="17" borderId="8" xfId="0" applyNumberFormat="1" applyFont="1" applyFill="1" applyBorder="1" applyAlignment="1">
      <x:alignment horizontal="center" vertical="center" wrapText="1"/>
    </x:xf>
    <x:xf numFmtId="0" fontId="0" fillId="19" borderId="1" xfId="0" applyNumberFormat="1" applyFont="1" applyFill="1" applyBorder="1" applyAlignment="1">
      <x:alignment vertical="center"/>
    </x:xf>
    <x:xf numFmtId="0" fontId="11" fillId="19" borderId="1" xfId="0" applyNumberFormat="1" applyFont="1" applyFill="1" applyBorder="1" applyAlignment="1">
      <x:alignment vertical="center"/>
    </x:xf>
    <x:xf numFmtId="0" fontId="4" fillId="20" borderId="0" xfId="0" applyNumberFormat="1" applyFont="1" applyFill="1" applyBorder="1" applyAlignment="1">
      <x:alignment horizontal="center" vertical="center"/>
    </x:xf>
    <x:xf numFmtId="0" fontId="5" fillId="21" borderId="1" xfId="0" applyNumberFormat="1" applyFont="1" applyFill="1" applyBorder="1" applyAlignment="1">
      <x:alignment horizontal="center" vertical="center"/>
    </x:xf>
    <x:xf numFmtId="0" fontId="4" fillId="2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3" fillId="23" borderId="0" xfId="0" applyNumberFormat="1" applyFont="1" applyFill="1" applyBorder="1" applyAlignment="1">
      <x:alignment horizontal="center" vertical="top" wrapText="1"/>
    </x:xf>
    <x:xf numFmtId="0" fontId="10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10" fillId="25" borderId="0" xfId="0" applyNumberFormat="1" applyFont="1" applyFill="1" applyBorder="1" applyAlignment="1">
      <x:alignment vertical="top" wrapText="1"/>
    </x:xf>
    <x:xf numFmtId="0" fontId="3" fillId="25" borderId="0" xfId="0" applyNumberFormat="1" applyFont="1" applyFill="1" applyBorder="1" applyAlignment="1">
      <x:alignment horizontal="center" vertical="top" wrapText="1"/>
    </x:xf>
    <x:xf numFmtId="0" fontId="4" fillId="22" borderId="8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24" borderId="1" xfId="0" applyNumberFormat="1" applyFont="1" applyFill="1" applyBorder="1" applyAlignment="1">
      <x:alignment vertical="top" wrapText="1"/>
    </x:xf>
    <x:xf numFmtId="0" fontId="10" fillId="25" borderId="1" xfId="0" applyNumberFormat="1" applyFont="1" applyFill="1" applyBorder="1" applyAlignment="1">
      <x:alignment vertical="top" wrapText="1"/>
    </x:xf>
    <x:xf numFmtId="0" fontId="10" fillId="26" borderId="1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8" fillId="26" borderId="9" xfId="0" applyNumberFormat="1" applyFont="1" applyFill="1" applyBorder="1" applyAlignment="1">
      <x:alignment horizontal="center" vertical="center" wrapText="1"/>
    </x:xf>
    <x:xf numFmtId="0" fontId="8" fillId="26" borderId="10" xfId="0" applyNumberFormat="1" applyFont="1" applyFill="1" applyBorder="1" applyAlignment="1">
      <x:alignment horizontal="center" vertical="center" wrapText="1"/>
    </x:xf>
    <x:xf numFmtId="0" fontId="8" fillId="26" borderId="12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0" fillId="26" borderId="0" xfId="0" applyNumberFormat="1" applyFont="1" applyFill="1" applyBorder="1"/>
    <x:xf numFmtId="0" fontId="3" fillId="26" borderId="9" xfId="0" applyNumberFormat="1" applyFont="1" applyFill="1" applyBorder="1" applyAlignment="1">
      <x:alignment horizontal="center" vertical="center" wrapText="1"/>
    </x:xf>
    <x:xf numFmtId="0" fontId="3" fillId="26" borderId="10" xfId="0" applyNumberFormat="1" applyFont="1" applyFill="1" applyBorder="1" applyAlignment="1">
      <x:alignment horizontal="center" vertical="center" wrapText="1"/>
    </x:xf>
    <x:xf numFmtId="0" fontId="3" fillId="26" borderId="12" xfId="0" applyNumberFormat="1" applyFont="1" applyFill="1" applyBorder="1" applyAlignment="1">
      <x:alignment horizontal="center" vertical="center" wrapText="1"/>
    </x:xf>
    <x:xf numFmtId="0" fontId="3" fillId="26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13" fillId="27" borderId="0" xfId="0" applyNumberFormat="1" applyFont="1" applyFill="1" applyBorder="1"/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4" fillId="28" borderId="0" xfId="0" applyNumberFormat="1" applyFont="1" applyFill="1" applyBorder="1" applyAlignment="1">
      <x:alignment wrapText="1"/>
    </x:xf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vertical="center"/>
    </x:xf>
    <x:xf numFmtId="0" fontId="4" fillId="27" borderId="0" xfId="0" applyNumberFormat="1" applyFont="1" applyFill="1" applyBorder="1"/>
    <x:xf numFmtId="203" fontId="0" fillId="0" borderId="0" xfId="0" applyNumberFormat="1" applyFont="1" applyFill="1" applyBorder="1"/>
    <x:xf numFmtId="203" fontId="4" fillId="27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 applyAlignment="1">
      <x:alignment wrapText="1"/>
    </x:xf>
    <x:xf numFmtId="203" fontId="4" fillId="27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15" fillId="29" borderId="0" xfId="0" applyNumberFormat="1" applyFont="1" applyFill="1" applyBorder="1"/>
    <x:xf numFmtId="0" fontId="0" fillId="30" borderId="0" xfId="0" applyNumberFormat="1" applyFont="1" applyFill="1" applyBorder="1"/>
    <x:xf numFmtId="0" fontId="16" fillId="30" borderId="0" xfId="0" applyNumberFormat="1" applyFont="1" applyFill="1" applyBorder="1"/>
    <x:xf numFmtId="0" fontId="16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1" fillId="31" borderId="0" xfId="0" applyNumberFormat="1" applyFont="1" applyFill="1" applyBorder="1"/>
    <x:xf numFmtId="0" fontId="0" fillId="32" borderId="0" xfId="0" applyNumberFormat="1" applyFont="1" applyFill="1" applyBorder="1"/>
    <x:xf numFmtId="0" fontId="14" fillId="32" borderId="0" xfId="0" applyNumberFormat="1" applyFont="1" applyFill="1" applyBorder="1"/>
    <x:xf numFmtId="0" fontId="14" fillId="32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4" fillId="33" borderId="0" xfId="0" applyNumberFormat="1" applyFont="1" applyFill="1" applyBorder="1"/>
    <x:xf numFmtId="0" fontId="17" fillId="31" borderId="0" xfId="0" applyNumberFormat="1" applyFont="1" applyFill="1" applyBorder="1"/>
    <x:xf numFmtId="0" fontId="0" fillId="33" borderId="0" xfId="0" applyNumberFormat="1" applyFont="1" applyFill="1" applyBorder="1" applyAlignment="1">
      <x:alignment wrapText="1"/>
    </x:xf>
    <x:xf numFmtId="0" fontId="4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8" fillId="34" borderId="0" xfId="0" applyNumberFormat="1" applyFont="1" applyFill="1" applyBorder="1"/>
    <x:xf numFmtId="0" fontId="18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 applyAlignment="1">
      <x:alignment wrapText="1"/>
    </x:xf>
    <x:xf numFmtId="0" fontId="15" fillId="35" borderId="0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ont>
        <x:b/>
        <x:color rgb="FFE6006E"/>
      </x:font>
      <x:fill>
        <x:patternFill>
          <x:bgColor rgb="FFFFF0F6"/>
        </x:patternFill>
      </x:fill>
    </x:dxf>
    <x:dxf>
      <x:font>
        <x:b/>
        <x:color rgb="FF7A5400"/>
      </x:font>
      <x:fill>
        <x:patternFill>
          <x:bgColor rgb="FFFFF2CC"/>
        </x:patternFill>
      </x:fill>
    </x:dxf>
    <x:dxf>
      <x:font>
        <x:b/>
        <x:color rgb="FF0F6B3F"/>
      </x:font>
      <x:fill>
        <x:patternFill>
          <x:bgColor rgb="FFDDF5E7"/>
        </x:patternFill>
      </x:fill>
    </x:dxf>
    <x:dxf>
      <x:font>
        <x:b/>
        <x:color rgb="FF9C1C1C"/>
      </x:font>
      <x:fill>
        <x:patternFill>
          <x:bgColor rgb="FFFDE2E2"/>
        </x:patternFill>
      </x:fill>
    </x:dxf>
    <x:dxf>
      <x:font>
        <x:b/>
        <x:color rgb="FF0F6B3F"/>
      </x:font>
      <x:fill>
        <x:patternFill>
          <x:bgColor rgb="FFDDF5E7"/>
        </x:patternFill>
      </x:fill>
    </x:dxf>
    <x:dxf>
      <x:font>
        <x:b/>
        <x:color rgb="FF0B6E4F"/>
      </x:font>
      <x:fill>
        <x:patternFill>
          <x:bgColor rgb="FFE3F6EC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0B6E4F"/>
      </x:font>
      <x:fill>
        <x:patternFill>
          <x:bgColor rgb="FFE3F6EC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1b98522d954f3c" /><Relationship Type="http://schemas.openxmlformats.org/officeDocument/2006/relationships/theme" Target="/xl/theme/theme1.xml" Id="R2a451116ef6340f7" /><Relationship Type="http://schemas.openxmlformats.org/officeDocument/2006/relationships/sharedStrings" Target="/xl/sharedStrings.xml" Id="R6c0078006eb84105" /><Relationship Type="http://schemas.openxmlformats.org/officeDocument/2006/relationships/worksheet" Target="/xl/worksheets/sheet1.xml" Id="R496a6b2a8c924035" /><Relationship Type="http://schemas.openxmlformats.org/officeDocument/2006/relationships/worksheet" Target="/xl/worksheets/sheet2.xml" Id="R7dc29cb770f942ab" /><Relationship Type="http://schemas.openxmlformats.org/officeDocument/2006/relationships/worksheet" Target="/xl/worksheets/sheet3.xml" Id="R7b0044811e8d473a" /><Relationship Type="http://schemas.openxmlformats.org/officeDocument/2006/relationships/worksheet" Target="/xl/worksheets/sheet4.xml" Id="Re71cb0d8ad6e4ab9" /><Relationship Type="http://schemas.openxmlformats.org/officeDocument/2006/relationships/worksheet" Target="/xl/worksheets/sheet5.xml" Id="R9ba4ab004aac46a1" /><Relationship Type="http://schemas.openxmlformats.org/officeDocument/2006/relationships/worksheet" Target="/xl/worksheets/sheet6.xml" Id="R5f4340f78ac040bb" /><Relationship Type="http://schemas.openxmlformats.org/officeDocument/2006/relationships/worksheet" Target="/xl/worksheets/sheet7.xml" Id="Rff374cc414b245ea" /><Relationship Type="http://schemas.openxmlformats.org/officeDocument/2006/relationships/worksheet" Target="/xl/worksheets/sheet8.xml" Id="R54b43c65f0db4903" /><Relationship Type="http://schemas.openxmlformats.org/officeDocument/2006/relationships/worksheet" Target="/xl/worksheets/sheet9.xml" Id="Rbce0d1354d0f4dff" /><Relationship Type="http://schemas.openxmlformats.org/officeDocument/2006/relationships/worksheet" Target="/xl/worksheets/sheet10.xml" Id="R2fcdf8b5a3dc4e85" /><Relationship Type="http://schemas.openxmlformats.org/officeDocument/2006/relationships/worksheet" Target="/xl/worksheets/sheet11.xml" Id="R5c2541d24b2d41e0" /><Relationship Type="http://schemas.openxmlformats.org/officeDocument/2006/relationships/worksheet" Target="/xl/worksheets/sheet12.xml" Id="R7fdb3a8bd326417e" /><Relationship Type="http://schemas.openxmlformats.org/officeDocument/2006/relationships/worksheet" Target="/xl/worksheets/sheet13.xml" Id="R3152beb6a71b415f" /><Relationship Type="http://schemas.openxmlformats.org/officeDocument/2006/relationships/worksheet" Target="/xl/worksheets/sheet14.xml" Id="R17ca3f164b484df7" /><Relationship Type="http://schemas.openxmlformats.org/officeDocument/2006/relationships/worksheet" Target="/xl/worksheets/sheet15.xml" Id="R7a151a98ead547ba" /><Relationship Type="http://schemas.openxmlformats.org/officeDocument/2006/relationships/worksheet" Target="/xl/worksheets/sheet16.xml" Id="R1791eacfd33d4896" /><Relationship Type="http://schemas.openxmlformats.org/officeDocument/2006/relationships/worksheet" Target="/xl/worksheets/sheet17.xml" Id="Rd24a9bd8947b4f81" /></Relationships>
</file>

<file path=xl/tables/table1.xml><?xml version="1.0" encoding="utf-8"?>
<x:table xmlns:x="http://schemas.openxmlformats.org/spreadsheetml/2006/main" id="1" name="CasesTable" displayName="CasesTable" ref="A4:U135" headerRowCount="1" totalsRowCount="0" totalsRowShown="0">
  <x:tableColumns count="21">
    <x:tableColumn id="1" name="사례ID"/>
    <x:tableColumn id="2" name="국가"/>
    <x:tableColumn id="3" name="대분류"/>
    <x:tableColumn id="4" name="테마/인물"/>
    <x:tableColumn id="5" name="기업명(당시)"/>
    <x:tableColumn id="6" name="티커"/>
    <x:tableColumn id="7" name="시장"/>
    <x:tableColumn id="8" name="이벤트 시점"/>
    <x:tableColumn id="9" name="촉발 사건"/>
    <x:tableColumn id="10" name="밈 연결고리"/>
    <x:tableColumn id="11" name="실제 사업 연결"/>
    <x:tableColumn id="12" name="가격 반응"/>
    <x:tableColumn id="13" name="반응 수치(%)"/>
    <x:tableColumn id="14" name="측정 기간"/>
    <x:tableColumn id="15" name="실적·기술 동시재료"/>
    <x:tableColumn id="16" name="회사/공시 반박·검증"/>
    <x:tableColumn id="17" name="판정"/>
    <x:tableColumn id="18" name="신뢰도"/>
    <x:tableColumn id="19" name="출처ID"/>
    <x:tableColumn id="20" name="검증상태"/>
    <x:tableColumn id="21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ongTable" displayName="StrongTable" ref="A4:L49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xedTable" displayName="MixedTable" ref="A4:L32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ForeignCompareTable" displayName="ForeignCompareTable" ref="A4:L12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ludedTable" displayName="ExcludedTable" ref="A4:L7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F122" headerRowCount="1" totalsRowCount="0" totalsRowShown="0">
  <x:tableColumns count="6">
    <x:tableColumn id="1" name="출처ID"/>
    <x:tableColumn id="2" name="발행처"/>
    <x:tableColumn id="3" name="제목/활용 내용"/>
    <x:tableColumn id="4" name="발행일"/>
    <x:tableColumn id="5" name="URL"/>
    <x:tableColumn id="6" name="유형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NSFocusTable" displayName="SNSFocusTable" ref="A12:N34" headerRowCount="1" totalsRowCount="0" totalsRowShown="0">
  <x:tableColumns count="14">
    <x:tableColumn id="1" name="사례ID"/>
    <x:tableColumn id="2" name="국가"/>
    <x:tableColumn id="3" name="확산 플랫폼"/>
    <x:tableColumn id="4" name="유행 제품·콘텐츠"/>
    <x:tableColumn id="5" name="기업명"/>
    <x:tableColumn id="6" name="티커"/>
    <x:tableColumn id="7" name="연결 단계"/>
    <x:tableColumn id="8" name="실제 매출 연결"/>
    <x:tableColumn id="9" name="확산 신호"/>
    <x:tableColumn id="10" name="주가 반응"/>
    <x:tableColumn id="11" name="판정"/>
    <x:tableColumn id="12" name="신뢰도"/>
    <x:tableColumn id="13" name="출처ID"/>
    <x:tableColumn id="14" name="리스크/해석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YearTagsTable" displayName="YearTagsTable" ref="A4:D105" headerRowCount="1" totalsRowCount="0" totalsRowShown="0">
  <x:tableColumns count="4">
    <x:tableColumn id="1" name="사례ID"/>
    <x:tableColumn id="2" name="대표연도"/>
    <x:tableColumn id="3" name="원 이벤트 시점"/>
    <x:tableColumn id="4" name="검증상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EarlyCasesTable" displayName="EarlyCasesTable" ref="A4:J29" headerRowCount="1" totalsRowCount="0" totalsRowShown="0">
  <x:tableColumns count="10">
    <x:tableColumn id="1" name="사례ID"/>
    <x:tableColumn id="2" name="연도"/>
    <x:tableColumn id="3" name="테마"/>
    <x:tableColumn id="4" name="기업"/>
    <x:tableColumn id="5" name="티커"/>
    <x:tableColumn id="6" name="촉발 사건"/>
    <x:tableColumn id="7" name="가격 반응"/>
    <x:tableColumn id="8" name="반응수치(%)"/>
    <x:tableColumn id="9" name="판정"/>
    <x:tableColumn id="10" name="출처I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CoverageTable" displayName="CoverageTable" ref="A4:G22" headerRowCount="1" totalsRowCount="0" totalsRowShown="0">
  <x:tableColumns count="7">
    <x:tableColumn id="1" name="연도"/>
    <x:tableColumn id="2" name="원장 한국행"/>
    <x:tableColumn id="3" name="연 목표"/>
    <x:tableColumn id="4" name="부족분"/>
    <x:tableColumn id="5" name="달성률"/>
    <x:tableColumn id="6" name="상태"/>
    <x:tableColumn id="7" name="참고·공식 집계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LimitsTable" displayName="LimitsTable" ref="A3:F11" headerRowCount="1" totalsRowCount="0" totalsRowShown="0">
  <x:tableColumns count="6">
    <x:tableColumn id="1" name="구분"/>
    <x:tableColumn id="2" name="확인된 사실"/>
    <x:tableColumn id="3" name="연 50건에 미치는 영향"/>
    <x:tableColumn id="4" name="처리 원칙"/>
    <x:tableColumn id="5" name="근거 출처"/>
    <x:tableColumn id="6" name="후속 작업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3" name="BoundaryCorpusTable" displayName="BoundaryCorpusTable" ref="A4:U163" headerRowCount="1" totalsRowCount="0" totalsRowShown="0">
  <x:tableColumns count="21">
    <x:tableColumn id="1" name="사례ID"/>
    <x:tableColumn id="2" name="데이터층"/>
    <x:tableColumn id="3" name="대표연도"/>
    <x:tableColumn id="4" name="주요 연령·상황"/>
    <x:tableColumn id="5" name="생활영역"/>
    <x:tableColumn id="6" name="트렌드·사건"/>
    <x:tableColumn id="7" name="기업"/>
    <x:tableColumn id="8" name="티커"/>
    <x:tableColumn id="9" name="시장"/>
    <x:tableColumn id="10" name="방향"/>
    <x:tableColumn id="11" name="가격·반응"/>
    <x:tableColumn id="12" name="반응수치(%)"/>
    <x:tableColumn id="13" name="유행근거 T"/>
    <x:tableColumn id="14" name="기업연결 L"/>
    <x:tableColumn id="15" name="가격근거 P"/>
    <x:tableColumn id="16" name="동시재료 C"/>
    <x:tableColumn id="17" name="근거합계"/>
    <x:tableColumn id="18" name="탐색등급"/>
    <x:tableColumn id="19" name="출처ID"/>
    <x:tableColumn id="20" name="출처URL"/>
    <x:tableColumn id="21" name="경계 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7118650f8b84f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f660fff124e40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dc48176100d4b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e2f153a166648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d99aa3a9c5e4c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443309f7a5b4b7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675c9a34b4cb45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a373a23b53c496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215bffe1b0e342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750187c6b4c4f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c54f8ac1f454ce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548cf37529114a3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3" t="str">
        <x:v>한국 주식시장 중심 트렌드·유행·밈 경계 탐색 데이터베이스 v5</x:v>
      </x:c>
      <x:c r="B1"/>
      <x:c r="C1"/>
      <x:c r="D1"/>
      <x:c r="E1"/>
      <x:c r="F1"/>
      <x:c r="G1"/>
      <x:c r="H1"/>
    </x:row>
    <x:row r="2" ht="30" customHeight="1">
      <x:c r="A2" s="6" t="str">
        <x:v>기존 검증원장 131행을 보존하고 한국 사례 중심 광범위 경계 코퍼스 159행 구축 | 기준일 2026-08-05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40" customHeight="1">
      <x:c r="A4" s="10" t="str">
        <x:v>이번 판의 목적은 정답 기준 확정이 아니라 비교 가능한 사례의 폭을 넓히는 것입니다. 정치·정책뿐 아니라 식품·콘텐츠·건강·환경·비대면·불매·스포츠·기술·가격 미확인 선행후보를 함께 수집했습니다.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</x:row>
    <x:row r="6">
      <x:c r="A6" s="286" t="str">
        <x:v>한국 사례</x:v>
      </x:c>
      <x:c r="B6" s="286"/>
      <x:c r="C6" s="286"/>
      <x:c r="D6" s="286" t="str">
        <x:v>미국 비교군</x:v>
      </x:c>
      <x:c r="E6" s="286"/>
      <x:c r="F6" s="286"/>
      <x:c r="G6" s="286" t="str">
        <x:v>일본 비교군</x:v>
      </x:c>
      <x:c r="H6" s="286"/>
      <x:c r="I6" s="286"/>
      <x:c r="J6" s="286" t="str">
        <x:v>전체 출처</x:v>
      </x:c>
      <x:c r="K6" s="286"/>
      <x:c r="L6" s="13"/>
    </x:row>
    <x:row r="7">
      <x:c r="A7" s="287" t="n">
        <x:v>101</x:v>
      </x:c>
      <x:c r="B7" s="287"/>
      <x:c r="C7" s="287"/>
      <x:c r="D7" s="287" t="n">
        <x:f>COUNTIF('사례원장'!$B$5:$B$110,"미국")</x:f>
        <x:v>23</x:v>
      </x:c>
      <x:c r="E7" s="287"/>
      <x:c r="F7" s="287"/>
      <x:c r="G7" s="287" t="n">
        <x:f>COUNTIF('사례원장'!$B$5:$B$110,"일본")</x:f>
        <x:v>6</x:v>
      </x:c>
      <x:c r="H7" s="287"/>
      <x:c r="I7" s="287"/>
      <x:c r="J7" s="287" t="n">
        <x:v>118</x:v>
      </x:c>
      <x:c r="K7" s="287"/>
      <x:c r="L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</x:row>
    <x:row r="10">
      <x:c r="A10" s="20" t="str">
        <x:v>한국 사례 조사 흐름 — 해외는 마지막 단계에서 구조만 비교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</x:row>
    <x:row r="11" ht="42" customHeight="1">
      <x:c r="A11" s="24" t="str">
        <x:v>① 국내 SNS·커뮤니티
영상·게시물·밈</x:v>
      </x:c>
      <x:c r="B11" s="24"/>
      <x:c r="C11" s="29" t="str">
        <x:v>→ ② 국내 관심 확산
검색·품절·오픈런</x:v>
      </x:c>
      <x:c r="D11" s="29"/>
      <x:c r="E11" s="24" t="str">
        <x:v>→ ③ 한국 상장사 연결
브랜드·공급망·유통</x:v>
      </x:c>
      <x:c r="F11" s="24"/>
      <x:c r="G11" s="29" t="str">
        <x:v>→ ④ 국내 주가 반응
등락률·거래량</x:v>
      </x:c>
      <x:c r="H11" s="29"/>
      <x:c r="I11" s="24" t="str">
        <x:v>→ ⑤ 미국·일본 비교
반복성·차이점</x:v>
      </x:c>
      <x:c r="J11" s="24"/>
      <x:c r="K11" s="29" t="str">
        <x:v>→ ⑥ 위험 라벨
직결 / 혼합 / 후보</x:v>
      </x:c>
      <x:c r="L11" s="29"/>
    </x:row>
    <x:row r="12" ht="42" customHeight="1">
      <x:c r="A12" s="24"/>
      <x:c r="B12" s="24"/>
      <x:c r="C12" s="29"/>
      <x:c r="D12" s="29"/>
      <x:c r="E12" s="24"/>
      <x:c r="F12" s="24"/>
      <x:c r="G12" s="29"/>
      <x:c r="H12" s="29"/>
      <x:c r="I12" s="24"/>
      <x:c r="J12" s="24"/>
      <x:c r="K12" s="29"/>
      <x:c r="L12" s="29"/>
    </x:row>
    <x:row r="14">
      <x:c r="A14" s="12" t="str">
        <x:v>한국 중심 우선순위</x:v>
      </x:c>
      <x:c r="B14" s="12"/>
      <x:c r="C14" s="12"/>
      <x:c r="D14" s="12"/>
      <x:c r="E14" s="12"/>
      <x:c r="F14" s="12"/>
      <x:c r="G14" s="12" t="str">
        <x:v>비교군 사용 원칙</x:v>
      </x:c>
      <x:c r="H14" s="12"/>
      <x:c r="I14" s="12"/>
      <x:c r="J14" s="12"/>
      <x:c r="K14" s="12"/>
      <x:c r="L14" s="12"/>
    </x:row>
    <x:row r="15">
      <x:c r="A15" s="32" t="n">
        <x:v>1</x:v>
      </x:c>
      <x:c r="B15" s="32" t="str">
        <x:v>국내 유행 확인</x:v>
      </x:c>
      <x:c r="C15" s="32" t="str">
        <x:v>네이버·유튜브·인스타·커뮤니티</x:v>
      </x:c>
      <x:c r="D15" s="32"/>
      <x:c r="E15" s="32"/>
      <x:c r="F15" s="32" t="str"/>
      <x:c r="G15" s="32" t="str">
        <x:v>비중</x:v>
      </x:c>
      <x:c r="H15" s="32" t="str">
        <x:v>한국이 본문, 미국·일본은 보조</x:v>
      </x:c>
      <x:c r="I15" s="32"/>
      <x:c r="J15" s="32"/>
      <x:c r="K15" s="32"/>
      <x:c r="L15" s="32" t="str"/>
    </x:row>
    <x:row r="16">
      <x:c r="A16" s="32" t="n">
        <x:v>2</x:v>
      </x:c>
      <x:c r="B16" s="32" t="str">
        <x:v>한국 상장사 직접 연결</x:v>
      </x:c>
      <x:c r="C16" s="32" t="str">
        <x:v>브랜드·제조·원재료·유통</x:v>
      </x:c>
      <x:c r="D16" s="32"/>
      <x:c r="E16" s="32"/>
      <x:c r="F16" s="32" t="str"/>
      <x:c r="G16" s="32" t="str">
        <x:v>미국</x:v>
      </x:c>
      <x:c r="H16" s="32" t="str">
        <x:v>집단매수·글로벌 소비 바이럴 비교</x:v>
      </x:c>
      <x:c r="I16" s="32"/>
      <x:c r="J16" s="32"/>
      <x:c r="K16" s="32"/>
      <x:c r="L16" s="32" t="str"/>
    </x:row>
    <x:row r="17">
      <x:c r="A17" s="32" t="n">
        <x:v>3</x:v>
      </x:c>
      <x:c r="B17" s="32" t="str">
        <x:v>국내 가격 반응</x:v>
      </x:c>
      <x:c r="C17" s="32" t="str">
        <x:v>이벤트 전후 등락률·거래량</x:v>
      </x:c>
      <x:c r="D17" s="32"/>
      <x:c r="E17" s="32"/>
      <x:c r="F17" s="32" t="str"/>
      <x:c r="G17" s="32" t="str">
        <x:v>일본</x:v>
      </x:c>
      <x:c r="H17" s="32" t="str">
        <x:v>IP·게임·팬덤 소비 비교</x:v>
      </x:c>
      <x:c r="I17" s="32"/>
      <x:c r="J17" s="32"/>
      <x:c r="K17" s="32"/>
      <x:c r="L17" s="32" t="str"/>
    </x:row>
    <x:row r="18">
      <x:c r="A18" s="32" t="n">
        <x:v>4</x:v>
      </x:c>
      <x:c r="B18" s="32" t="str">
        <x:v>실제 사업 검증</x:v>
      </x:c>
      <x:c r="C18" s="32" t="str">
        <x:v>공시·IR·납품·판매</x:v>
      </x:c>
      <x:c r="D18" s="32"/>
      <x:c r="E18" s="32"/>
      <x:c r="F18" s="32" t="str"/>
      <x:c r="G18" s="32" t="str">
        <x:v>제외</x:v>
      </x:c>
      <x:c r="H18" s="32" t="str">
        <x:v>중국·홍콩 등은 본문 비교표에서 제외</x:v>
      </x:c>
      <x:c r="I18" s="32"/>
      <x:c r="J18" s="32"/>
      <x:c r="K18" s="32"/>
      <x:c r="L18" s="32" t="str"/>
    </x:row>
    <x:row r="19">
      <x:c r="A19" s="32" t="n">
        <x:v>5</x:v>
      </x:c>
      <x:c r="B19" s="32" t="str">
        <x:v>미국 비교</x:v>
      </x:c>
      <x:c r="C19" s="32" t="str">
        <x:v>Reddit·TikTok발 집단매수/소비 바이럴</x:v>
      </x:c>
      <x:c r="D19" s="32"/>
      <x:c r="E19" s="32"/>
      <x:c r="F19" s="32" t="str"/>
      <x:c r="G19" s="32" t="str">
        <x:v>주의</x:v>
      </x:c>
      <x:c r="H19" s="32" t="str">
        <x:v>해외 반응을 국내 수혜 근거로 자동 전환 금지</x:v>
      </x:c>
      <x:c r="I19" s="32"/>
      <x:c r="J19" s="32"/>
      <x:c r="K19" s="32"/>
      <x:c r="L19" s="32" t="str"/>
    </x:row>
    <x:row r="20">
      <x:c r="A20" s="32" t="n">
        <x:v>6</x:v>
      </x:c>
      <x:c r="B20" s="32" t="str">
        <x:v>일본 비교</x:v>
      </x:c>
      <x:c r="C20" s="32" t="str">
        <x:v>캐릭터·게임·SNS 추종매매</x:v>
      </x:c>
      <x:c r="D20" s="32"/>
      <x:c r="E20" s="32"/>
      <x:c r="F20" s="32" t="str"/>
      <x:c r="G20" s="32" t="str">
        <x:v>결론</x:v>
      </x:c>
      <x:c r="H20" s="32" t="str">
        <x:v>국내 매출·공급망·가격반응이 최종 기준</x:v>
      </x:c>
      <x:c r="I20" s="32"/>
      <x:c r="J20" s="32"/>
      <x:c r="K20" s="32"/>
      <x:c r="L20" s="32" t="str"/>
    </x:row>
    <x:row r="22">
      <x:c r="A22" s="53" t="str">
        <x:v>주의: 이 파일은 투자 추천이 아니라 조사용 사례집입니다. ‘관련주’라는 명칭 자체가 실제 수혜를 뜻하지 않으며, 특히 정치·정책 테마는 재료 소멸 뒤 급락 가능성이 큽니다.</x:v>
      </x:c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5"/>
    </x:row>
    <x:row r="23">
      <x:c r="A23" s="56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8"/>
    </x:row>
  </x:sheetData>
  <x:mergeCells>
    <x:mergeCell ref="A2:L2"/>
    <x:mergeCell ref="A4:L4"/>
    <x:mergeCell ref="A6:C6"/>
    <x:mergeCell ref="D6:F6"/>
    <x:mergeCell ref="G6:I6"/>
    <x:mergeCell ref="J6:L6"/>
    <x:mergeCell ref="A7:C8"/>
    <x:mergeCell ref="D7:F8"/>
    <x:mergeCell ref="G7:I8"/>
    <x:mergeCell ref="J7:L8"/>
    <x:mergeCell ref="A11:B12"/>
    <x:mergeCell ref="C11:D12"/>
    <x:mergeCell ref="E11:F12"/>
    <x:mergeCell ref="G11:H12"/>
    <x:mergeCell ref="I11:J12"/>
    <x:mergeCell ref="K11:L12"/>
    <x:mergeCell ref="A14:F14"/>
    <x:mergeCell ref="G14:L14"/>
    <x:mergeCell ref="A22:L23"/>
    <x:mergeCell ref="A1:K1"/>
    <x:mergeCell ref="A6:B6"/>
    <x:mergeCell ref="A7:B7"/>
    <x:mergeCell ref="D6:E6"/>
    <x:mergeCell ref="D7:E7"/>
    <x:mergeCell ref="G6:H6"/>
    <x:mergeCell ref="G7:H7"/>
    <x:mergeCell ref="J6:K6"/>
    <x:mergeCell ref="J7:K7"/>
    <x:mergeCell ref="A10:K10"/>
    <x:mergeCell ref="A11:B11"/>
    <x:mergeCell ref="C11:D11"/>
    <x:mergeCell ref="E11:F11"/>
    <x:mergeCell ref="G11:H11"/>
    <x:mergeCell ref="I11:J11"/>
    <x:mergeCell ref="A14:E14"/>
    <x:mergeCell ref="G14:K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22" hidden="0" customWidth="1"/>
    <x:col min="5" max="5" width="25" hidden="0" customWidth="1"/>
    <x:col min="6" max="6" width="24" hidden="0" customWidth="1"/>
    <x:col min="7" max="7" width="10" hidden="0" customWidth="1"/>
    <x:col min="8" max="8" width="28" hidden="0" customWidth="1"/>
  </x:cols>
  <x:sheetData>
    <x:row r="1" ht="32" customHeight="1">
      <x:c r="A1" s="3" t="str">
        <x:v>확장 판정 기준</x:v>
      </x:c>
    </x:row>
    <x:row r="2" ht="30" customHeight="1">
      <x:c r="A2" s="6" t="str">
        <x:v>순수 밈주와 두쫀쿠형 바이럴 소비주를 함께 보되 실제 사업 연결과 주가 인과를 분리</x:v>
      </x:c>
      <x:c r="B2" s="6"/>
      <x:c r="C2" s="6"/>
      <x:c r="D2" s="6"/>
      <x:c r="E2" s="6"/>
      <x:c r="F2" s="6"/>
      <x:c r="G2" s="6"/>
      <x:c r="H2" s="6"/>
    </x:row>
    <x:row r="4" ht="36" customHeight="1">
      <x:c r="A4" s="61" t="str">
        <x:v>판정</x:v>
      </x:c>
      <x:c r="B4" s="61" t="str">
        <x:v>핵심 정의</x:v>
      </x:c>
      <x:c r="C4" s="61" t="str">
        <x:v>실제 사업 연결</x:v>
      </x:c>
      <x:c r="D4" s="61" t="str">
        <x:v>동시 실적·기술 재료</x:v>
      </x:c>
      <x:c r="E4" s="61" t="str">
        <x:v>가격·기사 근거</x:v>
      </x:c>
      <x:c r="F4" s="61" t="str">
        <x:v>회사/당사자 반박</x:v>
      </x:c>
      <x:c r="G4" s="61" t="str">
        <x:v>신뢰도</x:v>
      </x:c>
      <x:c r="H4" s="61" t="str">
        <x:v>사용법</x:v>
      </x:c>
    </x:row>
    <x:row r="5" ht="72" customHeight="1">
      <x:c r="A5" s="62" t="str">
        <x:v>강한 밈</x:v>
      </x:c>
      <x:c r="B5" s="62" t="str">
        <x:v>사진·학연·지연·이름 혼동·SNS 집단매수처럼 비경제적 서사가 주된 촉발</x:v>
      </x:c>
      <x:c r="C5" s="62" t="str">
        <x:v>없음 또는 매우 약함</x:v>
      </x:c>
      <x:c r="D5" s="62" t="str">
        <x:v>없음/기사상 없음</x:v>
      </x:c>
      <x:c r="E5" s="62" t="str">
        <x:v>동시대 기사에서 테마를 상승 원인으로 명시</x:v>
      </x:c>
      <x:c r="F5" s="62" t="str">
        <x:v>무관 공시가 있으면 최상</x:v>
      </x:c>
      <x:c r="G5" s="62" t="str">
        <x:v>A/B</x:v>
      </x:c>
      <x:c r="H5" s="62" t="str">
        <x:v>서비스의 밈 모드 대표 사례</x:v>
      </x:c>
    </x:row>
    <x:row r="6" ht="72" customHeight="1">
      <x:c r="A6" s="62" t="str">
        <x:v>혼합-테마 주도</x:v>
      </x:c>
      <x:c r="B6" s="62" t="str">
        <x:v>사업 접점은 있으나 계약·매출 현실화 전 기대가 가격을 압도</x:v>
      </x:c>
      <x:c r="C6" s="62" t="str">
        <x:v>부분 있음</x:v>
      </x:c>
      <x:c r="D6" s="62" t="str">
        <x:v>일부 존재 가능</x:v>
      </x:c>
      <x:c r="E6" s="62" t="str">
        <x:v>정책/콘텐츠 이슈 직후 급등</x:v>
      </x:c>
      <x:c r="F6" s="62" t="str">
        <x:v>수혜 불확실·영향 제한</x:v>
      </x:c>
      <x:c r="G6" s="62" t="str">
        <x:v>A/B</x:v>
      </x:c>
      <x:c r="H6" s="62" t="str">
        <x:v>사업 연결과 기대를 분리 표기</x:v>
      </x:c>
    </x:row>
    <x:row r="7" ht="72" customHeight="1">
      <x:c r="A7" s="62" t="str">
        <x:v>바이럴-사업직결</x:v>
      </x:c>
      <x:c r="B7" s="62" t="str">
        <x:v>SNS 유행이 실제 제품·IP·원재료·유통 매출로 연결</x:v>
      </x:c>
      <x:c r="C7" s="62" t="str">
        <x:v>직접 있음</x:v>
      </x:c>
      <x:c r="D7" s="62" t="str">
        <x:v>실적 반영 전후 모두 가능</x:v>
      </x:c>
      <x:c r="E7" s="62" t="str">
        <x:v>유행·판매·주가의 시간 순서 확인</x:v>
      </x:c>
      <x:c r="F7" s="62" t="str">
        <x:v>직접 판매·납품 확인</x:v>
      </x:c>
      <x:c r="G7" s="62" t="str">
        <x:v>A/B</x:v>
      </x:c>
      <x:c r="H7" s="62" t="str">
        <x:v>비즈니스 모드와 밈 모드의 교차 사례</x:v>
      </x:c>
    </x:row>
    <x:row r="8" ht="72" customHeight="1">
      <x:c r="A8" s="62" t="str">
        <x:v>후보-추가검증</x:v>
      </x:c>
      <x:c r="B8" s="62" t="str">
        <x:v>테마 편입은 확인되나 정확한 가격·공시·동시 재료 검토가 부족</x:v>
      </x:c>
      <x:c r="C8" s="62" t="str">
        <x:v>미확인</x:v>
      </x:c>
      <x:c r="D8" s="62" t="str">
        <x:v>미확인</x:v>
      </x:c>
      <x:c r="E8" s="62" t="str">
        <x:v>단일 기사 또는 그룹 기사</x:v>
      </x:c>
      <x:c r="F8" s="62" t="str">
        <x:v>미확인</x:v>
      </x:c>
      <x:c r="G8" s="62" t="str">
        <x:v>C</x:v>
      </x:c>
      <x:c r="H8" s="62" t="str">
        <x:v>후속 DART/KIND·시세 검증 큐</x:v>
      </x:c>
    </x:row>
    <x:row r="10">
      <x:c r="A10" s="11" t="str">
        <x:v>신뢰도 규칙</x:v>
      </x:c>
      <x:c r="B10" s="11"/>
      <x:c r="C10" s="11"/>
      <x:c r="D10" s="11"/>
      <x:c r="E10" s="11"/>
      <x:c r="F10" s="11"/>
      <x:c r="G10" s="11"/>
      <x:c r="H10" s="11"/>
    </x:row>
    <x:row r="11" ht="42" customHeight="1">
      <x:c r="A11" s="31" t="str">
        <x:v>A</x:v>
      </x:c>
      <x:c r="B11" s="31" t="str">
        <x:v>가격 반응 + 연결 사유 + 반박/사업 검토 중 3개 이상이 복수의 신뢰 가능한 출처로 확인</x:v>
      </x:c>
      <x:c r="C11" s="31" t="str"/>
      <x:c r="D11" s="31" t="str"/>
      <x:c r="E11" s="31" t="str"/>
      <x:c r="F11" s="31" t="str"/>
      <x:c r="G11" s="31" t="str"/>
      <x:c r="H11" s="31" t="str"/>
    </x:row>
    <x:row r="12" ht="42" customHeight="1">
      <x:c r="A12" s="31" t="str">
        <x:v>B</x:v>
      </x:c>
      <x:c r="B12" s="31" t="str">
        <x:v>테마·가격 반응은 확인되지만 회사 공시 또는 정확한 누적 수익률 한 항목이 부족</x:v>
      </x:c>
      <x:c r="C12" s="31" t="str"/>
      <x:c r="D12" s="31" t="str"/>
      <x:c r="E12" s="31" t="str"/>
      <x:c r="F12" s="31" t="str"/>
      <x:c r="G12" s="31" t="str"/>
      <x:c r="H12" s="31" t="str"/>
    </x:row>
    <x:row r="13" ht="42" customHeight="1">
      <x:c r="A13" s="31" t="str">
        <x:v>C</x:v>
      </x:c>
      <x:c r="B13" s="31" t="str">
        <x:v>그룹 기사·단일 출처 중심. 사례 후보로만 사용하고 반드시 원문 공시·시세 보강</x:v>
      </x:c>
      <x:c r="C13" s="31" t="str"/>
      <x:c r="D13" s="31" t="str"/>
      <x:c r="E13" s="31" t="str"/>
      <x:c r="F13" s="31" t="str"/>
      <x:c r="G13" s="31" t="str"/>
      <x:c r="H13" s="31" t="str"/>
    </x:row>
    <x:row r="15" ht="48" customHeight="1">
      <x:c r="A15" s="64" t="str">
        <x:v>조사 순서: ① 최초 SNS 신호 확인 → ② 검색·품절·판매 확산 확인 → ③ 상장기업 연결 단계 구분 → ④ 이벤트 윈도우 주가 확인 → ⑤ 동시 실적·공시 분리 → ⑥ 유행 소멸 뒤 반전 기록</x:v>
      </x:c>
      <x:c r="B15" s="64"/>
      <x:c r="C15" s="64"/>
      <x:c r="D15" s="64"/>
      <x:c r="E15" s="64"/>
      <x:c r="F15" s="64"/>
      <x:c r="G15" s="64"/>
      <x:c r="H15" s="64"/>
    </x:row>
  </x:sheetData>
  <x:mergeCells>
    <x:mergeCell ref="A1:H1"/>
    <x:mergeCell ref="A2:H2"/>
    <x:mergeCell ref="A10:H10"/>
    <x:mergeCell ref="A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8" hidden="0" customWidth="1"/>
    <x:col min="4" max="4" width="18" hidden="0" customWidth="1"/>
    <x:col min="5" max="5" width="22" hidden="0" customWidth="1"/>
    <x:col min="6" max="6" width="11" hidden="0" customWidth="1"/>
    <x:col min="7" max="7" width="12" hidden="0" customWidth="1"/>
    <x:col min="8" max="8" width="15" hidden="0" customWidth="1"/>
    <x:col min="9" max="9" width="28" hidden="0" customWidth="1"/>
    <x:col min="10" max="10" width="30" hidden="0" customWidth="1"/>
    <x:col min="11" max="11" width="14" hidden="0" customWidth="1"/>
    <x:col min="12" max="12" width="31" hidden="0" customWidth="1"/>
    <x:col min="13" max="13" width="12" hidden="0" customWidth="1"/>
    <x:col min="14" max="14" width="18" hidden="0" customWidth="1"/>
    <x:col min="15" max="15" width="21" hidden="0" customWidth="1"/>
    <x:col min="16" max="16" width="30" hidden="0" customWidth="1"/>
    <x:col min="17" max="17" width="18" hidden="0" customWidth="1"/>
    <x:col min="18" max="18" width="9" hidden="0" customWidth="1"/>
    <x:col min="19" max="19" width="15" hidden="0" customWidth="1"/>
    <x:col min="20" max="20" width="12" hidden="0" customWidth="1"/>
    <x:col min="21" max="21" width="24" hidden="0" customWidth="1"/>
  </x:cols>
  <x:sheetData>
    <x:row r="1" ht="32" customHeight="1">
      <x:c r="A1" s="3" t="str">
        <x:v>밈·정치·정책·SNS 소비유행 사례원장 — 2009~2026 팩트 감사판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</x:row>
    <x:row r="2" ht="30" customHeight="1">
      <x:c r="A2" s="6" t="str">
        <x:v>v3 106건 + 초기 확장 25건 = 131건 | 한국 101건 | 2009~2026 사건연도 기재 한국행 94건 | 수치 없는 사례는 후보로 분리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4" ht="36" customHeight="1">
      <x:c r="A4" s="61" t="str">
        <x:v>사례ID</x:v>
      </x:c>
      <x:c r="B4" s="61" t="str">
        <x:v>국가</x:v>
      </x:c>
      <x:c r="C4" s="61" t="str">
        <x:v>대분류</x:v>
      </x:c>
      <x:c r="D4" s="61" t="str">
        <x:v>테마/인물</x:v>
      </x:c>
      <x:c r="E4" s="61" t="str">
        <x:v>기업명(당시)</x:v>
      </x:c>
      <x:c r="F4" s="61" t="str">
        <x:v>티커</x:v>
      </x:c>
      <x:c r="G4" s="61" t="str">
        <x:v>시장</x:v>
      </x:c>
      <x:c r="H4" s="61" t="str">
        <x:v>이벤트 시점</x:v>
      </x:c>
      <x:c r="I4" s="61" t="str">
        <x:v>촉발 사건</x:v>
      </x:c>
      <x:c r="J4" s="61" t="str">
        <x:v>밈 연결고리</x:v>
      </x:c>
      <x:c r="K4" s="61" t="str">
        <x:v>실제 사업 연결</x:v>
      </x:c>
      <x:c r="L4" s="61" t="str">
        <x:v>가격 반응</x:v>
      </x:c>
      <x:c r="M4" s="61" t="str">
        <x:v>반응 수치(%)</x:v>
      </x:c>
      <x:c r="N4" s="61" t="str">
        <x:v>측정 기간</x:v>
      </x:c>
      <x:c r="O4" s="61" t="str">
        <x:v>실적·기술 동시재료</x:v>
      </x:c>
      <x:c r="P4" s="61" t="str">
        <x:v>회사/공시 반박·검증</x:v>
      </x:c>
      <x:c r="Q4" s="61" t="str">
        <x:v>판정</x:v>
      </x:c>
      <x:c r="R4" s="61" t="str">
        <x:v>신뢰도</x:v>
      </x:c>
      <x:c r="S4" s="61" t="str">
        <x:v>출처ID</x:v>
      </x:c>
      <x:c r="T4" s="61" t="str">
        <x:v>검증상태</x:v>
      </x:c>
      <x:c r="U4" s="61" t="str">
        <x:v>비고</x:v>
      </x:c>
    </x:row>
    <x:row r="5" ht="56" customHeight="1">
      <x:c r="A5" s="72" t="str">
        <x:v>KR-M001</x:v>
      </x:c>
      <x:c r="B5" s="62" t="str">
        <x:v>한국</x:v>
      </x:c>
      <x:c r="C5" s="62" t="str">
        <x:v>정치인·종친</x:v>
      </x:c>
      <x:c r="D5" s="62" t="str">
        <x:v>윤석열</x:v>
      </x:c>
      <x:c r="E5" s="62" t="str">
        <x:v>NE능률</x:v>
      </x:c>
      <x:c r="F5" s="70" t="str">
        <x:v>053290</x:v>
      </x:c>
      <x:c r="G5" s="62" t="str">
        <x:v>KOSDAQ</x:v>
      </x:c>
      <x:c r="H5" s="62" t="str">
        <x:v>2021-03</x:v>
      </x:c>
      <x:c r="I5" s="62" t="str">
        <x:v>검찰총장 사퇴·대선 기대</x:v>
      </x:c>
      <x:c r="J5" s="62" t="str">
        <x:v>최대주주와 윤석열이 같은 파평 윤씨</x:v>
      </x:c>
      <x:c r="K5" s="62" t="str">
        <x:v>없음</x:v>
      </x:c>
      <x:c r="L5" s="62" t="str">
        <x:v>회사가 무관 공시했지만 약 150% 급등</x:v>
      </x:c>
      <x:c r="M5" s="114" t="n">
        <x:v>150</x:v>
      </x:c>
      <x:c r="N5" s="62" t="str">
        <x:v>2021-03 초~중순</x:v>
      </x:c>
      <x:c r="O5" s="62" t="str">
        <x:v>기사상 없음</x:v>
      </x:c>
      <x:c r="P5" s="62" t="str">
        <x:v>사업 및 윤석열과 아무 관련 없음 공시</x:v>
      </x:c>
      <x:c r="Q5" s="62" t="str">
        <x:v>강한 밈</x:v>
      </x:c>
      <x:c r="R5" s="62" t="str">
        <x:v>A</x:v>
      </x:c>
      <x:c r="S5" s="62" t="str">
        <x:v>S04;S05</x:v>
      </x:c>
      <x:c r="T5" s="62" t="str">
        <x:v>완료</x:v>
      </x:c>
      <x:c r="U5" s="62" t="str">
        <x:v>종친만으로 연결</x:v>
      </x:c>
    </x:row>
    <x:row r="6" ht="56" customHeight="1">
      <x:c r="A6" s="72" t="str">
        <x:v>KR-M002</x:v>
      </x:c>
      <x:c r="B6" s="62" t="str">
        <x:v>한국</x:v>
      </x:c>
      <x:c r="C6" s="62" t="str">
        <x:v>정치인·학연</x:v>
      </x:c>
      <x:c r="D6" s="62" t="str">
        <x:v>윤석열</x:v>
      </x:c>
      <x:c r="E6" s="62" t="str">
        <x:v>덕성</x:v>
      </x:c>
      <x:c r="F6" s="70" t="str">
        <x:v>004830</x:v>
      </x:c>
      <x:c r="G6" s="62" t="str">
        <x:v>KOSPI</x:v>
      </x:c>
      <x:c r="H6" s="62" t="str">
        <x:v>2021-03-04</x:v>
      </x:c>
      <x:c r="I6" s="62" t="str">
        <x:v>윤석열 사퇴</x:v>
      </x:c>
      <x:c r="J6" s="62" t="str">
        <x:v>대표·사외이사 서울대 법대 동문 서사</x:v>
      </x:c>
      <x:c r="K6" s="62" t="str">
        <x:v>없음</x:v>
      </x:c>
      <x:c r="L6" s="62" t="str">
        <x:v>당일 상한가</x:v>
      </x:c>
      <x:c r="M6" s="114" t="n">
        <x:v>29.9</x:v>
      </x:c>
      <x:c r="N6" s="62" t="str">
        <x:v>1일</x:v>
      </x:c>
      <x:c r="O6" s="62" t="str">
        <x:v>기사상 없음</x:v>
      </x:c>
      <x:c r="P6" s="62" t="str">
        <x:v>정치인과 사업 연관 공시 근거 없음</x:v>
      </x:c>
      <x:c r="Q6" s="62" t="str">
        <x:v>강한 밈</x:v>
      </x:c>
      <x:c r="R6" s="62" t="str">
        <x:v>B</x:v>
      </x:c>
      <x:c r="S6" s="62" t="str">
        <x:v>S06</x:v>
      </x:c>
      <x:c r="T6" s="62" t="str">
        <x:v>완료</x:v>
      </x:c>
      <x:c r="U6" s="62" t="str">
        <x:v>동문 테마</x:v>
      </x:c>
    </x:row>
    <x:row r="7" ht="56" customHeight="1">
      <x:c r="A7" s="72" t="str">
        <x:v>KR-M003</x:v>
      </x:c>
      <x:c r="B7" s="62" t="str">
        <x:v>한국</x:v>
      </x:c>
      <x:c r="C7" s="62" t="str">
        <x:v>정치인·학연</x:v>
      </x:c>
      <x:c r="D7" s="62" t="str">
        <x:v>윤석열</x:v>
      </x:c>
      <x:c r="E7" s="62" t="str">
        <x:v>서연</x:v>
      </x:c>
      <x:c r="F7" s="70" t="str">
        <x:v>007860</x:v>
      </x:c>
      <x:c r="G7" s="62" t="str">
        <x:v>KOSPI</x:v>
      </x:c>
      <x:c r="H7" s="62" t="str">
        <x:v>2021-03-04</x:v>
      </x:c>
      <x:c r="I7" s="62" t="str">
        <x:v>윤석열 사퇴</x:v>
      </x:c>
      <x:c r="J7" s="62" t="str">
        <x:v>과거 사외이사와 윤석열 학연 서사</x:v>
      </x:c>
      <x:c r="K7" s="62" t="str">
        <x:v>없음</x:v>
      </x:c>
      <x:c r="L7" s="62" t="str">
        <x:v>당일 상한가</x:v>
      </x:c>
      <x:c r="M7" s="114" t="n">
        <x:v>29.9</x:v>
      </x:c>
      <x:c r="N7" s="62" t="str">
        <x:v>1일</x:v>
      </x:c>
      <x:c r="O7" s="62" t="str">
        <x:v>기사상 없음</x:v>
      </x:c>
      <x:c r="P7" s="62" t="str">
        <x:v>직접 사업 연결 확인 안 됨</x:v>
      </x:c>
      <x:c r="Q7" s="62" t="str">
        <x:v>강한 밈</x:v>
      </x:c>
      <x:c r="R7" s="62" t="str">
        <x:v>B</x:v>
      </x:c>
      <x:c r="S7" s="62" t="str">
        <x:v>S06</x:v>
      </x:c>
      <x:c r="T7" s="62" t="str">
        <x:v>완료</x:v>
      </x:c>
      <x:c r="U7" s="62" t="str">
        <x:v>인맥 테마</x:v>
      </x:c>
    </x:row>
    <x:row r="8" ht="56" customHeight="1">
      <x:c r="A8" s="72" t="str">
        <x:v>KR-M004</x:v>
      </x:c>
      <x:c r="B8" s="62" t="str">
        <x:v>한국</x:v>
      </x:c>
      <x:c r="C8" s="62" t="str">
        <x:v>정치인·학연</x:v>
      </x:c>
      <x:c r="D8" s="62" t="str">
        <x:v>윤석열</x:v>
      </x:c>
      <x:c r="E8" s="62" t="str">
        <x:v>서연탑메탈</x:v>
      </x:c>
      <x:c r="F8" s="70" t="str">
        <x:v>019770</x:v>
      </x:c>
      <x:c r="G8" s="62" t="str">
        <x:v>KOSDAQ</x:v>
      </x:c>
      <x:c r="H8" s="62" t="str">
        <x:v>2021-11-05</x:v>
      </x:c>
      <x:c r="I8" s="62" t="str">
        <x:v>국민의힘 대선 후보 확정</x:v>
      </x:c>
      <x:c r="J8" s="62" t="str">
        <x:v>모회사 서연의 인맥 서사를 계열사로 확장</x:v>
      </x:c>
      <x:c r="K8" s="62" t="str">
        <x:v>없음</x:v>
      </x:c>
      <x:c r="L8" s="62" t="str">
        <x:v>당일 10.14% 상승</x:v>
      </x:c>
      <x:c r="M8" s="114" t="n">
        <x:v>10.14</x:v>
      </x:c>
      <x:c r="N8" s="62" t="str">
        <x:v>1일</x:v>
      </x:c>
      <x:c r="O8" s="62" t="str">
        <x:v>기사상 없음</x:v>
      </x:c>
      <x:c r="P8" s="62" t="str">
        <x:v>직접 사업 연결 확인 안 됨</x:v>
      </x:c>
      <x:c r="Q8" s="62" t="str">
        <x:v>강한 밈</x:v>
      </x:c>
      <x:c r="R8" s="62" t="str">
        <x:v>B</x:v>
      </x:c>
      <x:c r="S8" s="62" t="str">
        <x:v>S06</x:v>
      </x:c>
      <x:c r="T8" s="62" t="str">
        <x:v>완료</x:v>
      </x:c>
      <x:c r="U8" s="62" t="str">
        <x:v>파생 테마</x:v>
      </x:c>
    </x:row>
    <x:row r="9" ht="56" customHeight="1">
      <x:c r="A9" s="72" t="str">
        <x:v>KR-M005</x:v>
      </x:c>
      <x:c r="B9" s="62" t="str">
        <x:v>한국</x:v>
      </x:c>
      <x:c r="C9" s="62" t="str">
        <x:v>정치인·지연</x:v>
      </x:c>
      <x:c r="D9" s="62" t="str">
        <x:v>이재명</x:v>
      </x:c>
      <x:c r="E9" s="62" t="str">
        <x:v>동신건설</x:v>
      </x:c>
      <x:c r="F9" s="70" t="str">
        <x:v>025950</x:v>
      </x:c>
      <x:c r="G9" s="62" t="str">
        <x:v>KOSDAQ</x:v>
      </x:c>
      <x:c r="H9" s="62" t="str">
        <x:v>2025-03-27</x:v>
      </x:c>
      <x:c r="I9" s="62" t="str">
        <x:v>재판·여론조사 등 대선 뉴스</x:v>
      </x:c>
      <x:c r="J9" s="62" t="str">
        <x:v>본사가 이재명 고향 안동에 있다는 이유</x:v>
      </x:c>
      <x:c r="K9" s="62" t="str">
        <x:v>없음</x:v>
      </x:c>
      <x:c r="L9" s="62" t="str">
        <x:v>당일 7.89% 상승</x:v>
      </x:c>
      <x:c r="M9" s="114" t="n">
        <x:v>7.89</x:v>
      </x:c>
      <x:c r="N9" s="62" t="str">
        <x:v>1일</x:v>
      </x:c>
      <x:c r="O9" s="62" t="str">
        <x:v>기사상 없음</x:v>
      </x:c>
      <x:c r="P9" s="62" t="str">
        <x:v>직접 사업 연결 확인 안 됨</x:v>
      </x:c>
      <x:c r="Q9" s="62" t="str">
        <x:v>강한 밈</x:v>
      </x:c>
      <x:c r="R9" s="62" t="str">
        <x:v>A</x:v>
      </x:c>
      <x:c r="S9" s="62" t="str">
        <x:v>S07</x:v>
      </x:c>
      <x:c r="T9" s="62" t="str">
        <x:v>완료</x:v>
      </x:c>
      <x:c r="U9" s="62" t="str">
        <x:v>고향 연결</x:v>
      </x:c>
    </x:row>
    <x:row r="10" ht="56" customHeight="1">
      <x:c r="A10" s="72" t="str">
        <x:v>KR-M006</x:v>
      </x:c>
      <x:c r="B10" s="62" t="str">
        <x:v>한국</x:v>
      </x:c>
      <x:c r="C10" s="62" t="str">
        <x:v>정치인·근무이력</x:v>
      </x:c>
      <x:c r="D10" s="62" t="str">
        <x:v>이재명</x:v>
      </x:c>
      <x:c r="E10" s="62" t="str">
        <x:v>오리엔트정공</x:v>
      </x:c>
      <x:c r="F10" s="70" t="str">
        <x:v>065500</x:v>
      </x:c>
      <x:c r="G10" s="62" t="str">
        <x:v>KOSDAQ</x:v>
      </x:c>
      <x:c r="H10" s="62" t="str">
        <x:v>2024-11</x:v>
      </x:c>
      <x:c r="I10" s="62" t="str">
        <x:v>정국 변화·차기 대선 기대</x:v>
      </x:c>
      <x:c r="J10" s="62" t="str">
        <x:v>이재명이 과거 계열 시계공장 근무·출마선언 장소</x:v>
      </x:c>
      <x:c r="K10" s="62" t="str">
        <x:v>매우 약함</x:v>
      </x:c>
      <x:c r="L10" s="62" t="str">
        <x:v>1,294원에서 6,430원으로 약 5배</x:v>
      </x:c>
      <x:c r="M10" s="114" t="n">
        <x:v>396.91</x:v>
      </x:c>
      <x:c r="N10" s="62" t="str">
        <x:v>2024-11-06~기사 기준</x:v>
      </x:c>
      <x:c r="O10" s="62" t="str">
        <x:v>기사상 없음</x:v>
      </x:c>
      <x:c r="P10" s="62" t="str">
        <x:v>직접 수혜 사업 확인 안 됨</x:v>
      </x:c>
      <x:c r="Q10" s="62" t="str">
        <x:v>강한 밈</x:v>
      </x:c>
      <x:c r="R10" s="62" t="str">
        <x:v>A</x:v>
      </x:c>
      <x:c r="S10" s="62" t="str">
        <x:v>S08</x:v>
      </x:c>
      <x:c r="T10" s="62" t="str">
        <x:v>완료</x:v>
      </x:c>
      <x:c r="U10" s="62" t="str">
        <x:v>개인 이력 연결</x:v>
      </x:c>
    </x:row>
    <x:row r="11" ht="56" customHeight="1">
      <x:c r="A11" s="72" t="str">
        <x:v>KR-M007</x:v>
      </x:c>
      <x:c r="B11" s="62" t="str">
        <x:v>한국</x:v>
      </x:c>
      <x:c r="C11" s="62" t="str">
        <x:v>이름 혼동</x:v>
      </x:c>
      <x:c r="D11" s="62" t="str">
        <x:v>이재명</x:v>
      </x:c>
      <x:c r="E11" s="62" t="str">
        <x:v>오리엔탈정공</x:v>
      </x:c>
      <x:c r="F11" s="70" t="str">
        <x:v>014940</x:v>
      </x:c>
      <x:c r="G11" s="62" t="str">
        <x:v>KOSDAQ</x:v>
      </x:c>
      <x:c r="H11" s="62" t="str">
        <x:v>2024-11</x:v>
      </x:c>
      <x:c r="I11" s="62" t="str">
        <x:v>오리엔트정공 급등</x:v>
      </x:c>
      <x:c r="J11" s="62" t="str">
        <x:v>회사명이 비슷하다는 이유로 잘못 엮임</x:v>
      </x:c>
      <x:c r="K11" s="62" t="str">
        <x:v>없음</x:v>
      </x:c>
      <x:c r="L11" s="62" t="str">
        <x:v>같은 기간 64.39% 상승</x:v>
      </x:c>
      <x:c r="M11" s="114" t="n">
        <x:v>64.39</x:v>
      </x:c>
      <x:c r="N11" s="62" t="str">
        <x:v>2024-11-06~기사 기준</x:v>
      </x:c>
      <x:c r="O11" s="62" t="str">
        <x:v>조선 업황 요인 일부 가능</x:v>
      </x:c>
      <x:c r="P11" s="62" t="str">
        <x:v>이재명·오리엔트정공과 무관</x:v>
      </x:c>
      <x:c r="Q11" s="62" t="str">
        <x:v>강한 밈</x:v>
      </x:c>
      <x:c r="R11" s="62" t="str">
        <x:v>A</x:v>
      </x:c>
      <x:c r="S11" s="62" t="str">
        <x:v>S08</x:v>
      </x:c>
      <x:c r="T11" s="62" t="str">
        <x:v>완료</x:v>
      </x:c>
      <x:c r="U11" s="62" t="str">
        <x:v>대표적 착오 매수</x:v>
      </x:c>
    </x:row>
    <x:row r="12" ht="56" customHeight="1">
      <x:c r="A12" s="72" t="str">
        <x:v>KR-M008</x:v>
      </x:c>
      <x:c r="B12" s="62" t="str">
        <x:v>한국</x:v>
      </x:c>
      <x:c r="C12" s="62" t="str">
        <x:v>정치인·인맥</x:v>
      </x:c>
      <x:c r="D12" s="62" t="str">
        <x:v>이재명</x:v>
      </x:c>
      <x:c r="E12" s="62" t="str">
        <x:v>에이텍</x:v>
      </x:c>
      <x:c r="F12" s="70" t="str">
        <x:v>045660</x:v>
      </x:c>
      <x:c r="G12" s="62" t="str">
        <x:v>KOSDAQ</x:v>
      </x:c>
      <x:c r="H12" s="62" t="str">
        <x:v>2025-04</x:v>
      </x:c>
      <x:c r="I12" s="62" t="str">
        <x:v>조기 대선 정국</x:v>
      </x:c>
      <x:c r="J12" s="62" t="str">
        <x:v>최대주주의 성남창조경영CEO포럼 활동 이력</x:v>
      </x:c>
      <x:c r="K12" s="62" t="str">
        <x:v>없음</x:v>
      </x:c>
      <x:c r="L12" s="62" t="str">
        <x:v>4월 2일 44,500원 고점 후 5월 14일 24,550원(-44.8%)</x:v>
      </x:c>
      <x:c r="M12" s="114" t="str"/>
      <x:c r="N12" s="62" t="str">
        <x:v>고점~2025-05-14</x:v>
      </x:c>
      <x:c r="O12" s="62" t="str">
        <x:v>기사상 없음</x:v>
      </x:c>
      <x:c r="P12" s="62" t="str">
        <x:v>직접 사업 연결 확인 안 됨</x:v>
      </x:c>
      <x:c r="Q12" s="62" t="str">
        <x:v>강한 밈</x:v>
      </x:c>
      <x:c r="R12" s="62" t="str">
        <x:v>A</x:v>
      </x:c>
      <x:c r="S12" s="62" t="str">
        <x:v>S09;S49</x:v>
      </x:c>
      <x:c r="T12" s="62" t="str">
        <x:v>완료</x:v>
      </x:c>
      <x:c r="U12" s="62" t="str">
        <x:v>테마 소멸 위험 확인</x:v>
      </x:c>
    </x:row>
    <x:row r="13" ht="56" customHeight="1">
      <x:c r="A13" s="72" t="str">
        <x:v>KR-M009</x:v>
      </x:c>
      <x:c r="B13" s="62" t="str">
        <x:v>한국</x:v>
      </x:c>
      <x:c r="C13" s="62" t="str">
        <x:v>정치인·인맥</x:v>
      </x:c>
      <x:c r="D13" s="62" t="str">
        <x:v>이재명</x:v>
      </x:c>
      <x:c r="E13" s="62" t="str">
        <x:v>에이텍모빌리티</x:v>
      </x:c>
      <x:c r="F13" s="70" t="str">
        <x:v>224110</x:v>
      </x:c>
      <x:c r="G13" s="62" t="str">
        <x:v>KOSDAQ</x:v>
      </x:c>
      <x:c r="H13" s="62" t="str">
        <x:v>2025-05-02</x:v>
      </x:c>
      <x:c r="I13" s="62" t="str">
        <x:v>대법원 판결 뉴스</x:v>
      </x:c>
      <x:c r="J13" s="62" t="str">
        <x:v>에이텍과 동일한 인맥 서사</x:v>
      </x:c>
      <x:c r="K13" s="62" t="str">
        <x:v>없음</x:v>
      </x:c>
      <x:c r="L13" s="62" t="str">
        <x:v>관련 뉴스 당일 -10.42%로 역반응</x:v>
      </x:c>
      <x:c r="M13" s="114" t="n">
        <x:v>-10.42</x:v>
      </x:c>
      <x:c r="N13" s="62" t="str">
        <x:v>1일</x:v>
      </x:c>
      <x:c r="O13" s="62" t="str">
        <x:v>기사상 없음</x:v>
      </x:c>
      <x:c r="P13" s="62" t="str">
        <x:v>직접 사업 연결 확인 안 됨</x:v>
      </x:c>
      <x:c r="Q13" s="62" t="str">
        <x:v>강한 밈</x:v>
      </x:c>
      <x:c r="R13" s="62" t="str">
        <x:v>B</x:v>
      </x:c>
      <x:c r="S13" s="62" t="str">
        <x:v>S09</x:v>
      </x:c>
      <x:c r="T13" s="62" t="str">
        <x:v>완료</x:v>
      </x:c>
      <x:c r="U13" s="62" t="str">
        <x:v>상승뿐 아니라 뉴스 역반응 확인</x:v>
      </x:c>
    </x:row>
    <x:row r="14" ht="56" customHeight="1">
      <x:c r="A14" s="72" t="str">
        <x:v>KR-M010</x:v>
      </x:c>
      <x:c r="B14" s="62" t="str">
        <x:v>한국</x:v>
      </x:c>
      <x:c r="C14" s="62" t="str">
        <x:v>정치인·간접인맥</x:v>
      </x:c>
      <x:c r="D14" s="62" t="str">
        <x:v>문재인</x:v>
      </x:c>
      <x:c r="E14" s="62" t="str">
        <x:v>우리들휴브레인(당시)</x:v>
      </x:c>
      <x:c r="F14" s="70" t="str">
        <x:v>118000</x:v>
      </x:c>
      <x:c r="G14" s="62" t="str">
        <x:v>KOSPI</x:v>
      </x:c>
      <x:c r="H14" s="62" t="str">
        <x:v>2016</x:v>
      </x:c>
      <x:c r="I14" s="62" t="str">
        <x:v>대선 지지율·총선 결과</x:v>
      </x:c>
      <x:c r="J14" s="62" t="str">
        <x:v>관계 재단 인사가 노무현 전 대통령 주치의였다는 간접 서사</x:v>
      </x:c>
      <x:c r="K14" s="62" t="str">
        <x:v>없음</x:v>
      </x:c>
      <x:c r="L14" s="62" t="str">
        <x:v>2016년 연초 대비 202%</x:v>
      </x:c>
      <x:c r="M14" s="114" t="n">
        <x:v>202</x:v>
      </x:c>
      <x:c r="N14" s="62" t="str">
        <x:v>2016 YTD</x:v>
      </x:c>
      <x:c r="O14" s="62" t="str">
        <x:v>실적과 불일치 지적</x:v>
      </x:c>
      <x:c r="P14" s="62" t="str">
        <x:v>직접 사업 연결 확인 안 됨</x:v>
      </x:c>
      <x:c r="Q14" s="62" t="str">
        <x:v>강한 밈</x:v>
      </x:c>
      <x:c r="R14" s="62" t="str">
        <x:v>A</x:v>
      </x:c>
      <x:c r="S14" s="62" t="str">
        <x:v>S10;S11;S12</x:v>
      </x:c>
      <x:c r="T14" s="62" t="str">
        <x:v>완료</x:v>
      </x:c>
      <x:c r="U14" s="62" t="str">
        <x:v>당시 종목명 기준</x:v>
      </x:c>
    </x:row>
    <x:row r="15" ht="56" customHeight="1">
      <x:c r="A15" s="72" t="str">
        <x:v>KR-M011</x:v>
      </x:c>
      <x:c r="B15" s="62" t="str">
        <x:v>한국</x:v>
      </x:c>
      <x:c r="C15" s="62" t="str">
        <x:v>정치인·간접인맥</x:v>
      </x:c>
      <x:c r="D15" s="62" t="str">
        <x:v>문재인</x:v>
      </x:c>
      <x:c r="E15" s="62" t="str">
        <x:v>우리들제약(당시)</x:v>
      </x:c>
      <x:c r="F15" s="70" t="str">
        <x:v>004720</x:v>
      </x:c>
      <x:c r="G15" s="62" t="str">
        <x:v>KOSPI</x:v>
      </x:c>
      <x:c r="H15" s="62" t="str">
        <x:v>2016</x:v>
      </x:c>
      <x:c r="I15" s="62" t="str">
        <x:v>대선 지지율·총선 결과</x:v>
      </x:c>
      <x:c r="J15" s="62" t="str">
        <x:v>우리들 계열의 노무현·문재인 인맥 서사</x:v>
      </x:c>
      <x:c r="K15" s="62" t="str">
        <x:v>없음</x:v>
      </x:c>
      <x:c r="L15" s="62" t="str">
        <x:v>2016년 연초 대비 157%</x:v>
      </x:c>
      <x:c r="M15" s="114" t="n">
        <x:v>157</x:v>
      </x:c>
      <x:c r="N15" s="62" t="str">
        <x:v>2016 YTD</x:v>
      </x:c>
      <x:c r="O15" s="62" t="str">
        <x:v>실적과 불일치 지적</x:v>
      </x:c>
      <x:c r="P15" s="62" t="str">
        <x:v>직접 사업 연결 확인 안 됨</x:v>
      </x:c>
      <x:c r="Q15" s="62" t="str">
        <x:v>강한 밈</x:v>
      </x:c>
      <x:c r="R15" s="62" t="str">
        <x:v>A</x:v>
      </x:c>
      <x:c r="S15" s="62" t="str">
        <x:v>S10;S11;S12</x:v>
      </x:c>
      <x:c r="T15" s="62" t="str">
        <x:v>완료</x:v>
      </x:c>
      <x:c r="U15" s="62" t="str">
        <x:v>현재 사명과 다를 수 있음</x:v>
      </x:c>
    </x:row>
    <x:row r="16" ht="56" customHeight="1">
      <x:c r="A16" s="72" t="str">
        <x:v>KR-M012</x:v>
      </x:c>
      <x:c r="B16" s="62" t="str">
        <x:v>한국</x:v>
      </x:c>
      <x:c r="C16" s="62" t="str">
        <x:v>정치인·학연</x:v>
      </x:c>
      <x:c r="D16" s="62" t="str">
        <x:v>문재인</x:v>
      </x:c>
      <x:c r="E16" s="62" t="str">
        <x:v>고려산업</x:v>
      </x:c>
      <x:c r="F16" s="70" t="str">
        <x:v>002140</x:v>
      </x:c>
      <x:c r="G16" s="62" t="str">
        <x:v>KOSPI</x:v>
      </x:c>
      <x:c r="H16" s="62" t="str">
        <x:v>2016</x:v>
      </x:c>
      <x:c r="I16" s="62" t="str">
        <x:v>대선 기대</x:v>
      </x:c>
      <x:c r="J16" s="62" t="str">
        <x:v>자회사 사외이사가 문재인 사법연수원 동기</x:v>
      </x:c>
      <x:c r="K16" s="62" t="str">
        <x:v>없음</x:v>
      </x:c>
      <x:c r="L16" s="62" t="str">
        <x:v>2016년 연초 대비 225%</x:v>
      </x:c>
      <x:c r="M16" s="114" t="n">
        <x:v>225</x:v>
      </x:c>
      <x:c r="N16" s="62" t="str">
        <x:v>2016 YTD</x:v>
      </x:c>
      <x:c r="O16" s="62" t="str">
        <x:v>기사상 없음</x:v>
      </x:c>
      <x:c r="P16" s="62" t="str">
        <x:v>직접 사업 연결 확인 안 됨</x:v>
      </x:c>
      <x:c r="Q16" s="62" t="str">
        <x:v>강한 밈</x:v>
      </x:c>
      <x:c r="R16" s="62" t="str">
        <x:v>A</x:v>
      </x:c>
      <x:c r="S16" s="62" t="str">
        <x:v>S12</x:v>
      </x:c>
      <x:c r="T16" s="62" t="str">
        <x:v>완료</x:v>
      </x:c>
      <x:c r="U16" s="62" t="str">
        <x:v>학연 테마</x:v>
      </x:c>
    </x:row>
    <x:row r="17" ht="56" customHeight="1">
      <x:c r="A17" s="72" t="str">
        <x:v>KR-M013</x:v>
      </x:c>
      <x:c r="B17" s="62" t="str">
        <x:v>한국</x:v>
      </x:c>
      <x:c r="C17" s="62" t="str">
        <x:v>정치인·인맥</x:v>
      </x:c>
      <x:c r="D17" s="62" t="str">
        <x:v>문재인</x:v>
      </x:c>
      <x:c r="E17" s="62" t="str">
        <x:v>대성파인텍</x:v>
      </x:c>
      <x:c r="F17" s="70" t="str">
        <x:v>104040</x:v>
      </x:c>
      <x:c r="G17" s="62" t="str">
        <x:v>KOSDAQ</x:v>
      </x:c>
      <x:c r="H17" s="62" t="str">
        <x:v>2016-12-09</x:v>
      </x:c>
      <x:c r="I17" s="62" t="str">
        <x:v>박근혜 탄핵안 가결</x:v>
      </x:c>
      <x:c r="J17" s="62" t="str">
        <x:v>문재인 테마주로 분류</x:v>
      </x:c>
      <x:c r="K17" s="62" t="str">
        <x:v>없음</x:v>
      </x:c>
      <x:c r="L17" s="62" t="str">
        <x:v>당일 상한가</x:v>
      </x:c>
      <x:c r="M17" s="114" t="n">
        <x:v>29.9</x:v>
      </x:c>
      <x:c r="N17" s="62" t="str">
        <x:v>1일</x:v>
      </x:c>
      <x:c r="O17" s="62" t="str">
        <x:v>기사상 없음</x:v>
      </x:c>
      <x:c r="P17" s="62" t="str">
        <x:v>직접 사업 연결 확인 안 됨</x:v>
      </x:c>
      <x:c r="Q17" s="62" t="str">
        <x:v>강한 밈</x:v>
      </x:c>
      <x:c r="R17" s="62" t="str">
        <x:v>B</x:v>
      </x:c>
      <x:c r="S17" s="62" t="str">
        <x:v>S10</x:v>
      </x:c>
      <x:c r="T17" s="62" t="str">
        <x:v>완료</x:v>
      </x:c>
      <x:c r="U17" s="62" t="str">
        <x:v>정치 이벤트 반응</x:v>
      </x:c>
    </x:row>
    <x:row r="18" ht="56" customHeight="1">
      <x:c r="A18" s="72" t="str">
        <x:v>KR-M014</x:v>
      </x:c>
      <x:c r="B18" s="62" t="str">
        <x:v>한국</x:v>
      </x:c>
      <x:c r="C18" s="62" t="str">
        <x:v>정치인·가족인맥</x:v>
      </x:c>
      <x:c r="D18" s="62" t="str">
        <x:v>반기문</x:v>
      </x:c>
      <x:c r="E18" s="62" t="str">
        <x:v>보성파워텍</x:v>
      </x:c>
      <x:c r="F18" s="70" t="str">
        <x:v>006910</x:v>
      </x:c>
      <x:c r="G18" s="62" t="str">
        <x:v>KOSDAQ</x:v>
      </x:c>
      <x:c r="H18" s="62" t="str">
        <x:v>2016-04~05</x:v>
      </x:c>
      <x:c r="I18" s="62" t="str">
        <x:v>대선 출마 기대</x:v>
      </x:c>
      <x:c r="J18" s="62" t="str">
        <x:v>반기문 동생이 임원으로 재직</x:v>
      </x:c>
      <x:c r="K18" s="62" t="str">
        <x:v>없음</x:v>
      </x:c>
      <x:c r="L18" s="62" t="str">
        <x:v>총선 후 한 달 108.6%</x:v>
      </x:c>
      <x:c r="M18" s="114" t="n">
        <x:v>108.6</x:v>
      </x:c>
      <x:c r="N18" s="62" t="str">
        <x:v>1개월</x:v>
      </x:c>
      <x:c r="O18" s="62" t="str">
        <x:v>기사상 없음</x:v>
      </x:c>
      <x:c r="P18" s="62" t="str">
        <x:v>직접 정책 수혜 근거 없음</x:v>
      </x:c>
      <x:c r="Q18" s="62" t="str">
        <x:v>강한 밈</x:v>
      </x:c>
      <x:c r="R18" s="62" t="str">
        <x:v>A</x:v>
      </x:c>
      <x:c r="S18" s="62" t="str">
        <x:v>S11</x:v>
      </x:c>
      <x:c r="T18" s="62" t="str">
        <x:v>완료</x:v>
      </x:c>
      <x:c r="U18" s="62" t="str">
        <x:v>가족 인맥</x:v>
      </x:c>
    </x:row>
    <x:row r="19" ht="56" customHeight="1">
      <x:c r="A19" s="72" t="str">
        <x:v>KR-M015</x:v>
      </x:c>
      <x:c r="B19" s="62" t="str">
        <x:v>한국</x:v>
      </x:c>
      <x:c r="C19" s="62" t="str">
        <x:v>정치인·간접인맥</x:v>
      </x:c>
      <x:c r="D19" s="62" t="str">
        <x:v>반기문</x:v>
      </x:c>
      <x:c r="E19" s="62" t="str">
        <x:v>지엔코</x:v>
      </x:c>
      <x:c r="F19" s="70" t="str">
        <x:v>065060</x:v>
      </x:c>
      <x:c r="G19" s="62" t="str">
        <x:v>KOSDAQ</x:v>
      </x:c>
      <x:c r="H19" s="62" t="str">
        <x:v>2016 하반기</x:v>
      </x:c>
      <x:c r="I19" s="62" t="str">
        <x:v>반기문 출마 여론</x:v>
      </x:c>
      <x:c r="J19" s="62" t="str">
        <x:v>친인척·계열 인맥 서사로 관련주 편입</x:v>
      </x:c>
      <x:c r="K19" s="62" t="str">
        <x:v>없음</x:v>
      </x:c>
      <x:c r="L19" s="62" t="str">
        <x:v>하반기 160.63% 급등</x:v>
      </x:c>
      <x:c r="M19" s="114" t="n">
        <x:v>160.63</x:v>
      </x:c>
      <x:c r="N19" s="62" t="str">
        <x:v>2016 하반기 기사 기준</x:v>
      </x:c>
      <x:c r="O19" s="62" t="str">
        <x:v>적자</x:v>
      </x:c>
      <x:c r="P19" s="62" t="str">
        <x:v>직접 사업 연결 확인 안 됨</x:v>
      </x:c>
      <x:c r="Q19" s="62" t="str">
        <x:v>강한 밈</x:v>
      </x:c>
      <x:c r="R19" s="62" t="str">
        <x:v>B</x:v>
      </x:c>
      <x:c r="S19" s="62" t="str">
        <x:v>S10</x:v>
      </x:c>
      <x:c r="T19" s="62" t="str">
        <x:v>완료</x:v>
      </x:c>
      <x:c r="U19" s="62" t="str">
        <x:v>실적 역행</x:v>
      </x:c>
    </x:row>
    <x:row r="20" ht="56" customHeight="1">
      <x:c r="A20" s="72" t="str">
        <x:v>KR-M016</x:v>
      </x:c>
      <x:c r="B20" s="62" t="str">
        <x:v>한국</x:v>
      </x:c>
      <x:c r="C20" s="62" t="str">
        <x:v>정치인·간접인맥</x:v>
      </x:c>
      <x:c r="D20" s="62" t="str">
        <x:v>반기문</x:v>
      </x:c>
      <x:c r="E20" s="62" t="str">
        <x:v>씨씨에스</x:v>
      </x:c>
      <x:c r="F20" s="70" t="str">
        <x:v>066790</x:v>
      </x:c>
      <x:c r="G20" s="62" t="str">
        <x:v>KOSDAQ</x:v>
      </x:c>
      <x:c r="H20" s="62" t="str">
        <x:v>2016</x:v>
      </x:c>
      <x:c r="I20" s="62" t="str">
        <x:v>반기문 출마 기대</x:v>
      </x:c>
      <x:c r="J20" s="62" t="str">
        <x:v>충북 연고 등 지역·인맥 서사</x:v>
      </x:c>
      <x:c r="K20" s="62" t="str">
        <x:v>없음</x:v>
      </x:c>
      <x:c r="L20" s="62" t="str">
        <x:v>정치테마주 군 동반 급등</x:v>
      </x:c>
      <x:c r="M20" s="114" t="str"/>
      <x:c r="N20" s="62" t="str">
        <x:v>2016</x:v>
      </x:c>
      <x:c r="O20" s="62" t="str">
        <x:v>적자 포함 종목군</x:v>
      </x:c>
      <x:c r="P20" s="62" t="str">
        <x:v>직접 사업 연결 확인 안 됨</x:v>
      </x:c>
      <x:c r="Q20" s="62" t="str">
        <x:v>강한 밈</x:v>
      </x:c>
      <x:c r="R20" s="62" t="str">
        <x:v>C</x:v>
      </x:c>
      <x:c r="S20" s="62" t="str">
        <x:v>S10</x:v>
      </x:c>
      <x:c r="T20" s="62" t="str">
        <x:v>추가검증</x:v>
      </x:c>
      <x:c r="U20" s="62" t="str">
        <x:v>정확한 구간 수익률 보강 필요</x:v>
      </x:c>
    </x:row>
    <x:row r="21" ht="56" customHeight="1">
      <x:c r="A21" s="72" t="str">
        <x:v>KR-M017</x:v>
      </x:c>
      <x:c r="B21" s="62" t="str">
        <x:v>한국</x:v>
      </x:c>
      <x:c r="C21" s="62" t="str">
        <x:v>정치인·전직임원</x:v>
      </x:c>
      <x:c r="D21" s="62" t="str">
        <x:v>안철수</x:v>
      </x:c>
      <x:c r="E21" s="62" t="str">
        <x:v>써니전자</x:v>
      </x:c>
      <x:c r="F21" s="70" t="str">
        <x:v>004770</x:v>
      </x:c>
      <x:c r="G21" s="62" t="str">
        <x:v>KOSPI</x:v>
      </x:c>
      <x:c r="H21" s="62" t="str">
        <x:v>2012·2020</x:v>
      </x:c>
      <x:c r="I21" s="62" t="str">
        <x:v>안철수 출마·정계 복귀</x:v>
      </x:c>
      <x:c r="J21" s="62" t="str">
        <x:v>전 대표가 안랩 출신이었다는 이유</x:v>
      </x:c>
      <x:c r="K21" s="62" t="str">
        <x:v>없음</x:v>
      </x:c>
      <x:c r="L21" s="62" t="str">
        <x:v>정계 뉴스마다 급등락; 사퇴 뒤 월간 급락군</x:v>
      </x:c>
      <x:c r="M21" s="114" t="str"/>
      <x:c r="N21" s="62" t="str">
        <x:v>정치 이벤트 구간</x:v>
      </x:c>
      <x:c r="O21" s="62" t="str">
        <x:v>기사상 없음</x:v>
      </x:c>
      <x:c r="P21" s="62" t="str">
        <x:v>현 사업과 안철수 직접 연결 없음</x:v>
      </x:c>
      <x:c r="Q21" s="62" t="str">
        <x:v>강한 밈</x:v>
      </x:c>
      <x:c r="R21" s="62" t="str">
        <x:v>A</x:v>
      </x:c>
      <x:c r="S21" s="62" t="str">
        <x:v>S13;S14</x:v>
      </x:c>
      <x:c r="T21" s="62" t="str">
        <x:v>완료</x:v>
      </x:c>
      <x:c r="U21" s="62" t="str">
        <x:v>전직 임원 경력</x:v>
      </x:c>
    </x:row>
    <x:row r="22" ht="56" customHeight="1">
      <x:c r="A22" s="72" t="str">
        <x:v>KR-M018</x:v>
      </x:c>
      <x:c r="B22" s="62" t="str">
        <x:v>한국</x:v>
      </x:c>
      <x:c r="C22" s="62" t="str">
        <x:v>정치인·동반테마</x:v>
      </x:c>
      <x:c r="D22" s="62" t="str">
        <x:v>안철수</x:v>
      </x:c>
      <x:c r="E22" s="62" t="str">
        <x:v>미래산업</x:v>
      </x:c>
      <x:c r="F22" s="70" t="str">
        <x:v>025560</x:v>
      </x:c>
      <x:c r="G22" s="62" t="str">
        <x:v>KOSPI</x:v>
      </x:c>
      <x:c r="H22" s="62" t="str">
        <x:v>2012-11</x:v>
      </x:c>
      <x:c r="I22" s="62" t="str">
        <x:v>안철수 대선 후보 사퇴</x:v>
      </x:c>
      <x:c r="J22" s="62" t="str">
        <x:v>시장 풍문상 안철수 테마</x:v>
      </x:c>
      <x:c r="K22" s="62" t="str">
        <x:v>없음</x:v>
      </x:c>
      <x:c r="L22" s="62" t="str">
        <x:v>11월 들어 관련주군 19.09~57.78% 급락</x:v>
      </x:c>
      <x:c r="M22" s="114" t="str"/>
      <x:c r="N22" s="62" t="str">
        <x:v>2012-11</x:v>
      </x:c>
      <x:c r="O22" s="62" t="str">
        <x:v>기사상 없음</x:v>
      </x:c>
      <x:c r="P22" s="62" t="str">
        <x:v>직접 사업 연결 확인 안 됨</x:v>
      </x:c>
      <x:c r="Q22" s="62" t="str">
        <x:v>강한 밈</x:v>
      </x:c>
      <x:c r="R22" s="62" t="str">
        <x:v>B</x:v>
      </x:c>
      <x:c r="S22" s="62" t="str">
        <x:v>S14</x:v>
      </x:c>
      <x:c r="T22" s="62" t="str">
        <x:v>완료</x:v>
      </x:c>
      <x:c r="U22" s="62" t="str">
        <x:v>테마 소멸 반응</x:v>
      </x:c>
    </x:row>
    <x:row r="23" ht="56" customHeight="1">
      <x:c r="A23" s="72" t="str">
        <x:v>KR-M019</x:v>
      </x:c>
      <x:c r="B23" s="62" t="str">
        <x:v>한국</x:v>
      </x:c>
      <x:c r="C23" s="62" t="str">
        <x:v>정치인·동반테마</x:v>
      </x:c>
      <x:c r="D23" s="62" t="str">
        <x:v>안철수</x:v>
      </x:c>
      <x:c r="E23" s="62" t="str">
        <x:v>오픈베이스</x:v>
      </x:c>
      <x:c r="F23" s="70" t="str">
        <x:v>049480</x:v>
      </x:c>
      <x:c r="G23" s="62" t="str">
        <x:v>KOSDAQ</x:v>
      </x:c>
      <x:c r="H23" s="62" t="str">
        <x:v>2012-11</x:v>
      </x:c>
      <x:c r="I23" s="62" t="str">
        <x:v>안철수 대선 후보 사퇴</x:v>
      </x:c>
      <x:c r="J23" s="62" t="str">
        <x:v>시장 풍문상 안철수 테마</x:v>
      </x:c>
      <x:c r="K23" s="62" t="str">
        <x:v>없음</x:v>
      </x:c>
      <x:c r="L23" s="62" t="str">
        <x:v>11월 들어 관련주군 19.09~57.78% 급락</x:v>
      </x:c>
      <x:c r="M23" s="114" t="str"/>
      <x:c r="N23" s="62" t="str">
        <x:v>2012-11</x:v>
      </x:c>
      <x:c r="O23" s="62" t="str">
        <x:v>기사상 없음</x:v>
      </x:c>
      <x:c r="P23" s="62" t="str">
        <x:v>직접 사업 연결 확인 안 됨</x:v>
      </x:c>
      <x:c r="Q23" s="62" t="str">
        <x:v>강한 밈</x:v>
      </x:c>
      <x:c r="R23" s="62" t="str">
        <x:v>B</x:v>
      </x:c>
      <x:c r="S23" s="62" t="str">
        <x:v>S14</x:v>
      </x:c>
      <x:c r="T23" s="62" t="str">
        <x:v>완료</x:v>
      </x:c>
      <x:c r="U23" s="62" t="str">
        <x:v>테마 소멸 반응</x:v>
      </x:c>
    </x:row>
    <x:row r="24" ht="56" customHeight="1">
      <x:c r="A24" s="72" t="str">
        <x:v>KR-M020</x:v>
      </x:c>
      <x:c r="B24" s="62" t="str">
        <x:v>한국</x:v>
      </x:c>
      <x:c r="C24" s="62" t="str">
        <x:v>정치인·학연</x:v>
      </x:c>
      <x:c r="D24" s="62" t="str">
        <x:v>조국</x:v>
      </x:c>
      <x:c r="E24" s="62" t="str">
        <x:v>화천기계</x:v>
      </x:c>
      <x:c r="F24" s="70" t="str">
        <x:v>010660</x:v>
      </x:c>
      <x:c r="G24" s="62" t="str">
        <x:v>KOSPI</x:v>
      </x:c>
      <x:c r="H24" s="62" t="str">
        <x:v>2019·2024</x:v>
      </x:c>
      <x:c r="I24" s="62" t="str">
        <x:v>장관 지명·총선 지지율</x:v>
      </x:c>
      <x:c r="J24" s="62" t="str">
        <x:v>과거 감사가 조국과 UC버클리 로스쿨 동문</x:v>
      </x:c>
      <x:c r="K24" s="62" t="str">
        <x:v>없음</x:v>
      </x:c>
      <x:c r="L24" s="62" t="str">
        <x:v>투자주의 수준 급등 뒤 총선 후 급락</x:v>
      </x:c>
      <x:c r="M24" s="114" t="str"/>
      <x:c r="N24" s="62" t="str">
        <x:v>정치 이벤트 구간</x:v>
      </x:c>
      <x:c r="O24" s="62" t="str">
        <x:v>기사상 없음</x:v>
      </x:c>
      <x:c r="P24" s="62" t="str">
        <x:v>조국 측이 본인·가족과 무관하다고 발표</x:v>
      </x:c>
      <x:c r="Q24" s="62" t="str">
        <x:v>강한 밈</x:v>
      </x:c>
      <x:c r="R24" s="62" t="str">
        <x:v>A</x:v>
      </x:c>
      <x:c r="S24" s="62" t="str">
        <x:v>S18</x:v>
      </x:c>
      <x:c r="T24" s="62" t="str">
        <x:v>완료</x:v>
      </x:c>
      <x:c r="U24" s="62" t="str">
        <x:v>당사자 반박</x:v>
      </x:c>
    </x:row>
    <x:row r="25" ht="56" customHeight="1">
      <x:c r="A25" s="72" t="str">
        <x:v>KR-M021</x:v>
      </x:c>
      <x:c r="B25" s="62" t="str">
        <x:v>한국</x:v>
      </x:c>
      <x:c r="C25" s="62" t="str">
        <x:v>정치인·학연</x:v>
      </x:c>
      <x:c r="D25" s="62" t="str">
        <x:v>한동훈</x:v>
      </x:c>
      <x:c r="E25" s="62" t="str">
        <x:v>디티앤씨알오</x:v>
      </x:c>
      <x:c r="F25" s="70" t="str">
        <x:v>383930</x:v>
      </x:c>
      <x:c r="G25" s="62" t="str">
        <x:v>KOSDAQ</x:v>
      </x:c>
      <x:c r="H25" s="62" t="str">
        <x:v>2023-11</x:v>
      </x:c>
      <x:c r="I25" s="62" t="str">
        <x:v>총선 출마설</x:v>
      </x:c>
      <x:c r="J25" s="62" t="str">
        <x:v>사외이사와 동갑·서울대 법대 동문</x:v>
      </x:c>
      <x:c r="K25" s="62" t="str">
        <x:v>없음</x:v>
      </x:c>
      <x:c r="L25" s="62" t="str">
        <x:v>11월 중 120% 급등</x:v>
      </x:c>
      <x:c r="M25" s="114" t="n">
        <x:v>120</x:v>
      </x:c>
      <x:c r="N25" s="62" t="str">
        <x:v>2023-11</x:v>
      </x:c>
      <x:c r="O25" s="62" t="str">
        <x:v>별도 호재 없음</x:v>
      </x:c>
      <x:c r="P25" s="62" t="str">
        <x:v>직접 사업 연결 확인 안 됨</x:v>
      </x:c>
      <x:c r="Q25" s="62" t="str">
        <x:v>강한 밈</x:v>
      </x:c>
      <x:c r="R25" s="62" t="str">
        <x:v>A</x:v>
      </x:c>
      <x:c r="S25" s="62" t="str">
        <x:v>S17</x:v>
      </x:c>
      <x:c r="T25" s="62" t="str">
        <x:v>완료</x:v>
      </x:c>
      <x:c r="U25" s="62" t="str">
        <x:v>기사상 무재료 확인</x:v>
      </x:c>
    </x:row>
    <x:row r="26" ht="56" customHeight="1">
      <x:c r="A26" s="72" t="str">
        <x:v>KR-M022</x:v>
      </x:c>
      <x:c r="B26" s="62" t="str">
        <x:v>한국</x:v>
      </x:c>
      <x:c r="C26" s="62" t="str">
        <x:v>정치인·학연</x:v>
      </x:c>
      <x:c r="D26" s="62" t="str">
        <x:v>한동훈</x:v>
      </x:c>
      <x:c r="E26" s="62" t="str">
        <x:v>체시스</x:v>
      </x:c>
      <x:c r="F26" s="70" t="str">
        <x:v>033250</x:v>
      </x:c>
      <x:c r="G26" s="62" t="str">
        <x:v>KOSPI</x:v>
      </x:c>
      <x:c r="H26" s="62" t="str">
        <x:v>2023-11</x:v>
      </x:c>
      <x:c r="I26" s="62" t="str">
        <x:v>총선 출마설</x:v>
      </x:c>
      <x:c r="J26" s="62" t="str">
        <x:v>임원 학연 등 인맥 서사</x:v>
      </x:c>
      <x:c r="K26" s="62" t="str">
        <x:v>없음</x:v>
      </x:c>
      <x:c r="L26" s="62" t="str">
        <x:v>디티앤씨알오와 함께 연일 급등</x:v>
      </x:c>
      <x:c r="M26" s="114" t="str"/>
      <x:c r="N26" s="62" t="str">
        <x:v>2023-11</x:v>
      </x:c>
      <x:c r="O26" s="62" t="str">
        <x:v>별도 호재 없음</x:v>
      </x:c>
      <x:c r="P26" s="62" t="str">
        <x:v>직접 사업 연결 확인 안 됨</x:v>
      </x:c>
      <x:c r="Q26" s="62" t="str">
        <x:v>강한 밈</x:v>
      </x:c>
      <x:c r="R26" s="62" t="str">
        <x:v>B</x:v>
      </x:c>
      <x:c r="S26" s="62" t="str">
        <x:v>S17</x:v>
      </x:c>
      <x:c r="T26" s="62" t="str">
        <x:v>완료</x:v>
      </x:c>
      <x:c r="U26" s="62" t="str">
        <x:v>정확한 누적 수익률 보강 필요</x:v>
      </x:c>
    </x:row>
    <x:row r="27" ht="56" customHeight="1">
      <x:c r="A27" s="72" t="str">
        <x:v>KR-M023</x:v>
      </x:c>
      <x:c r="B27" s="62" t="str">
        <x:v>한국</x:v>
      </x:c>
      <x:c r="C27" s="62" t="str">
        <x:v>사진·인맥 밈</x:v>
      </x:c>
      <x:c r="D27" s="62" t="str">
        <x:v>한동훈·이정재</x:v>
      </x:c>
      <x:c r="E27" s="62" t="str">
        <x:v>대상홀딩스우</x:v>
      </x:c>
      <x:c r="F27" s="70" t="str">
        <x:v>084695</x:v>
      </x:c>
      <x:c r="G27" s="62" t="str">
        <x:v>KOSPI</x:v>
      </x:c>
      <x:c r="H27" s="62" t="str">
        <x:v>2023-11-27</x:v>
      </x:c>
      <x:c r="I27" s="62" t="str">
        <x:v>온라인에 갈비탕 회동 사진 공개</x:v>
      </x:c>
      <x:c r="J27" s="62" t="str">
        <x:v>이정재 연인 임세령이 대상그룹 부회장이라는 연결</x:v>
      </x:c>
      <x:c r="K27" s="62" t="str">
        <x:v>없음</x:v>
      </x:c>
      <x:c r="L27" s="62" t="str">
        <x:v>7거래일 연속 상한가</x:v>
      </x:c>
      <x:c r="M27" s="114" t="str"/>
      <x:c r="N27" s="62" t="str">
        <x:v>7거래일</x:v>
      </x:c>
      <x:c r="O27" s="62" t="str">
        <x:v>없음</x:v>
      </x:c>
      <x:c r="P27" s="62" t="str">
        <x:v>사업 수혜 근거 없음</x:v>
      </x:c>
      <x:c r="Q27" s="62" t="str">
        <x:v>강한 밈</x:v>
      </x:c>
      <x:c r="R27" s="62" t="str">
        <x:v>A</x:v>
      </x:c>
      <x:c r="S27" s="62" t="str">
        <x:v>S15;S16</x:v>
      </x:c>
      <x:c r="T27" s="62" t="str">
        <x:v>완료</x:v>
      </x:c>
      <x:c r="U27" s="62" t="str">
        <x:v>사진 한 장이 촉발</x:v>
      </x:c>
    </x:row>
    <x:row r="28" ht="56" customHeight="1">
      <x:c r="A28" s="72" t="str">
        <x:v>KR-M024</x:v>
      </x:c>
      <x:c r="B28" s="62" t="str">
        <x:v>한국</x:v>
      </x:c>
      <x:c r="C28" s="62" t="str">
        <x:v>사진·인맥 밈</x:v>
      </x:c>
      <x:c r="D28" s="62" t="str">
        <x:v>한동훈·이정재</x:v>
      </x:c>
      <x:c r="E28" s="62" t="str">
        <x:v>대상홀딩스</x:v>
      </x:c>
      <x:c r="F28" s="70" t="str">
        <x:v>084690</x:v>
      </x:c>
      <x:c r="G28" s="62" t="str">
        <x:v>KOSPI</x:v>
      </x:c>
      <x:c r="H28" s="62" t="str">
        <x:v>2023-11-27</x:v>
      </x:c>
      <x:c r="I28" s="62" t="str">
        <x:v>온라인에 갈비탕 회동 사진 공개</x:v>
      </x:c>
      <x:c r="J28" s="62" t="str">
        <x:v>우선주와 같은 사진 서사</x:v>
      </x:c>
      <x:c r="K28" s="62" t="str">
        <x:v>없음</x:v>
      </x:c>
      <x:c r="L28" s="62" t="str">
        <x:v>사진 공개 뒤 동반 급등</x:v>
      </x:c>
      <x:c r="M28" s="114" t="str"/>
      <x:c r="N28" s="62" t="str">
        <x:v>수일</x:v>
      </x:c>
      <x:c r="O28" s="62" t="str">
        <x:v>없음</x:v>
      </x:c>
      <x:c r="P28" s="62" t="str">
        <x:v>사업 수혜 근거 없음</x:v>
      </x:c>
      <x:c r="Q28" s="62" t="str">
        <x:v>강한 밈</x:v>
      </x:c>
      <x:c r="R28" s="62" t="str">
        <x:v>A</x:v>
      </x:c>
      <x:c r="S28" s="62" t="str">
        <x:v>S15;S16</x:v>
      </x:c>
      <x:c r="T28" s="62" t="str">
        <x:v>완료</x:v>
      </x:c>
      <x:c r="U28" s="62" t="str">
        <x:v>보통주 파생</x:v>
      </x:c>
    </x:row>
    <x:row r="29" ht="56" customHeight="1">
      <x:c r="A29" s="72" t="str">
        <x:v>KR-M025</x:v>
      </x:c>
      <x:c r="B29" s="62" t="str">
        <x:v>한국</x:v>
      </x:c>
      <x:c r="C29" s="62" t="str">
        <x:v>정치인·지연</x:v>
      </x:c>
      <x:c r="D29" s="62" t="str">
        <x:v>김문수</x:v>
      </x:c>
      <x:c r="E29" s="62" t="str">
        <x:v>평화홀딩스</x:v>
      </x:c>
      <x:c r="F29" s="70" t="str">
        <x:v>010770</x:v>
      </x:c>
      <x:c r="G29" s="62" t="str">
        <x:v>KOSPI</x:v>
      </x:c>
      <x:c r="H29" s="62" t="str">
        <x:v>2025-01~04</x:v>
      </x:c>
      <x:c r="I29" s="62" t="str">
        <x:v>대선 가상대결·지지율 상승</x:v>
      </x:c>
      <x:c r="J29" s="62" t="str">
        <x:v>자회사 소재지가 김문수 고향 영천과 같음</x:v>
      </x:c>
      <x:c r="K29" s="62" t="str">
        <x:v>없음</x:v>
      </x:c>
      <x:c r="L29" s="62" t="str">
        <x:v>2025년 4월 초까지 293.66%</x:v>
      </x:c>
      <x:c r="M29" s="114" t="n">
        <x:v>293.66</x:v>
      </x:c>
      <x:c r="N29" s="62" t="str">
        <x:v>2025 YTD~04-04</x:v>
      </x:c>
      <x:c r="O29" s="62" t="str">
        <x:v>기사상 없음</x:v>
      </x:c>
      <x:c r="P29" s="62" t="str">
        <x:v>직접 사업 연결 확인 안 됨</x:v>
      </x:c>
      <x:c r="Q29" s="62" t="str">
        <x:v>강한 밈</x:v>
      </x:c>
      <x:c r="R29" s="62" t="str">
        <x:v>A</x:v>
      </x:c>
      <x:c r="S29" s="62" t="str">
        <x:v>S19;S20</x:v>
      </x:c>
      <x:c r="T29" s="62" t="str">
        <x:v>완료</x:v>
      </x:c>
      <x:c r="U29" s="62" t="str">
        <x:v>고향 연결</x:v>
      </x:c>
    </x:row>
    <x:row r="30" ht="56" customHeight="1">
      <x:c r="A30" s="72" t="str">
        <x:v>KR-M026</x:v>
      </x:c>
      <x:c r="B30" s="62" t="str">
        <x:v>한국</x:v>
      </x:c>
      <x:c r="C30" s="62" t="str">
        <x:v>정치인·동반테마</x:v>
      </x:c>
      <x:c r="D30" s="62" t="str">
        <x:v>이재명</x:v>
      </x:c>
      <x:c r="E30" s="62" t="str">
        <x:v>형지글로벌</x:v>
      </x:c>
      <x:c r="F30" s="70" t="str">
        <x:v>308100</x:v>
      </x:c>
      <x:c r="G30" s="62" t="str">
        <x:v>KOSDAQ</x:v>
      </x:c>
      <x:c r="H30" s="62" t="str">
        <x:v>2025-01~04</x:v>
      </x:c>
      <x:c r="I30" s="62" t="str">
        <x:v>조기 대선 기대</x:v>
      </x:c>
      <x:c r="J30" s="62" t="str">
        <x:v>형지 계열의 과거 정책·인맥 서사 확장</x:v>
      </x:c>
      <x:c r="K30" s="62" t="str">
        <x:v>약함</x:v>
      </x:c>
      <x:c r="L30" s="62" t="str">
        <x:v>2025년 4월 초까지 281.61%</x:v>
      </x:c>
      <x:c r="M30" s="114" t="n">
        <x:v>281.61</x:v>
      </x:c>
      <x:c r="N30" s="62" t="str">
        <x:v>2025 YTD~04-04</x:v>
      </x:c>
      <x:c r="O30" s="62" t="str">
        <x:v>기사상 없음</x:v>
      </x:c>
      <x:c r="P30" s="62" t="str">
        <x:v>직접 수혜 불명확</x:v>
      </x:c>
      <x:c r="Q30" s="62" t="str">
        <x:v>강한 밈</x:v>
      </x:c>
      <x:c r="R30" s="62" t="str">
        <x:v>B</x:v>
      </x:c>
      <x:c r="S30" s="62" t="str">
        <x:v>S20</x:v>
      </x:c>
      <x:c r="T30" s="62" t="str">
        <x:v>완료</x:v>
      </x:c>
      <x:c r="U30" s="62" t="str">
        <x:v>계열 파생</x:v>
      </x:c>
    </x:row>
    <x:row r="31" ht="56" customHeight="1">
      <x:c r="A31" s="72" t="str">
        <x:v>KR-M027</x:v>
      </x:c>
      <x:c r="B31" s="62" t="str">
        <x:v>한국</x:v>
      </x:c>
      <x:c r="C31" s="62" t="str">
        <x:v>정치인·학연</x:v>
      </x:c>
      <x:c r="D31" s="62" t="str">
        <x:v>김동연</x:v>
      </x:c>
      <x:c r="E31" s="62" t="str">
        <x:v>PN풍년</x:v>
      </x:c>
      <x:c r="F31" s="70" t="str">
        <x:v>024940</x:v>
      </x:c>
      <x:c r="G31" s="62" t="str">
        <x:v>KOSDAQ</x:v>
      </x:c>
      <x:c r="H31" s="62" t="str">
        <x:v>2023-09</x:v>
      </x:c>
      <x:c r="I31" s="62" t="str">
        <x:v>야권 대권주자 부각</x:v>
      </x:c>
      <x:c r="J31" s="62" t="str">
        <x:v>과거 감사와 김동연의 학연 서사</x:v>
      </x:c>
      <x:c r="K31" s="62" t="str">
        <x:v>없음</x:v>
      </x:c>
      <x:c r="L31" s="62" t="str">
        <x:v>이틀 사이 상한가와 약 10% 추가 급등</x:v>
      </x:c>
      <x:c r="M31" s="114" t="str"/>
      <x:c r="N31" s="62" t="str">
        <x:v>2일</x:v>
      </x:c>
      <x:c r="O31" s="62" t="str">
        <x:v>기사상 없음</x:v>
      </x:c>
      <x:c r="P31" s="62" t="str">
        <x:v>직접 사업 연결 확인 안 됨</x:v>
      </x:c>
      <x:c r="Q31" s="62" t="str">
        <x:v>강한 밈</x:v>
      </x:c>
      <x:c r="R31" s="62" t="str">
        <x:v>B</x:v>
      </x:c>
      <x:c r="S31" s="62" t="str">
        <x:v>S18</x:v>
      </x:c>
      <x:c r="T31" s="62" t="str">
        <x:v>추가검증</x:v>
      </x:c>
      <x:c r="U31" s="62" t="str">
        <x:v>정확한 기준가 보강 필요</x:v>
      </x:c>
    </x:row>
    <x:row r="32" ht="56" customHeight="1">
      <x:c r="A32" s="72" t="str">
        <x:v>KR-C001</x:v>
      </x:c>
      <x:c r="B32" s="62" t="str">
        <x:v>한국</x:v>
      </x:c>
      <x:c r="C32" s="62" t="str">
        <x:v>문화·가족인맥</x:v>
      </x:c>
      <x:c r="D32" s="62" t="str">
        <x:v>싸이 강남스타일</x:v>
      </x:c>
      <x:c r="E32" s="62" t="str">
        <x:v>디아이</x:v>
      </x:c>
      <x:c r="F32" s="70" t="str">
        <x:v>003160</x:v>
      </x:c>
      <x:c r="G32" s="62" t="str">
        <x:v>KOSPI</x:v>
      </x:c>
      <x:c r="H32" s="62" t="str">
        <x:v>2012-08~10</x:v>
      </x:c>
      <x:c r="I32" s="62" t="str">
        <x:v>강남스타일의 세계적 바이럴</x:v>
      </x:c>
      <x:c r="J32" s="62" t="str">
        <x:v>싸이 아버지가 회장·대주주</x:v>
      </x:c>
      <x:c r="K32" s="62" t="str">
        <x:v>없음</x:v>
      </x:c>
      <x:c r="L32" s="62" t="str">
        <x:v>9월 초 대비 약 50%, 이후 4일 연속 상한가</x:v>
      </x:c>
      <x:c r="M32" s="114" t="n">
        <x:v>50</x:v>
      </x:c>
      <x:c r="N32" s="62" t="str">
        <x:v>2012-09 기사 기준</x:v>
      </x:c>
      <x:c r="O32" s="62" t="str">
        <x:v>없음</x:v>
      </x:c>
      <x:c r="P32" s="62" t="str">
        <x:v>싸이는 회사 지분 없음; 별도 시황변동 사항 없음</x:v>
      </x:c>
      <x:c r="Q32" s="62" t="str">
        <x:v>강한 밈</x:v>
      </x:c>
      <x:c r="R32" s="62" t="str">
        <x:v>A</x:v>
      </x:c>
      <x:c r="S32" s="62" t="str">
        <x:v>S31;S32</x:v>
      </x:c>
      <x:c r="T32" s="62" t="str">
        <x:v>완료</x:v>
      </x:c>
      <x:c r="U32" s="62" t="str">
        <x:v>문화 유행의 대표 사례</x:v>
      </x:c>
    </x:row>
    <x:row r="33" ht="56" customHeight="1">
      <x:c r="A33" s="72" t="str">
        <x:v>KR-P001</x:v>
      </x:c>
      <x:c r="B33" s="62" t="str">
        <x:v>한국</x:v>
      </x:c>
      <x:c r="C33" s="62" t="str">
        <x:v>정책·무상교복</x:v>
      </x:c>
      <x:c r="D33" s="62" t="str">
        <x:v>이재명</x:v>
      </x:c>
      <x:c r="E33" s="62" t="str">
        <x:v>형지I&amp;C</x:v>
      </x:c>
      <x:c r="F33" s="70" t="str">
        <x:v>011080</x:v>
      </x:c>
      <x:c r="G33" s="62" t="str">
        <x:v>KOSDAQ</x:v>
      </x:c>
      <x:c r="H33" s="62" t="str">
        <x:v>2025-03-27</x:v>
      </x:c>
      <x:c r="I33" s="62" t="str">
        <x:v>대선 기대·무상교복 정책 기억</x:v>
      </x:c>
      <x:c r="J33" s="62" t="str">
        <x:v>형지 계열이 교복 정책 수혜주로 재소환</x:v>
      </x:c>
      <x:c r="K33" s="62" t="str">
        <x:v>약함</x:v>
      </x:c>
      <x:c r="L33" s="62" t="str">
        <x:v>당일 29.94%</x:v>
      </x:c>
      <x:c r="M33" s="114" t="n">
        <x:v>29.94</x:v>
      </x:c>
      <x:c r="N33" s="62" t="str">
        <x:v>1일</x:v>
      </x:c>
      <x:c r="O33" s="62" t="str">
        <x:v>기사상 없음</x:v>
      </x:c>
      <x:c r="P33" s="62" t="str">
        <x:v>정책 실행·수익 연결 불확실</x:v>
      </x:c>
      <x:c r="Q33" s="62" t="str">
        <x:v>혼합-테마 주도</x:v>
      </x:c>
      <x:c r="R33" s="62" t="str">
        <x:v>A</x:v>
      </x:c>
      <x:c r="S33" s="62" t="str">
        <x:v>S07</x:v>
      </x:c>
      <x:c r="T33" s="62" t="str">
        <x:v>완료</x:v>
      </x:c>
      <x:c r="U33" s="62" t="str">
        <x:v>정책 기대형</x:v>
      </x:c>
    </x:row>
    <x:row r="34" ht="56" customHeight="1">
      <x:c r="A34" s="72" t="str">
        <x:v>KR-P002</x:v>
      </x:c>
      <x:c r="B34" s="62" t="str">
        <x:v>한국</x:v>
      </x:c>
      <x:c r="C34" s="62" t="str">
        <x:v>정책·무상교복</x:v>
      </x:c>
      <x:c r="D34" s="62" t="str">
        <x:v>이재명</x:v>
      </x:c>
      <x:c r="E34" s="62" t="str">
        <x:v>형지엘리트</x:v>
      </x:c>
      <x:c r="F34" s="70" t="str">
        <x:v>093240</x:v>
      </x:c>
      <x:c r="G34" s="62" t="str">
        <x:v>KOSPI</x:v>
      </x:c>
      <x:c r="H34" s="62" t="str">
        <x:v>2025-03-27</x:v>
      </x:c>
      <x:c r="I34" s="62" t="str">
        <x:v>대선 기대·무상교복 정책 기억</x:v>
      </x:c>
      <x:c r="J34" s="62" t="str">
        <x:v>학생복 사업과 과거 정책 연결</x:v>
      </x:c>
      <x:c r="K34" s="62" t="str">
        <x:v>부분 있음</x:v>
      </x:c>
      <x:c r="L34" s="62" t="str">
        <x:v>당일 16.48%</x:v>
      </x:c>
      <x:c r="M34" s="114" t="n">
        <x:v>16.48</x:v>
      </x:c>
      <x:c r="N34" s="62" t="str">
        <x:v>1일</x:v>
      </x:c>
      <x:c r="O34" s="62" t="str">
        <x:v>기사상 없음</x:v>
      </x:c>
      <x:c r="P34" s="62" t="str">
        <x:v>정책 실현·매출 효과 불확실</x:v>
      </x:c>
      <x:c r="Q34" s="62" t="str">
        <x:v>혼합-테마 주도</x:v>
      </x:c>
      <x:c r="R34" s="62" t="str">
        <x:v>A</x:v>
      </x:c>
      <x:c r="S34" s="62" t="str">
        <x:v>S07</x:v>
      </x:c>
      <x:c r="T34" s="62" t="str">
        <x:v>완료</x:v>
      </x:c>
      <x:c r="U34" s="62" t="str">
        <x:v>사업 접점은 있으나 과잉 기대</x:v>
      </x:c>
    </x:row>
    <x:row r="35" ht="56" customHeight="1">
      <x:c r="A35" s="72" t="str">
        <x:v>KR-P003</x:v>
      </x:c>
      <x:c r="B35" s="62" t="str">
        <x:v>한국</x:v>
      </x:c>
      <x:c r="C35" s="62" t="str">
        <x:v>정책·기본주택</x:v>
      </x:c>
      <x:c r="D35" s="62" t="str">
        <x:v>이재명</x:v>
      </x:c>
      <x:c r="E35" s="62" t="str">
        <x:v>이스타코</x:v>
      </x:c>
      <x:c r="F35" s="70" t="str">
        <x:v>015020</x:v>
      </x:c>
      <x:c r="G35" s="62" t="str">
        <x:v>KOSPI</x:v>
      </x:c>
      <x:c r="H35" s="62" t="str">
        <x:v>2021·2025</x:v>
      </x:c>
      <x:c r="I35" s="62" t="str">
        <x:v>기본주택·부동산 공약</x:v>
      </x:c>
      <x:c r="J35" s="62" t="str">
        <x:v>부동산 사업이라는 포괄적 연결</x:v>
      </x:c>
      <x:c r="K35" s="62" t="str">
        <x:v>부분 있음</x:v>
      </x:c>
      <x:c r="L35" s="62" t="str">
        <x:v>정치 뉴스에 반복 급등락</x:v>
      </x:c>
      <x:c r="M35" s="114" t="str"/>
      <x:c r="N35" s="62" t="str">
        <x:v>정치 이벤트 구간</x:v>
      </x:c>
      <x:c r="O35" s="62" t="str">
        <x:v>기사상 없음</x:v>
      </x:c>
      <x:c r="P35" s="62" t="str">
        <x:v>정책 직접 수혜 불확실</x:v>
      </x:c>
      <x:c r="Q35" s="62" t="str">
        <x:v>혼합-테마 주도</x:v>
      </x:c>
      <x:c r="R35" s="62" t="str">
        <x:v>B</x:v>
      </x:c>
      <x:c r="S35" s="62" t="str">
        <x:v>S07;S17</x:v>
      </x:c>
      <x:c r="T35" s="62" t="str">
        <x:v>추가검증</x:v>
      </x:c>
      <x:c r="U35" s="62" t="str">
        <x:v>가격 구간 보강 필요</x:v>
      </x:c>
    </x:row>
    <x:row r="36" ht="56" customHeight="1">
      <x:c r="A36" s="72" t="str">
        <x:v>KR-P004</x:v>
      </x:c>
      <x:c r="B36" s="62" t="str">
        <x:v>한국</x:v>
      </x:c>
      <x:c r="C36" s="62" t="str">
        <x:v>정책·기본주택</x:v>
      </x:c>
      <x:c r="D36" s="62" t="str">
        <x:v>이재명</x:v>
      </x:c>
      <x:c r="E36" s="62" t="str">
        <x:v>일성건설</x:v>
      </x:c>
      <x:c r="F36" s="70" t="str">
        <x:v>013360</x:v>
      </x:c>
      <x:c r="G36" s="62" t="str">
        <x:v>KOSPI</x:v>
      </x:c>
      <x:c r="H36" s="62" t="str">
        <x:v>2025-03-27</x:v>
      </x:c>
      <x:c r="I36" s="62" t="str">
        <x:v>대선 기대</x:v>
      </x:c>
      <x:c r="J36" s="62" t="str">
        <x:v>건설업을 기본주택 공약에 연결</x:v>
      </x:c>
      <x:c r="K36" s="62" t="str">
        <x:v>부분 있음</x:v>
      </x:c>
      <x:c r="L36" s="62" t="str">
        <x:v>당일 2.35%</x:v>
      </x:c>
      <x:c r="M36" s="114" t="n">
        <x:v>2.35</x:v>
      </x:c>
      <x:c r="N36" s="62" t="str">
        <x:v>1일</x:v>
      </x:c>
      <x:c r="O36" s="62" t="str">
        <x:v>기사상 없음</x:v>
      </x:c>
      <x:c r="P36" s="62" t="str">
        <x:v>수주·사업 확정 없음</x:v>
      </x:c>
      <x:c r="Q36" s="62" t="str">
        <x:v>혼합-테마 주도</x:v>
      </x:c>
      <x:c r="R36" s="62" t="str">
        <x:v>B</x:v>
      </x:c>
      <x:c r="S36" s="62" t="str">
        <x:v>S07</x:v>
      </x:c>
      <x:c r="T36" s="62" t="str">
        <x:v>완료</x:v>
      </x:c>
      <x:c r="U36" s="62" t="str">
        <x:v>업종 접점형</x:v>
      </x:c>
    </x:row>
    <x:row r="37" ht="56" customHeight="1">
      <x:c r="A37" s="72" t="str">
        <x:v>KR-P005</x:v>
      </x:c>
      <x:c r="B37" s="62" t="str">
        <x:v>한국</x:v>
      </x:c>
      <x:c r="C37" s="62" t="str">
        <x:v>정책·4대강</x:v>
      </x:c>
      <x:c r="D37" s="62" t="str">
        <x:v>이명박</x:v>
      </x:c>
      <x:c r="E37" s="62" t="str">
        <x:v>이화공영</x:v>
      </x:c>
      <x:c r="F37" s="70" t="str">
        <x:v>001840</x:v>
      </x:c>
      <x:c r="G37" s="62" t="str">
        <x:v>KOSDAQ</x:v>
      </x:c>
      <x:c r="H37" s="62" t="str">
        <x:v>2007</x:v>
      </x:c>
      <x:c r="I37" s="62" t="str">
        <x:v>대운하·4대강 공약</x:v>
      </x:c>
      <x:c r="J37" s="62" t="str">
        <x:v>중소 건설사를 대규모 토목 수혜주로 묶음</x:v>
      </x:c>
      <x:c r="K37" s="62" t="str">
        <x:v>부분 있음</x:v>
      </x:c>
      <x:c r="L37" s="62" t="str">
        <x:v>1,835원→67,400원, 3,673%</x:v>
      </x:c>
      <x:c r="M37" s="114" t="n">
        <x:v>3673</x:v>
      </x:c>
      <x:c r="N37" s="62" t="str">
        <x:v>2007-01-08~12-07</x:v>
      </x:c>
      <x:c r="O37" s="62" t="str">
        <x:v>실적보다 공약 기대</x:v>
      </x:c>
      <x:c r="P37" s="62" t="str">
        <x:v>공약과 실제 수주 연결 불확실</x:v>
      </x:c>
      <x:c r="Q37" s="62" t="str">
        <x:v>혼합-테마 주도</x:v>
      </x:c>
      <x:c r="R37" s="62" t="str">
        <x:v>A</x:v>
      </x:c>
      <x:c r="S37" s="62" t="str">
        <x:v>S21;S22</x:v>
      </x:c>
      <x:c r="T37" s="62" t="str">
        <x:v>완료</x:v>
      </x:c>
      <x:c r="U37" s="62" t="str">
        <x:v>정책 테마 역사적 최대급</x:v>
      </x:c>
    </x:row>
    <x:row r="38" ht="56" customHeight="1">
      <x:c r="A38" s="72" t="str">
        <x:v>KR-P006</x:v>
      </x:c>
      <x:c r="B38" s="62" t="str">
        <x:v>한국</x:v>
      </x:c>
      <x:c r="C38" s="62" t="str">
        <x:v>정책·4대강</x:v>
      </x:c>
      <x:c r="D38" s="62" t="str">
        <x:v>이명박</x:v>
      </x:c>
      <x:c r="E38" s="62" t="str">
        <x:v>특수건설</x:v>
      </x:c>
      <x:c r="F38" s="70" t="str">
        <x:v>026150</x:v>
      </x:c>
      <x:c r="G38" s="62" t="str">
        <x:v>KOSDAQ</x:v>
      </x:c>
      <x:c r="H38" s="62" t="str">
        <x:v>2007</x:v>
      </x:c>
      <x:c r="I38" s="62" t="str">
        <x:v>대운하·4대강 공약</x:v>
      </x:c>
      <x:c r="J38" s="62" t="str">
        <x:v>토목·지하공사 업종을 수혜로 연결</x:v>
      </x:c>
      <x:c r="K38" s="62" t="str">
        <x:v>부분 있음</x:v>
      </x:c>
      <x:c r="L38" s="62" t="str">
        <x:v>2007년 약 6배</x:v>
      </x:c>
      <x:c r="M38" s="114" t="n">
        <x:v>500</x:v>
      </x:c>
      <x:c r="N38" s="62" t="str">
        <x:v>2007 저점~고점 근사</x:v>
      </x:c>
      <x:c r="O38" s="62" t="str">
        <x:v>실적보다 공약 기대</x:v>
      </x:c>
      <x:c r="P38" s="62" t="str">
        <x:v>실제 수주 확정 전 과열</x:v>
      </x:c>
      <x:c r="Q38" s="62" t="str">
        <x:v>혼합-테마 주도</x:v>
      </x:c>
      <x:c r="R38" s="62" t="str">
        <x:v>A</x:v>
      </x:c>
      <x:c r="S38" s="62" t="str">
        <x:v>S21;S22</x:v>
      </x:c>
      <x:c r="T38" s="62" t="str">
        <x:v>완료</x:v>
      </x:c>
      <x:c r="U38" s="62" t="str">
        <x:v>당선 뒤 급락</x:v>
      </x:c>
    </x:row>
    <x:row r="39" ht="56" customHeight="1">
      <x:c r="A39" s="72" t="str">
        <x:v>KR-P007</x:v>
      </x:c>
      <x:c r="B39" s="62" t="str">
        <x:v>한국</x:v>
      </x:c>
      <x:c r="C39" s="62" t="str">
        <x:v>정책·4대강</x:v>
      </x:c>
      <x:c r="D39" s="62" t="str">
        <x:v>이명박</x:v>
      </x:c>
      <x:c r="E39" s="62" t="str">
        <x:v>삼호개발</x:v>
      </x:c>
      <x:c r="F39" s="70" t="str">
        <x:v>010960</x:v>
      </x:c>
      <x:c r="G39" s="62" t="str">
        <x:v>KOSPI</x:v>
      </x:c>
      <x:c r="H39" s="62" t="str">
        <x:v>2007</x:v>
      </x:c>
      <x:c r="I39" s="62" t="str">
        <x:v>대운하·4대강 공약</x:v>
      </x:c>
      <x:c r="J39" s="62" t="str">
        <x:v>토목업종 포괄 연결</x:v>
      </x:c>
      <x:c r="K39" s="62" t="str">
        <x:v>부분 있음</x:v>
      </x:c>
      <x:c r="L39" s="62" t="str">
        <x:v>대표 테마주로 급등 뒤 당선 다음날 하한가</x:v>
      </x:c>
      <x:c r="M39" s="114" t="str"/>
      <x:c r="N39" s="62" t="str">
        <x:v>2007</x:v>
      </x:c>
      <x:c r="O39" s="62" t="str">
        <x:v>실적보다 공약 기대</x:v>
      </x:c>
      <x:c r="P39" s="62" t="str">
        <x:v>직접 수주 확정 전 과열</x:v>
      </x:c>
      <x:c r="Q39" s="62" t="str">
        <x:v>혼합-테마 주도</x:v>
      </x:c>
      <x:c r="R39" s="62" t="str">
        <x:v>B</x:v>
      </x:c>
      <x:c r="S39" s="62" t="str">
        <x:v>S21</x:v>
      </x:c>
      <x:c r="T39" s="62" t="str">
        <x:v>완료</x:v>
      </x:c>
      <x:c r="U39" s="62" t="str">
        <x:v>정책 소멸</x:v>
      </x:c>
    </x:row>
    <x:row r="40" ht="56" customHeight="1">
      <x:c r="A40" s="72" t="str">
        <x:v>KR-P008</x:v>
      </x:c>
      <x:c r="B40" s="62" t="str">
        <x:v>한국</x:v>
      </x:c>
      <x:c r="C40" s="62" t="str">
        <x:v>정책·4대강</x:v>
      </x:c>
      <x:c r="D40" s="62" t="str">
        <x:v>이명박</x:v>
      </x:c>
      <x:c r="E40" s="62" t="str">
        <x:v>홈센타홀딩스(당시 홈센타)</x:v>
      </x:c>
      <x:c r="F40" s="70" t="str">
        <x:v>060560</x:v>
      </x:c>
      <x:c r="G40" s="62" t="str">
        <x:v>KOSDAQ</x:v>
      </x:c>
      <x:c r="H40" s="62" t="str">
        <x:v>2007</x:v>
      </x:c>
      <x:c r="I40" s="62" t="str">
        <x:v>대운하·4대강 공약</x:v>
      </x:c>
      <x:c r="J40" s="62" t="str">
        <x:v>건자재·지역 사업 포괄 연결</x:v>
      </x:c>
      <x:c r="K40" s="62" t="str">
        <x:v>부분 있음</x:v>
      </x:c>
      <x:c r="L40" s="62" t="str">
        <x:v>대표 테마주로 급등 뒤 급락</x:v>
      </x:c>
      <x:c r="M40" s="114" t="str"/>
      <x:c r="N40" s="62" t="str">
        <x:v>2007</x:v>
      </x:c>
      <x:c r="O40" s="62" t="str">
        <x:v>실적보다 공약 기대</x:v>
      </x:c>
      <x:c r="P40" s="62" t="str">
        <x:v>직접 수주 확정 전 과열</x:v>
      </x:c>
      <x:c r="Q40" s="62" t="str">
        <x:v>혼합-테마 주도</x:v>
      </x:c>
      <x:c r="R40" s="62" t="str">
        <x:v>B</x:v>
      </x:c>
      <x:c r="S40" s="62" t="str">
        <x:v>S21;S22</x:v>
      </x:c>
      <x:c r="T40" s="62" t="str">
        <x:v>완료</x:v>
      </x:c>
      <x:c r="U40" s="62" t="str">
        <x:v>당시 사명 기준</x:v>
      </x:c>
    </x:row>
    <x:row r="41" ht="56" customHeight="1">
      <x:c r="A41" s="72" t="str">
        <x:v>KR-P009</x:v>
      </x:c>
      <x:c r="B41" s="62" t="str">
        <x:v>한국</x:v>
      </x:c>
      <x:c r="C41" s="62" t="str">
        <x:v>정책·4대강</x:v>
      </x:c>
      <x:c r="D41" s="62" t="str">
        <x:v>이명박</x:v>
      </x:c>
      <x:c r="E41" s="62" t="str">
        <x:v>자연과환경</x:v>
      </x:c>
      <x:c r="F41" s="70" t="str">
        <x:v>043910</x:v>
      </x:c>
      <x:c r="G41" s="62" t="str">
        <x:v>KOSDAQ</x:v>
      </x:c>
      <x:c r="H41" s="62" t="str">
        <x:v>2007</x:v>
      </x:c>
      <x:c r="I41" s="62" t="str">
        <x:v>대운하·4대강 공약</x:v>
      </x:c>
      <x:c r="J41" s="62" t="str">
        <x:v>환경복원 사업을 공약에 연결</x:v>
      </x:c>
      <x:c r="K41" s="62" t="str">
        <x:v>부분 있음</x:v>
      </x:c>
      <x:c r="L41" s="62" t="str">
        <x:v>중소형 4대강 테마로 급등</x:v>
      </x:c>
      <x:c r="M41" s="114" t="str"/>
      <x:c r="N41" s="62" t="str">
        <x:v>2007</x:v>
      </x:c>
      <x:c r="O41" s="62" t="str">
        <x:v>실적보다 공약 기대</x:v>
      </x:c>
      <x:c r="P41" s="62" t="str">
        <x:v>직접 수주 확정 전 과열</x:v>
      </x:c>
      <x:c r="Q41" s="62" t="str">
        <x:v>혼합-테마 주도</x:v>
      </x:c>
      <x:c r="R41" s="62" t="str">
        <x:v>B</x:v>
      </x:c>
      <x:c r="S41" s="62" t="str">
        <x:v>S22</x:v>
      </x:c>
      <x:c r="T41" s="62" t="str">
        <x:v>완료</x:v>
      </x:c>
      <x:c r="U41" s="62" t="str">
        <x:v>업종 접점형</x:v>
      </x:c>
    </x:row>
    <x:row r="42" ht="56" customHeight="1">
      <x:c r="A42" s="72" t="str">
        <x:v>KR-P010</x:v>
      </x:c>
      <x:c r="B42" s="62" t="str">
        <x:v>한국</x:v>
      </x:c>
      <x:c r="C42" s="62" t="str">
        <x:v>정책·남북경협</x:v>
      </x:c>
      <x:c r="D42" s="62" t="str">
        <x:v>정상회담</x:v>
      </x:c>
      <x:c r="E42" s="62" t="str">
        <x:v>좋은사람들</x:v>
      </x:c>
      <x:c r="F42" s="70" t="str">
        <x:v>033340</x:v>
      </x:c>
      <x:c r="G42" s="62" t="str">
        <x:v>KOSDAQ</x:v>
      </x:c>
      <x:c r="H42" s="62" t="str">
        <x:v>2018-04-18</x:v>
      </x:c>
      <x:c r="I42" s="62" t="str">
        <x:v>남북·북미 정상회담 기대</x:v>
      </x:c>
      <x:c r="J42" s="62" t="str">
        <x:v>개성공단 입주 이력과 재개 기대</x:v>
      </x:c>
      <x:c r="K42" s="62" t="str">
        <x:v>부분 있음</x:v>
      </x:c>
      <x:c r="L42" s="62" t="str">
        <x:v>당일 25.95%</x:v>
      </x:c>
      <x:c r="M42" s="114" t="n">
        <x:v>25.95</x:v>
      </x:c>
      <x:c r="N42" s="62" t="str">
        <x:v>1일</x:v>
      </x:c>
      <x:c r="O42" s="62" t="str">
        <x:v>실제 영업 재개 전</x:v>
      </x:c>
      <x:c r="P42" s="62" t="str">
        <x:v>사업 이력은 있으나 재개 확정 없음</x:v>
      </x:c>
      <x:c r="Q42" s="62" t="str">
        <x:v>혼합-테마 주도</x:v>
      </x:c>
      <x:c r="R42" s="62" t="str">
        <x:v>A</x:v>
      </x:c>
      <x:c r="S42" s="62" t="str">
        <x:v>S23;S24</x:v>
      </x:c>
      <x:c r="T42" s="62" t="str">
        <x:v>완료</x:v>
      </x:c>
      <x:c r="U42" s="62" t="str">
        <x:v>정책 현실화 전 기대</x:v>
      </x:c>
    </x:row>
    <x:row r="43" ht="56" customHeight="1">
      <x:c r="A43" s="72" t="str">
        <x:v>KR-P011</x:v>
      </x:c>
      <x:c r="B43" s="62" t="str">
        <x:v>한국</x:v>
      </x:c>
      <x:c r="C43" s="62" t="str">
        <x:v>정책·남북철도</x:v>
      </x:c>
      <x:c r="D43" s="62" t="str">
        <x:v>정상회담</x:v>
      </x:c>
      <x:c r="E43" s="62" t="str">
        <x:v>대아티아이</x:v>
      </x:c>
      <x:c r="F43" s="70" t="str">
        <x:v>045390</x:v>
      </x:c>
      <x:c r="G43" s="62" t="str">
        <x:v>KOSDAQ</x:v>
      </x:c>
      <x:c r="H43" s="62" t="str">
        <x:v>2018-03~04</x:v>
      </x:c>
      <x:c r="I43" s="62" t="str">
        <x:v>남북 철도 연결 기대</x:v>
      </x:c>
      <x:c r="J43" s="62" t="str">
        <x:v>철도 신호제어 사업을 경협에 연결</x:v>
      </x:c>
      <x:c r="K43" s="62" t="str">
        <x:v>부분 있음</x:v>
      </x:c>
      <x:c r="L43" s="62" t="str">
        <x:v>3월부터 기사 시점까지 55.8%</x:v>
      </x:c>
      <x:c r="M43" s="114" t="n">
        <x:v>55.8</x:v>
      </x:c>
      <x:c r="N43" s="62" t="str">
        <x:v>2018-03~04-17</x:v>
      </x:c>
      <x:c r="O43" s="62" t="str">
        <x:v>실제 발주 전</x:v>
      </x:c>
      <x:c r="P43" s="62" t="str">
        <x:v>사업 접점은 있으나 수주 미확정</x:v>
      </x:c>
      <x:c r="Q43" s="62" t="str">
        <x:v>혼합-테마 주도</x:v>
      </x:c>
      <x:c r="R43" s="62" t="str">
        <x:v>A</x:v>
      </x:c>
      <x:c r="S43" s="62" t="str">
        <x:v>S23;S24</x:v>
      </x:c>
      <x:c r="T43" s="62" t="str">
        <x:v>완료</x:v>
      </x:c>
      <x:c r="U43" s="62" t="str">
        <x:v>업종 접점형</x:v>
      </x:c>
    </x:row>
    <x:row r="44" ht="56" customHeight="1">
      <x:c r="A44" s="72" t="str">
        <x:v>KR-P012</x:v>
      </x:c>
      <x:c r="B44" s="62" t="str">
        <x:v>한국</x:v>
      </x:c>
      <x:c r="C44" s="62" t="str">
        <x:v>정책·남북철도</x:v>
      </x:c>
      <x:c r="D44" s="62" t="str">
        <x:v>정상회담</x:v>
      </x:c>
      <x:c r="E44" s="62" t="str">
        <x:v>대호에이엘</x:v>
      </x:c>
      <x:c r="F44" s="70" t="str">
        <x:v>069460</x:v>
      </x:c>
      <x:c r="G44" s="62" t="str">
        <x:v>KOSPI</x:v>
      </x:c>
      <x:c r="H44" s="62" t="str">
        <x:v>2018-03~04</x:v>
      </x:c>
      <x:c r="I44" s="62" t="str">
        <x:v>남북 철도 연결 기대</x:v>
      </x:c>
      <x:c r="J44" s="62" t="str">
        <x:v>철도차량 소재를 경협에 연결</x:v>
      </x:c>
      <x:c r="K44" s="62" t="str">
        <x:v>부분 있음</x:v>
      </x:c>
      <x:c r="L44" s="62" t="str">
        <x:v>3월부터 기사 시점까지 151.3%</x:v>
      </x:c>
      <x:c r="M44" s="114" t="n">
        <x:v>151.3</x:v>
      </x:c>
      <x:c r="N44" s="62" t="str">
        <x:v>2018-03~04-17</x:v>
      </x:c>
      <x:c r="O44" s="62" t="str">
        <x:v>실제 발주 전</x:v>
      </x:c>
      <x:c r="P44" s="62" t="str">
        <x:v>사업 접점은 있으나 수주 미확정</x:v>
      </x:c>
      <x:c r="Q44" s="62" t="str">
        <x:v>혼합-테마 주도</x:v>
      </x:c>
      <x:c r="R44" s="62" t="str">
        <x:v>A</x:v>
      </x:c>
      <x:c r="S44" s="62" t="str">
        <x:v>S23;S24</x:v>
      </x:c>
      <x:c r="T44" s="62" t="str">
        <x:v>완료</x:v>
      </x:c>
      <x:c r="U44" s="62" t="str">
        <x:v>업종 접점형</x:v>
      </x:c>
    </x:row>
    <x:row r="45" ht="56" customHeight="1">
      <x:c r="A45" s="72" t="str">
        <x:v>KR-P013</x:v>
      </x:c>
      <x:c r="B45" s="62" t="str">
        <x:v>한국</x:v>
      </x:c>
      <x:c r="C45" s="62" t="str">
        <x:v>정책·남북관광</x:v>
      </x:c>
      <x:c r="D45" s="62" t="str">
        <x:v>정상회담</x:v>
      </x:c>
      <x:c r="E45" s="62" t="str">
        <x:v>아난티</x:v>
      </x:c>
      <x:c r="F45" s="70" t="str">
        <x:v>025980</x:v>
      </x:c>
      <x:c r="G45" s="62" t="str">
        <x:v>KOSDAQ</x:v>
      </x:c>
      <x:c r="H45" s="62" t="str">
        <x:v>2018</x:v>
      </x:c>
      <x:c r="I45" s="62" t="str">
        <x:v>남북 정상회담·관광 재개 기대</x:v>
      </x:c>
      <x:c r="J45" s="62" t="str">
        <x:v>금강산 리조트 자산 보유</x:v>
      </x:c>
      <x:c r="K45" s="62" t="str">
        <x:v>있음</x:v>
      </x:c>
      <x:c r="L45" s="62" t="str">
        <x:v>정상회담 기대 때 반복 급등</x:v>
      </x:c>
      <x:c r="M45" s="114" t="str"/>
      <x:c r="N45" s="62" t="str">
        <x:v>2018</x:v>
      </x:c>
      <x:c r="O45" s="62" t="str">
        <x:v>실제 영업 재개 전</x:v>
      </x:c>
      <x:c r="P45" s="62" t="str">
        <x:v>직접 자산은 있으나 재개 불확실</x:v>
      </x:c>
      <x:c r="Q45" s="62" t="str">
        <x:v>혼합-테마 주도</x:v>
      </x:c>
      <x:c r="R45" s="62" t="str">
        <x:v>A</x:v>
      </x:c>
      <x:c r="S45" s="62" t="str">
        <x:v>S23;S24</x:v>
      </x:c>
      <x:c r="T45" s="62" t="str">
        <x:v>완료</x:v>
      </x:c>
      <x:c r="U45" s="62" t="str">
        <x:v>실질 연결이 있는 혼합형</x:v>
      </x:c>
    </x:row>
    <x:row r="46" ht="56" customHeight="1">
      <x:c r="A46" s="72" t="str">
        <x:v>KR-P014</x:v>
      </x:c>
      <x:c r="B46" s="62" t="str">
        <x:v>한국</x:v>
      </x:c>
      <x:c r="C46" s="62" t="str">
        <x:v>정책·개성공단</x:v>
      </x:c>
      <x:c r="D46" s="62" t="str">
        <x:v>정상회담</x:v>
      </x:c>
      <x:c r="E46" s="62" t="str">
        <x:v>신원</x:v>
      </x:c>
      <x:c r="F46" s="70" t="str">
        <x:v>009270</x:v>
      </x:c>
      <x:c r="G46" s="62" t="str">
        <x:v>KOSPI</x:v>
      </x:c>
      <x:c r="H46" s="62" t="str">
        <x:v>2018</x:v>
      </x:c>
      <x:c r="I46" s="62" t="str">
        <x:v>개성공단 재개 기대</x:v>
      </x:c>
      <x:c r="J46" s="62" t="str">
        <x:v>개성공단 입주 이력</x:v>
      </x:c>
      <x:c r="K46" s="62" t="str">
        <x:v>있음</x:v>
      </x:c>
      <x:c r="L46" s="62" t="str">
        <x:v>남북경협주 동반 급등</x:v>
      </x:c>
      <x:c r="M46" s="114" t="str"/>
      <x:c r="N46" s="62" t="str">
        <x:v>2018</x:v>
      </x:c>
      <x:c r="O46" s="62" t="str">
        <x:v>실제 영업 재개 전</x:v>
      </x:c>
      <x:c r="P46" s="62" t="str">
        <x:v>직접 이력은 있으나 재개 불확실</x:v>
      </x:c>
      <x:c r="Q46" s="62" t="str">
        <x:v>혼합-테마 주도</x:v>
      </x:c>
      <x:c r="R46" s="62" t="str">
        <x:v>B</x:v>
      </x:c>
      <x:c r="S46" s="62" t="str">
        <x:v>S23</x:v>
      </x:c>
      <x:c r="T46" s="62" t="str">
        <x:v>완료</x:v>
      </x:c>
      <x:c r="U46" s="62" t="str">
        <x:v>실질 연결이 있는 혼합형</x:v>
      </x:c>
    </x:row>
    <x:row r="47" ht="56" customHeight="1">
      <x:c r="A47" s="72" t="str">
        <x:v>KR-P015</x:v>
      </x:c>
      <x:c r="B47" s="62" t="str">
        <x:v>한국</x:v>
      </x:c>
      <x:c r="C47" s="62" t="str">
        <x:v>정책·가덕도신공항</x:v>
      </x:c>
      <x:c r="D47" s="62" t="str">
        <x:v>가덕도 특별법</x:v>
      </x:c>
      <x:c r="E47" s="62" t="str">
        <x:v>영화금속</x:v>
      </x:c>
      <x:c r="F47" s="70" t="str">
        <x:v>012280</x:v>
      </x:c>
      <x:c r="G47" s="62" t="str">
        <x:v>KOSPI</x:v>
      </x:c>
      <x:c r="H47" s="62" t="str">
        <x:v>2020~2021</x:v>
      </x:c>
      <x:c r="I47" s="62" t="str">
        <x:v>가덕도 신공항 특별법</x:v>
      </x:c>
      <x:c r="J47" s="62" t="str">
        <x:v>가덕도 인근 공장 위치를 수혜로 연결</x:v>
      </x:c>
      <x:c r="K47" s="62" t="str">
        <x:v>매우 약함</x:v>
      </x:c>
      <x:c r="L47" s="62" t="str">
        <x:v>법 통과 후 -14.44%로 상승분 반납</x:v>
      </x:c>
      <x:c r="M47" s="114" t="n">
        <x:v>-14.44</x:v>
      </x:c>
      <x:c r="N47" s="62" t="str">
        <x:v>재료 노출 후</x:v>
      </x:c>
      <x:c r="O47" s="62" t="str">
        <x:v>기사상 없음</x:v>
      </x:c>
      <x:c r="P47" s="62" t="str">
        <x:v>공항 사업 직접 계약 없음</x:v>
      </x:c>
      <x:c r="Q47" s="62" t="str">
        <x:v>혼합-테마 주도</x:v>
      </x:c>
      <x:c r="R47" s="62" t="str">
        <x:v>A</x:v>
      </x:c>
      <x:c r="S47" s="62" t="str">
        <x:v>S25</x:v>
      </x:c>
      <x:c r="T47" s="62" t="str">
        <x:v>완료</x:v>
      </x:c>
      <x:c r="U47" s="62" t="str">
        <x:v>지리적 인접성</x:v>
      </x:c>
    </x:row>
    <x:row r="48" ht="56" customHeight="1">
      <x:c r="A48" s="72" t="str">
        <x:v>KR-P016</x:v>
      </x:c>
      <x:c r="B48" s="62" t="str">
        <x:v>한국</x:v>
      </x:c>
      <x:c r="C48" s="62" t="str">
        <x:v>정책·가덕도신공항</x:v>
      </x:c>
      <x:c r="D48" s="62" t="str">
        <x:v>가덕도 특별법</x:v>
      </x:c>
      <x:c r="E48" s="62" t="str">
        <x:v>동방선기</x:v>
      </x:c>
      <x:c r="F48" s="70" t="str">
        <x:v>099410</x:v>
      </x:c>
      <x:c r="G48" s="62" t="str">
        <x:v>KOSDAQ</x:v>
      </x:c>
      <x:c r="H48" s="62" t="str">
        <x:v>2020~2021</x:v>
      </x:c>
      <x:c r="I48" s="62" t="str">
        <x:v>가덕도 신공항 특별법</x:v>
      </x:c>
      <x:c r="J48" s="62" t="str">
        <x:v>가덕도 인근 소재지</x:v>
      </x:c>
      <x:c r="K48" s="62" t="str">
        <x:v>매우 약함</x:v>
      </x:c>
      <x:c r="L48" s="62" t="str">
        <x:v>법 통과 후 -15.88%로 상승분 반납</x:v>
      </x:c>
      <x:c r="M48" s="114" t="n">
        <x:v>-15.88</x:v>
      </x:c>
      <x:c r="N48" s="62" t="str">
        <x:v>재료 노출 후</x:v>
      </x:c>
      <x:c r="O48" s="62" t="str">
        <x:v>기사상 없음</x:v>
      </x:c>
      <x:c r="P48" s="62" t="str">
        <x:v>공항 사업 직접 계약 없음</x:v>
      </x:c>
      <x:c r="Q48" s="62" t="str">
        <x:v>혼합-테마 주도</x:v>
      </x:c>
      <x:c r="R48" s="62" t="str">
        <x:v>A</x:v>
      </x:c>
      <x:c r="S48" s="62" t="str">
        <x:v>S25</x:v>
      </x:c>
      <x:c r="T48" s="62" t="str">
        <x:v>완료</x:v>
      </x:c>
      <x:c r="U48" s="62" t="str">
        <x:v>지리적 인접성</x:v>
      </x:c>
    </x:row>
    <x:row r="49" ht="56" customHeight="1">
      <x:c r="A49" s="72" t="str">
        <x:v>KR-P017</x:v>
      </x:c>
      <x:c r="B49" s="62" t="str">
        <x:v>한국</x:v>
      </x:c>
      <x:c r="C49" s="62" t="str">
        <x:v>정책·가덕도신공항</x:v>
      </x:c>
      <x:c r="D49" s="62" t="str">
        <x:v>가덕도 특별법</x:v>
      </x:c>
      <x:c r="E49" s="62" t="str">
        <x:v>삼보산업</x:v>
      </x:c>
      <x:c r="F49" s="70" t="str">
        <x:v>009620</x:v>
      </x:c>
      <x:c r="G49" s="62" t="str">
        <x:v>KOSDAQ</x:v>
      </x:c>
      <x:c r="H49" s="62" t="str">
        <x:v>2020~2021</x:v>
      </x:c>
      <x:c r="I49" s="62" t="str">
        <x:v>가덕도 신공항 특별법</x:v>
      </x:c>
      <x:c r="J49" s="62" t="str">
        <x:v>부산·경남 소재지·물류 기대</x:v>
      </x:c>
      <x:c r="K49" s="62" t="str">
        <x:v>매우 약함</x:v>
      </x:c>
      <x:c r="L49" s="62" t="str">
        <x:v>법 통과 후 -16.62%로 상승분 반납</x:v>
      </x:c>
      <x:c r="M49" s="114" t="n">
        <x:v>-16.62</x:v>
      </x:c>
      <x:c r="N49" s="62" t="str">
        <x:v>재료 노출 후</x:v>
      </x:c>
      <x:c r="O49" s="62" t="str">
        <x:v>기사상 없음</x:v>
      </x:c>
      <x:c r="P49" s="62" t="str">
        <x:v>공항 사업 직접 계약 없음</x:v>
      </x:c>
      <x:c r="Q49" s="62" t="str">
        <x:v>혼합-테마 주도</x:v>
      </x:c>
      <x:c r="R49" s="62" t="str">
        <x:v>A</x:v>
      </x:c>
      <x:c r="S49" s="62" t="str">
        <x:v>S25</x:v>
      </x:c>
      <x:c r="T49" s="62" t="str">
        <x:v>완료</x:v>
      </x:c>
      <x:c r="U49" s="62" t="str">
        <x:v>지역 테마</x:v>
      </x:c>
    </x:row>
    <x:row r="50" ht="56" customHeight="1">
      <x:c r="A50" s="72" t="str">
        <x:v>KR-P018</x:v>
      </x:c>
      <x:c r="B50" s="62" t="str">
        <x:v>한국</x:v>
      </x:c>
      <x:c r="C50" s="62" t="str">
        <x:v>정책·행정수도</x:v>
      </x:c>
      <x:c r="D50" s="62" t="str">
        <x:v>세종 이전</x:v>
      </x:c>
      <x:c r="E50" s="62" t="str">
        <x:v>프럼파스트</x:v>
      </x:c>
      <x:c r="F50" s="70" t="str">
        <x:v>035200</x:v>
      </x:c>
      <x:c r="G50" s="62" t="str">
        <x:v>KOSDAQ</x:v>
      </x:c>
      <x:c r="H50" s="62" t="str">
        <x:v>2025-03</x:v>
      </x:c>
      <x:c r="I50" s="62" t="str">
        <x:v>행정수도 이전 재언급</x:v>
      </x:c>
      <x:c r="J50" s="62" t="str">
        <x:v>세종시에 생산공장 보유</x:v>
      </x:c>
      <x:c r="K50" s="62" t="str">
        <x:v>부분 있음</x:v>
      </x:c>
      <x:c r="L50" s="62" t="str">
        <x:v>기사 당일 5.36%</x:v>
      </x:c>
      <x:c r="M50" s="114" t="n">
        <x:v>5.36</x:v>
      </x:c>
      <x:c r="N50" s="62" t="str">
        <x:v>1일</x:v>
      </x:c>
      <x:c r="O50" s="62" t="str">
        <x:v>기사상 없음</x:v>
      </x:c>
      <x:c r="P50" s="62" t="str">
        <x:v>이전 정책의 직접 매출효과 불확실</x:v>
      </x:c>
      <x:c r="Q50" s="62" t="str">
        <x:v>혼합-테마 주도</x:v>
      </x:c>
      <x:c r="R50" s="62" t="str">
        <x:v>B</x:v>
      </x:c>
      <x:c r="S50" s="62" t="str">
        <x:v>S26</x:v>
      </x:c>
      <x:c r="T50" s="62" t="str">
        <x:v>완료</x:v>
      </x:c>
      <x:c r="U50" s="62" t="str">
        <x:v>자산 위치형</x:v>
      </x:c>
    </x:row>
    <x:row r="51" ht="56" customHeight="1">
      <x:c r="A51" s="72" t="str">
        <x:v>KR-P019</x:v>
      </x:c>
      <x:c r="B51" s="62" t="str">
        <x:v>한국</x:v>
      </x:c>
      <x:c r="C51" s="62" t="str">
        <x:v>정책·행정수도</x:v>
      </x:c>
      <x:c r="D51" s="62" t="str">
        <x:v>세종 이전</x:v>
      </x:c>
      <x:c r="E51" s="62" t="str">
        <x:v>유라테크</x:v>
      </x:c>
      <x:c r="F51" s="70" t="str">
        <x:v>048430</x:v>
      </x:c>
      <x:c r="G51" s="62" t="str">
        <x:v>KOSDAQ</x:v>
      </x:c>
      <x:c r="H51" s="62" t="str">
        <x:v>2025-03</x:v>
      </x:c>
      <x:c r="I51" s="62" t="str">
        <x:v>행정수도 이전 재언급</x:v>
      </x:c>
      <x:c r="J51" s="62" t="str">
        <x:v>세종시 인근 사업장·자산 서사</x:v>
      </x:c>
      <x:c r="K51" s="62" t="str">
        <x:v>매우 약함</x:v>
      </x:c>
      <x:c r="L51" s="62" t="str">
        <x:v>기사 당일 7.67%</x:v>
      </x:c>
      <x:c r="M51" s="114" t="n">
        <x:v>7.67</x:v>
      </x:c>
      <x:c r="N51" s="62" t="str">
        <x:v>1일</x:v>
      </x:c>
      <x:c r="O51" s="62" t="str">
        <x:v>기사상 없음</x:v>
      </x:c>
      <x:c r="P51" s="62" t="str">
        <x:v>직접 수혜 불확실</x:v>
      </x:c>
      <x:c r="Q51" s="62" t="str">
        <x:v>혼합-테마 주도</x:v>
      </x:c>
      <x:c r="R51" s="62" t="str">
        <x:v>B</x:v>
      </x:c>
      <x:c r="S51" s="62" t="str">
        <x:v>S26</x:v>
      </x:c>
      <x:c r="T51" s="62" t="str">
        <x:v>완료</x:v>
      </x:c>
      <x:c r="U51" s="62" t="str">
        <x:v>지역 테마</x:v>
      </x:c>
    </x:row>
    <x:row r="52" ht="56" customHeight="1">
      <x:c r="A52" s="72" t="str">
        <x:v>KR-P020</x:v>
      </x:c>
      <x:c r="B52" s="62" t="str">
        <x:v>한국</x:v>
      </x:c>
      <x:c r="C52" s="62" t="str">
        <x:v>정책·행정수도</x:v>
      </x:c>
      <x:c r="D52" s="62" t="str">
        <x:v>세종 이전</x:v>
      </x:c>
      <x:c r="E52" s="62" t="str">
        <x:v>대주산업</x:v>
      </x:c>
      <x:c r="F52" s="70" t="str">
        <x:v>003310</x:v>
      </x:c>
      <x:c r="G52" s="62" t="str">
        <x:v>KOSDAQ</x:v>
      </x:c>
      <x:c r="H52" s="62" t="str">
        <x:v>정치 이벤트 반복</x:v>
      </x:c>
      <x:c r="I52" s="62" t="str">
        <x:v>행정수도 이전 기대</x:v>
      </x:c>
      <x:c r="J52" s="62" t="str">
        <x:v>세종 인근 토지 보유 서사</x:v>
      </x:c>
      <x:c r="K52" s="62" t="str">
        <x:v>매우 약함</x:v>
      </x:c>
      <x:c r="L52" s="62" t="str">
        <x:v>정책 뉴스 때 반복 급등</x:v>
      </x:c>
      <x:c r="M52" s="114" t="str"/>
      <x:c r="N52" s="62" t="str">
        <x:v>반복 구간</x:v>
      </x:c>
      <x:c r="O52" s="62" t="str">
        <x:v>기사상 없음</x:v>
      </x:c>
      <x:c r="P52" s="62" t="str">
        <x:v>직접 수혜 불확실</x:v>
      </x:c>
      <x:c r="Q52" s="62" t="str">
        <x:v>후보-추가검증</x:v>
      </x:c>
      <x:c r="R52" s="62" t="str">
        <x:v>C</x:v>
      </x:c>
      <x:c r="S52" s="62" t="str">
        <x:v>S26</x:v>
      </x:c>
      <x:c r="T52" s="62" t="str">
        <x:v>추가검증</x:v>
      </x:c>
      <x:c r="U52" s="62" t="str">
        <x:v>신뢰 가능한 가격 기사 보강 필요</x:v>
      </x:c>
    </x:row>
    <x:row r="53" ht="56" customHeight="1">
      <x:c r="A53" s="72" t="str">
        <x:v>KR-P021</x:v>
      </x:c>
      <x:c r="B53" s="62" t="str">
        <x:v>한국</x:v>
      </x:c>
      <x:c r="C53" s="62" t="str">
        <x:v>정책·새만금</x:v>
      </x:c>
      <x:c r="D53" s="62" t="str">
        <x:v>새만금 개발</x:v>
      </x:c>
      <x:c r="E53" s="62" t="str">
        <x:v>페이퍼코리아</x:v>
      </x:c>
      <x:c r="F53" s="70" t="str">
        <x:v>001020</x:v>
      </x:c>
      <x:c r="G53" s="62" t="str">
        <x:v>KOSPI</x:v>
      </x:c>
      <x:c r="H53" s="62" t="str">
        <x:v>정책 이벤트 반복</x:v>
      </x:c>
      <x:c r="I53" s="62" t="str">
        <x:v>새만금 개발 기대</x:v>
      </x:c>
      <x:c r="J53" s="62" t="str">
        <x:v>군산·새만금 인근 부지 가치 서사</x:v>
      </x:c>
      <x:c r="K53" s="62" t="str">
        <x:v>부분 있음</x:v>
      </x:c>
      <x:c r="L53" s="62" t="str">
        <x:v>관련 뉴스에서 약 15% 상승 사례</x:v>
      </x:c>
      <x:c r="M53" s="114" t="n">
        <x:v>15</x:v>
      </x:c>
      <x:c r="N53" s="62" t="str">
        <x:v>1일 기사 기준</x:v>
      </x:c>
      <x:c r="O53" s="62" t="str">
        <x:v>기사상 없음</x:v>
      </x:c>
      <x:c r="P53" s="62" t="str">
        <x:v>개발 수익 실현 불확실</x:v>
      </x:c>
      <x:c r="Q53" s="62" t="str">
        <x:v>혼합-테마 주도</x:v>
      </x:c>
      <x:c r="R53" s="62" t="str">
        <x:v>B</x:v>
      </x:c>
      <x:c r="S53" s="62" t="str">
        <x:v>S26</x:v>
      </x:c>
      <x:c r="T53" s="62" t="str">
        <x:v>추가검증</x:v>
      </x:c>
      <x:c r="U53" s="62" t="str">
        <x:v>원문 가격 기사 추가 필요</x:v>
      </x:c>
    </x:row>
    <x:row r="54" ht="56" customHeight="1">
      <x:c r="A54" s="72" t="str">
        <x:v>KR-P022</x:v>
      </x:c>
      <x:c r="B54" s="62" t="str">
        <x:v>한국</x:v>
      </x:c>
      <x:c r="C54" s="62" t="str">
        <x:v>정책·대왕고래</x:v>
      </x:c>
      <x:c r="D54" s="62" t="str">
        <x:v>동해 심해 가스전</x:v>
      </x:c>
      <x:c r="E54" s="62" t="str">
        <x:v>한국가스공사</x:v>
      </x:c>
      <x:c r="F54" s="70" t="str">
        <x:v>036460</x:v>
      </x:c>
      <x:c r="G54" s="62" t="str">
        <x:v>KOSPI</x:v>
      </x:c>
      <x:c r="H54" s="62" t="str">
        <x:v>2024-06-03</x:v>
      </x:c>
      <x:c r="I54" s="62" t="str">
        <x:v>대통령의 최대 140억 배럴 가능성 발표</x:v>
      </x:c>
      <x:c r="J54" s="62" t="str">
        <x:v>가스 유통·개발 참여 기대</x:v>
      </x:c>
      <x:c r="K54" s="62" t="str">
        <x:v>부분 있음</x:v>
      </x:c>
      <x:c r="L54" s="62" t="str">
        <x:v>발표 뒤 38% 상승</x:v>
      </x:c>
      <x:c r="M54" s="114" t="n">
        <x:v>38</x:v>
      </x:c>
      <x:c r="N54" s="62" t="str">
        <x:v>2024-06-03~06-10</x:v>
      </x:c>
      <x:c r="O54" s="62" t="str">
        <x:v>본업 요금 인상 기대 일부</x:v>
      </x:c>
      <x:c r="P54" s="62" t="str">
        <x:v>시추 전 매장량·경제성 불확실</x:v>
      </x:c>
      <x:c r="Q54" s="62" t="str">
        <x:v>혼합-테마 주도</x:v>
      </x:c>
      <x:c r="R54" s="62" t="str">
        <x:v>A</x:v>
      </x:c>
      <x:c r="S54" s="62" t="str">
        <x:v>S27;S28;S30</x:v>
      </x:c>
      <x:c r="T54" s="62" t="str">
        <x:v>완료</x:v>
      </x:c>
      <x:c r="U54" s="62" t="str">
        <x:v>프로젝트 실패 뒤 급락</x:v>
      </x:c>
    </x:row>
    <x:row r="55" ht="56" customHeight="1">
      <x:c r="A55" s="72" t="str">
        <x:v>KR-P023</x:v>
      </x:c>
      <x:c r="B55" s="62" t="str">
        <x:v>한국</x:v>
      </x:c>
      <x:c r="C55" s="62" t="str">
        <x:v>정책·대왕고래</x:v>
      </x:c>
      <x:c r="D55" s="62" t="str">
        <x:v>동해 심해 가스전</x:v>
      </x:c>
      <x:c r="E55" s="62" t="str">
        <x:v>한국석유</x:v>
      </x:c>
      <x:c r="F55" s="70" t="str">
        <x:v>004090</x:v>
      </x:c>
      <x:c r="G55" s="62" t="str">
        <x:v>KOSPI</x:v>
      </x:c>
      <x:c r="H55" s="62" t="str">
        <x:v>2024-06-03</x:v>
      </x:c>
      <x:c r="I55" s="62" t="str">
        <x:v>동해 석유·가스 가능성 발표</x:v>
      </x:c>
      <x:c r="J55" s="62" t="str">
        <x:v>회사명·석유 제품 사업을 유전개발에 연결</x:v>
      </x:c>
      <x:c r="K55" s="62" t="str">
        <x:v>매우 약함</x:v>
      </x:c>
      <x:c r="L55" s="62" t="str">
        <x:v>발표 당일 상한가; 경제성 없음 뒤 -13.8%</x:v>
      </x:c>
      <x:c r="M55" s="114" t="n">
        <x:v>29.9</x:v>
      </x:c>
      <x:c r="N55" s="62" t="str">
        <x:v>발표 당일</x:v>
      </x:c>
      <x:c r="O55" s="62" t="str">
        <x:v>기사상 없음</x:v>
      </x:c>
      <x:c r="P55" s="62" t="str">
        <x:v>탐사·채굴 직접 주체 아님</x:v>
      </x:c>
      <x:c r="Q55" s="62" t="str">
        <x:v>강한 밈</x:v>
      </x:c>
      <x:c r="R55" s="62" t="str">
        <x:v>A</x:v>
      </x:c>
      <x:c r="S55" s="62" t="str">
        <x:v>S27;S30</x:v>
      </x:c>
      <x:c r="T55" s="62" t="str">
        <x:v>완료</x:v>
      </x:c>
      <x:c r="U55" s="62" t="str">
        <x:v>이름·업종 착시 성격 강함</x:v>
      </x:c>
    </x:row>
    <x:row r="56" ht="56" customHeight="1">
      <x:c r="A56" s="72" t="str">
        <x:v>KR-P024</x:v>
      </x:c>
      <x:c r="B56" s="62" t="str">
        <x:v>한국</x:v>
      </x:c>
      <x:c r="C56" s="62" t="str">
        <x:v>정책·대왕고래</x:v>
      </x:c>
      <x:c r="D56" s="62" t="str">
        <x:v>동해 심해 가스전</x:v>
      </x:c>
      <x:c r="E56" s="62" t="str">
        <x:v>흥구석유</x:v>
      </x:c>
      <x:c r="F56" s="70" t="str">
        <x:v>024060</x:v>
      </x:c>
      <x:c r="G56" s="62" t="str">
        <x:v>KOSDAQ</x:v>
      </x:c>
      <x:c r="H56" s="62" t="str">
        <x:v>2024-06-03</x:v>
      </x:c>
      <x:c r="I56" s="62" t="str">
        <x:v>동해 석유·가스 가능성 발표</x:v>
      </x:c>
      <x:c r="J56" s="62" t="str">
        <x:v>석유 유통업을 유전개발 수혜로 연결</x:v>
      </x:c>
      <x:c r="K56" s="62" t="str">
        <x:v>매우 약함</x:v>
      </x:c>
      <x:c r="L56" s="62" t="str">
        <x:v>발표 당일 상한가; 경제성 없음 뒤 -9.08%</x:v>
      </x:c>
      <x:c r="M56" s="114" t="n">
        <x:v>29.9</x:v>
      </x:c>
      <x:c r="N56" s="62" t="str">
        <x:v>발표 당일</x:v>
      </x:c>
      <x:c r="O56" s="62" t="str">
        <x:v>기사상 없음</x:v>
      </x:c>
      <x:c r="P56" s="62" t="str">
        <x:v>탐사·채굴 직접 주체 아님</x:v>
      </x:c>
      <x:c r="Q56" s="62" t="str">
        <x:v>강한 밈</x:v>
      </x:c>
      <x:c r="R56" s="62" t="str">
        <x:v>A</x:v>
      </x:c>
      <x:c r="S56" s="62" t="str">
        <x:v>S27;S30</x:v>
      </x:c>
      <x:c r="T56" s="62" t="str">
        <x:v>완료</x:v>
      </x:c>
      <x:c r="U56" s="62" t="str">
        <x:v>업종명 연상</x:v>
      </x:c>
    </x:row>
    <x:row r="57" ht="56" customHeight="1">
      <x:c r="A57" s="72" t="str">
        <x:v>KR-P025</x:v>
      </x:c>
      <x:c r="B57" s="62" t="str">
        <x:v>한국</x:v>
      </x:c>
      <x:c r="C57" s="62" t="str">
        <x:v>정책·대왕고래</x:v>
      </x:c>
      <x:c r="D57" s="62" t="str">
        <x:v>동해 심해 가스전</x:v>
      </x:c>
      <x:c r="E57" s="62" t="str">
        <x:v>동양철관</x:v>
      </x:c>
      <x:c r="F57" s="70" t="str">
        <x:v>008970</x:v>
      </x:c>
      <x:c r="G57" s="62" t="str">
        <x:v>KOSPI</x:v>
      </x:c>
      <x:c r="H57" s="62" t="str">
        <x:v>2024-06-03</x:v>
      </x:c>
      <x:c r="I57" s="62" t="str">
        <x:v>동해 석유·가스 가능성 발표</x:v>
      </x:c>
      <x:c r="J57" s="62" t="str">
        <x:v>가스관용 강관 수요 기대</x:v>
      </x:c>
      <x:c r="K57" s="62" t="str">
        <x:v>부분 있음</x:v>
      </x:c>
      <x:c r="L57" s="62" t="str">
        <x:v>2연속 상한가 뒤 3일째 장중 +21.53%</x:v>
      </x:c>
      <x:c r="M57" s="114" t="str"/>
      <x:c r="N57" s="62" t="str">
        <x:v>3거래일</x:v>
      </x:c>
      <x:c r="O57" s="62" t="str">
        <x:v>기사상 없음</x:v>
      </x:c>
      <x:c r="P57" s="62" t="str">
        <x:v>시추 성공·발주 전</x:v>
      </x:c>
      <x:c r="Q57" s="62" t="str">
        <x:v>혼합-테마 주도</x:v>
      </x:c>
      <x:c r="R57" s="62" t="str">
        <x:v>A</x:v>
      </x:c>
      <x:c r="S57" s="62" t="str">
        <x:v>S27;S29;S30</x:v>
      </x:c>
      <x:c r="T57" s="62" t="str">
        <x:v>완료</x:v>
      </x:c>
      <x:c r="U57" s="62" t="str">
        <x:v>사업 접점 있으나 시차 큼</x:v>
      </x:c>
    </x:row>
    <x:row r="58" ht="56" customHeight="1">
      <x:c r="A58" s="72" t="str">
        <x:v>KR-P026</x:v>
      </x:c>
      <x:c r="B58" s="62" t="str">
        <x:v>한국</x:v>
      </x:c>
      <x:c r="C58" s="62" t="str">
        <x:v>정책·대왕고래</x:v>
      </x:c>
      <x:c r="D58" s="62" t="str">
        <x:v>동해 심해 가스전</x:v>
      </x:c>
      <x:c r="E58" s="62" t="str">
        <x:v>화성밸브</x:v>
      </x:c>
      <x:c r="F58" s="70" t="str">
        <x:v>039610</x:v>
      </x:c>
      <x:c r="G58" s="62" t="str">
        <x:v>KOSDAQ</x:v>
      </x:c>
      <x:c r="H58" s="62" t="str">
        <x:v>2024-06-03</x:v>
      </x:c>
      <x:c r="I58" s="62" t="str">
        <x:v>동해 석유·가스 가능성 발표</x:v>
      </x:c>
      <x:c r="J58" s="62" t="str">
        <x:v>가스 밸브 수요 기대</x:v>
      </x:c>
      <x:c r="K58" s="62" t="str">
        <x:v>부분 있음</x:v>
      </x:c>
      <x:c r="L58" s="62" t="str">
        <x:v>발표 당일 상한가</x:v>
      </x:c>
      <x:c r="M58" s="114" t="n">
        <x:v>29.9</x:v>
      </x:c>
      <x:c r="N58" s="62" t="str">
        <x:v>1일</x:v>
      </x:c>
      <x:c r="O58" s="62" t="str">
        <x:v>기사상 없음</x:v>
      </x:c>
      <x:c r="P58" s="62" t="str">
        <x:v>시추 성공·발주 전</x:v>
      </x:c>
      <x:c r="Q58" s="62" t="str">
        <x:v>혼합-테마 주도</x:v>
      </x:c>
      <x:c r="R58" s="62" t="str">
        <x:v>A</x:v>
      </x:c>
      <x:c r="S58" s="62" t="str">
        <x:v>S27;S30</x:v>
      </x:c>
      <x:c r="T58" s="62" t="str">
        <x:v>완료</x:v>
      </x:c>
      <x:c r="U58" s="62" t="str">
        <x:v>사업 접점 있으나 수주 미확정</x:v>
      </x:c>
    </x:row>
    <x:row r="59" ht="56" customHeight="1">
      <x:c r="A59" s="72" t="str">
        <x:v>KR-P027</x:v>
      </x:c>
      <x:c r="B59" s="62" t="str">
        <x:v>한국</x:v>
      </x:c>
      <x:c r="C59" s="62" t="str">
        <x:v>정책·대왕고래</x:v>
      </x:c>
      <x:c r="D59" s="62" t="str">
        <x:v>동해 심해 가스전</x:v>
      </x:c>
      <x:c r="E59" s="62" t="str">
        <x:v>대성에너지</x:v>
      </x:c>
      <x:c r="F59" s="70" t="str">
        <x:v>117580</x:v>
      </x:c>
      <x:c r="G59" s="62" t="str">
        <x:v>KOSPI</x:v>
      </x:c>
      <x:c r="H59" s="62" t="str">
        <x:v>2024-06-03</x:v>
      </x:c>
      <x:c r="I59" s="62" t="str">
        <x:v>동해 석유·가스 가능성 발표</x:v>
      </x:c>
      <x:c r="J59" s="62" t="str">
        <x:v>도시가스 사업을 가스전 수혜로 연결</x:v>
      </x:c>
      <x:c r="K59" s="62" t="str">
        <x:v>매우 약함</x:v>
      </x:c>
      <x:c r="L59" s="62" t="str">
        <x:v>발표 당일 상한가</x:v>
      </x:c>
      <x:c r="M59" s="114" t="n">
        <x:v>29.9</x:v>
      </x:c>
      <x:c r="N59" s="62" t="str">
        <x:v>1일</x:v>
      </x:c>
      <x:c r="O59" s="62" t="str">
        <x:v>기사상 없음</x:v>
      </x:c>
      <x:c r="P59" s="62" t="str">
        <x:v>탐사·개발 직접 주체 아님</x:v>
      </x:c>
      <x:c r="Q59" s="62" t="str">
        <x:v>강한 밈</x:v>
      </x:c>
      <x:c r="R59" s="62" t="str">
        <x:v>B</x:v>
      </x:c>
      <x:c r="S59" s="62" t="str">
        <x:v>S27</x:v>
      </x:c>
      <x:c r="T59" s="62" t="str">
        <x:v>완료</x:v>
      </x:c>
      <x:c r="U59" s="62" t="str">
        <x:v>가스라는 단어 연상</x:v>
      </x:c>
    </x:row>
    <x:row r="60" ht="56" customHeight="1">
      <x:c r="A60" s="72" t="str">
        <x:v>KR-P028</x:v>
      </x:c>
      <x:c r="B60" s="62" t="str">
        <x:v>한국</x:v>
      </x:c>
      <x:c r="C60" s="62" t="str">
        <x:v>정책·대왕고래</x:v>
      </x:c>
      <x:c r="D60" s="62" t="str">
        <x:v>동해 심해 가스전</x:v>
      </x:c>
      <x:c r="E60" s="62" t="str">
        <x:v>중앙에너비스</x:v>
      </x:c>
      <x:c r="F60" s="70" t="str">
        <x:v>000440</x:v>
      </x:c>
      <x:c r="G60" s="62" t="str">
        <x:v>KOSDAQ</x:v>
      </x:c>
      <x:c r="H60" s="62" t="str">
        <x:v>2024-06-03</x:v>
      </x:c>
      <x:c r="I60" s="62" t="str">
        <x:v>동해 석유·가스 가능성 발표</x:v>
      </x:c>
      <x:c r="J60" s="62" t="str">
        <x:v>석유 유통업을 유전개발 수혜로 연결</x:v>
      </x:c>
      <x:c r="K60" s="62" t="str">
        <x:v>매우 약함</x:v>
      </x:c>
      <x:c r="L60" s="62" t="str">
        <x:v>발표 당일 상한가</x:v>
      </x:c>
      <x:c r="M60" s="114" t="n">
        <x:v>29.9</x:v>
      </x:c>
      <x:c r="N60" s="62" t="str">
        <x:v>1일</x:v>
      </x:c>
      <x:c r="O60" s="62" t="str">
        <x:v>기사상 없음</x:v>
      </x:c>
      <x:c r="P60" s="62" t="str">
        <x:v>탐사·개발 직접 주체 아님</x:v>
      </x:c>
      <x:c r="Q60" s="62" t="str">
        <x:v>강한 밈</x:v>
      </x:c>
      <x:c r="R60" s="62" t="str">
        <x:v>B</x:v>
      </x:c>
      <x:c r="S60" s="62" t="str">
        <x:v>S27</x:v>
      </x:c>
      <x:c r="T60" s="62" t="str">
        <x:v>완료</x:v>
      </x:c>
      <x:c r="U60" s="62" t="str">
        <x:v>에너지 연상</x:v>
      </x:c>
    </x:row>
    <x:row r="61" ht="56" customHeight="1">
      <x:c r="A61" s="72" t="str">
        <x:v>KR-C002</x:v>
      </x:c>
      <x:c r="B61" s="62" t="str">
        <x:v>한국</x:v>
      </x:c>
      <x:c r="C61" s="62" t="str">
        <x:v>문화·콘텐츠 간접</x:v>
      </x:c>
      <x:c r="D61" s="62" t="str">
        <x:v>오징어게임</x:v>
      </x:c>
      <x:c r="E61" s="62" t="str">
        <x:v>버킷스튜디오</x:v>
      </x:c>
      <x:c r="F61" s="70" t="str">
        <x:v>066410</x:v>
      </x:c>
      <x:c r="G61" s="62" t="str">
        <x:v>KOSDAQ</x:v>
      </x:c>
      <x:c r="H61" s="62" t="str">
        <x:v>2021-09</x:v>
      </x:c>
      <x:c r="I61" s="62" t="str">
        <x:v>넷플릭스 글로벌 1위</x:v>
      </x:c>
      <x:c r="J61" s="62" t="str">
        <x:v>주연 이정재 소속사 지분 15% 보유</x:v>
      </x:c>
      <x:c r="K61" s="62" t="str">
        <x:v>간접 있음</x:v>
      </x:c>
      <x:c r="L61" s="62" t="str">
        <x:v>상한가를 거듭</x:v>
      </x:c>
      <x:c r="M61" s="114" t="str"/>
      <x:c r="N61" s="62" t="str">
        <x:v>수일</x:v>
      </x:c>
      <x:c r="O61" s="62" t="str">
        <x:v>콘텐츠 흥행</x:v>
      </x:c>
      <x:c r="P61" s="62" t="str">
        <x:v>작품 자체 제작·배급 수익은 직접 아님</x:v>
      </x:c>
      <x:c r="Q61" s="62" t="str">
        <x:v>혼합-테마 주도</x:v>
      </x:c>
      <x:c r="R61" s="62" t="str">
        <x:v>A</x:v>
      </x:c>
      <x:c r="S61" s="62" t="str">
        <x:v>S33;S34</x:v>
      </x:c>
      <x:c r="T61" s="62" t="str">
        <x:v>완료</x:v>
      </x:c>
      <x:c r="U61" s="62" t="str">
        <x:v>배우 소속사 지분의 간접성</x:v>
      </x:c>
    </x:row>
    <x:row r="62" ht="56" customHeight="1">
      <x:c r="A62" s="72" t="str">
        <x:v>KR-C003</x:v>
      </x:c>
      <x:c r="B62" s="62" t="str">
        <x:v>한국</x:v>
      </x:c>
      <x:c r="C62" s="62" t="str">
        <x:v>문화·과거 인연</x:v>
      </x:c>
      <x:c r="D62" s="62" t="str">
        <x:v>오징어게임</x:v>
      </x:c>
      <x:c r="E62" s="62" t="str">
        <x:v>쇼박스</x:v>
      </x:c>
      <x:c r="F62" s="70" t="str">
        <x:v>086980</x:v>
      </x:c>
      <x:c r="G62" s="62" t="str">
        <x:v>KOSDAQ</x:v>
      </x:c>
      <x:c r="H62" s="62" t="str">
        <x:v>2021-09</x:v>
      </x:c>
      <x:c r="I62" s="62" t="str">
        <x:v>넷플릭스 글로벌 1위</x:v>
      </x:c>
      <x:c r="J62" s="62" t="str">
        <x:v>전신이 제작사에 과거 투자한 이력</x:v>
      </x:c>
      <x:c r="K62" s="62" t="str">
        <x:v>매우 약함</x:v>
      </x:c>
      <x:c r="L62" s="62" t="str">
        <x:v>흥행 뉴스 뒤 급등</x:v>
      </x:c>
      <x:c r="M62" s="114" t="str"/>
      <x:c r="N62" s="62" t="str">
        <x:v>수일</x:v>
      </x:c>
      <x:c r="O62" s="62" t="str">
        <x:v>콘텐츠 흥행</x:v>
      </x:c>
      <x:c r="P62" s="62" t="str">
        <x:v>현재 작품 수익 연결 불명확</x:v>
      </x:c>
      <x:c r="Q62" s="62" t="str">
        <x:v>강한 밈</x:v>
      </x:c>
      <x:c r="R62" s="62" t="str">
        <x:v>B</x:v>
      </x:c>
      <x:c r="S62" s="62" t="str">
        <x:v>S34</x:v>
      </x:c>
      <x:c r="T62" s="62" t="str">
        <x:v>완료</x:v>
      </x:c>
      <x:c r="U62" s="62" t="str">
        <x:v>과거 인연 재소환</x:v>
      </x:c>
    </x:row>
    <x:row r="63" ht="56" customHeight="1">
      <x:c r="A63" s="72" t="str">
        <x:v>KR-X001</x:v>
      </x:c>
      <x:c r="B63" s="62" t="str">
        <x:v>한국</x:v>
      </x:c>
      <x:c r="C63" s="62" t="str">
        <x:v>문화·직접제작</x:v>
      </x:c>
      <x:c r="D63" s="62" t="str">
        <x:v>기생충</x:v>
      </x:c>
      <x:c r="E63" s="62" t="str">
        <x:v>바른손이앤에이</x:v>
      </x:c>
      <x:c r="F63" s="70" t="str">
        <x:v>035620</x:v>
      </x:c>
      <x:c r="G63" s="62" t="str">
        <x:v>KOSDAQ</x:v>
      </x:c>
      <x:c r="H63" s="62" t="str">
        <x:v>2020-02-10</x:v>
      </x:c>
      <x:c r="I63" s="62" t="str">
        <x:v>아카데미 4관왕</x:v>
      </x:c>
      <x:c r="J63" s="62" t="str">
        <x:v>영화 제작사</x:v>
      </x:c>
      <x:c r="K63" s="62" t="str">
        <x:v>있음</x:v>
      </x:c>
      <x:c r="L63" s="62" t="str">
        <x:v>수상 당일 급등</x:v>
      </x:c>
      <x:c r="M63" s="114" t="str"/>
      <x:c r="N63" s="62" t="str">
        <x:v>1일</x:v>
      </x:c>
      <x:c r="O63" s="62" t="str">
        <x:v>직접 사업 성과</x:v>
      </x:c>
      <x:c r="P63" s="62" t="str">
        <x:v>직접 제작 수익·IP 연결</x:v>
      </x:c>
      <x:c r="Q63" s="62" t="str">
        <x:v>제외-직접 사업</x:v>
      </x:c>
      <x:c r="R63" s="62" t="str">
        <x:v>A</x:v>
      </x:c>
      <x:c r="S63" s="62" t="str">
        <x:v>S35</x:v>
      </x:c>
      <x:c r="T63" s="62" t="str">
        <x:v>완료</x:v>
      </x:c>
      <x:c r="U63" s="62" t="str">
        <x:v>순수 밈이 아니라 사업 성과</x:v>
      </x:c>
    </x:row>
    <x:row r="64" ht="56" customHeight="1">
      <x:c r="A64" s="72" t="str">
        <x:v>KR-X002</x:v>
      </x:c>
      <x:c r="B64" s="62" t="str">
        <x:v>한국</x:v>
      </x:c>
      <x:c r="C64" s="62" t="str">
        <x:v>문화·지분</x:v>
      </x:c>
      <x:c r="D64" s="62" t="str">
        <x:v>기생충</x:v>
      </x:c>
      <x:c r="E64" s="62" t="str">
        <x:v>바른손</x:v>
      </x:c>
      <x:c r="F64" s="70" t="str">
        <x:v>018700</x:v>
      </x:c>
      <x:c r="G64" s="62" t="str">
        <x:v>KOSDAQ</x:v>
      </x:c>
      <x:c r="H64" s="62" t="str">
        <x:v>2020-02-10</x:v>
      </x:c>
      <x:c r="I64" s="62" t="str">
        <x:v>아카데미 4관왕</x:v>
      </x:c>
      <x:c r="J64" s="62" t="str">
        <x:v>제작사 바른손이앤에이 지분 32.4% 보유</x:v>
      </x:c>
      <x:c r="K64" s="62" t="str">
        <x:v>있음</x:v>
      </x:c>
      <x:c r="L64" s="62" t="str">
        <x:v>당일 상한가</x:v>
      </x:c>
      <x:c r="M64" s="114" t="n">
        <x:v>29.9</x:v>
      </x:c>
      <x:c r="N64" s="62" t="str">
        <x:v>1일</x:v>
      </x:c>
      <x:c r="O64" s="62" t="str">
        <x:v>직접 지분 가치</x:v>
      </x:c>
      <x:c r="P64" s="62" t="str">
        <x:v>제작사 지분 연결 명확</x:v>
      </x:c>
      <x:c r="Q64" s="62" t="str">
        <x:v>제외-직접 사업</x:v>
      </x:c>
      <x:c r="R64" s="62" t="str">
        <x:v>A</x:v>
      </x:c>
      <x:c r="S64" s="62" t="str">
        <x:v>S35</x:v>
      </x:c>
      <x:c r="T64" s="62" t="str">
        <x:v>완료</x:v>
      </x:c>
      <x:c r="U64" s="62" t="str">
        <x:v>비교용 제외 사례</x:v>
      </x:c>
    </x:row>
    <x:row r="65" ht="56" customHeight="1">
      <x:c r="A65" s="72" t="str">
        <x:v>US-M001</x:v>
      </x:c>
      <x:c r="B65" s="62" t="str">
        <x:v>미국</x:v>
      </x:c>
      <x:c r="C65" s="62" t="str">
        <x:v>SNS 집단매수</x:v>
      </x:c>
      <x:c r="D65" s="62" t="str">
        <x:v>Reddit/WallStreetBets</x:v>
      </x:c>
      <x:c r="E65" s="62" t="str">
        <x:v>GameStop</x:v>
      </x:c>
      <x:c r="F65" s="62" t="str">
        <x:v>GME</x:v>
      </x:c>
      <x:c r="G65" s="62" t="str">
        <x:v>NYSE</x:v>
      </x:c>
      <x:c r="H65" s="62" t="str">
        <x:v>2021-01</x:v>
      </x:c>
      <x:c r="I65" s="62" t="str">
        <x:v>Reddit 개인투자자 낙관론·공매도 대응</x:v>
      </x:c>
      <x:c r="J65" s="62" t="str">
        <x:v>커뮤니티의 반복 매수·보유 밈</x:v>
      </x:c>
      <x:c r="K65" s="62" t="str">
        <x:v>약한 전환 기대</x:v>
      </x:c>
      <x:c r="L65" s="62" t="str">
        <x:v>1월 8일~28일 장중 고점 약 2,700%</x:v>
      </x:c>
      <x:c r="M65" s="114" t="n">
        <x:v>2700</x:v>
      </x:c>
      <x:c r="N65" s="62" t="str">
        <x:v>2021-01-08~01-28</x:v>
      </x:c>
      <x:c r="O65" s="62" t="str">
        <x:v>Ryan Cohen 합류 기대 일부</x:v>
      </x:c>
      <x:c r="P65" s="62" t="str">
        <x:v>SEC: 소셜미디어 관심·긍정 심리가 가격상승과 함께 가속</x:v>
      </x:c>
      <x:c r="Q65" s="62" t="str">
        <x:v>강한 밈</x:v>
      </x:c>
      <x:c r="R65" s="62" t="str">
        <x:v>A</x:v>
      </x:c>
      <x:c r="S65" s="62" t="str">
        <x:v>S36;S37</x:v>
      </x:c>
      <x:c r="T65" s="62" t="str">
        <x:v>완료</x:v>
      </x:c>
      <x:c r="U65" s="62" t="str">
        <x:v>대표 글로벌 밈주식</x:v>
      </x:c>
    </x:row>
    <x:row r="66" ht="56" customHeight="1">
      <x:c r="A66" s="72" t="str">
        <x:v>US-M002</x:v>
      </x:c>
      <x:c r="B66" s="62" t="str">
        <x:v>미국</x:v>
      </x:c>
      <x:c r="C66" s="62" t="str">
        <x:v>SNS 집단매수</x:v>
      </x:c>
      <x:c r="D66" s="62" t="str">
        <x:v>Reddit/WallStreetBets</x:v>
      </x:c>
      <x:c r="E66" s="62" t="str">
        <x:v>AMC Entertainment</x:v>
      </x:c>
      <x:c r="F66" s="62" t="str">
        <x:v>AMC</x:v>
      </x:c>
      <x:c r="G66" s="62" t="str">
        <x:v>NYSE</x:v>
      </x:c>
      <x:c r="H66" s="62" t="str">
        <x:v>2021-01~06</x:v>
      </x:c>
      <x:c r="I66" s="62" t="str">
        <x:v>GameStop 파생·개인투자자 결집</x:v>
      </x:c>
      <x:c r="J66" s="62" t="str">
        <x:v>부도 우려 영화관을 살리자는 커뮤니티 서사</x:v>
      </x:c>
      <x:c r="K66" s="62" t="str">
        <x:v>약함</x:v>
      </x:c>
      <x:c r="L66" s="62" t="str">
        <x:v>2021년 짧은 기간 약 2,300%</x:v>
      </x:c>
      <x:c r="M66" s="114" t="n">
        <x:v>2300</x:v>
      </x:c>
      <x:c r="N66" s="62" t="str">
        <x:v>2021</x:v>
      </x:c>
      <x:c r="O66" s="62" t="str">
        <x:v>재무난·증자 병존</x:v>
      </x:c>
      <x:c r="P66" s="62" t="str">
        <x:v>기초가치와 괴리된 밈주식으로 분류</x:v>
      </x:c>
      <x:c r="Q66" s="62" t="str">
        <x:v>강한 밈</x:v>
      </x:c>
      <x:c r="R66" s="62" t="str">
        <x:v>A</x:v>
      </x:c>
      <x:c r="S66" s="62" t="str">
        <x:v>S37</x:v>
      </x:c>
      <x:c r="T66" s="62" t="str">
        <x:v>완료</x:v>
      </x:c>
      <x:c r="U66" s="62" t="str">
        <x:v>GME 파생 대표</x:v>
      </x:c>
    </x:row>
    <x:row r="67" ht="56" customHeight="1">
      <x:c r="A67" s="72" t="str">
        <x:v>US-M003</x:v>
      </x:c>
      <x:c r="B67" s="62" t="str">
        <x:v>미국</x:v>
      </x:c>
      <x:c r="C67" s="62" t="str">
        <x:v>SNS 집단매수</x:v>
      </x:c>
      <x:c r="D67" s="62" t="str">
        <x:v>Meme-stock basket</x:v>
      </x:c>
      <x:c r="E67" s="62" t="str">
        <x:v>Koss</x:v>
      </x:c>
      <x:c r="F67" s="62" t="str">
        <x:v>KOSS</x:v>
      </x:c>
      <x:c r="G67" s="62" t="str">
        <x:v>NASDAQ</x:v>
      </x:c>
      <x:c r="H67" s="62" t="str">
        <x:v>2021·2024</x:v>
      </x:c>
      <x:c r="I67" s="62" t="str">
        <x:v>Roaring Kitty/GME 밈 재점화</x:v>
      </x:c>
      <x:c r="J67" s="62" t="str">
        <x:v>저유동성·공매도 관심 종목으로 묶임</x:v>
      </x:c>
      <x:c r="K67" s="62" t="str">
        <x:v>없음</x:v>
      </x:c>
      <x:c r="L67" s="62" t="str">
        <x:v>2024 재점화 당일 37%</x:v>
      </x:c>
      <x:c r="M67" s="114" t="n">
        <x:v>37</x:v>
      </x:c>
      <x:c r="N67" s="62" t="str">
        <x:v>1일</x:v>
      </x:c>
      <x:c r="O67" s="62" t="str">
        <x:v>기사상 없음</x:v>
      </x:c>
      <x:c r="P67" s="62" t="str">
        <x:v>GME와 사업 연관 없음</x:v>
      </x:c>
      <x:c r="Q67" s="62" t="str">
        <x:v>강한 밈</x:v>
      </x:c>
      <x:c r="R67" s="62" t="str">
        <x:v>A</x:v>
      </x:c>
      <x:c r="S67" s="62" t="str">
        <x:v>S37</x:v>
      </x:c>
      <x:c r="T67" s="62" t="str">
        <x:v>완료</x:v>
      </x:c>
      <x:c r="U67" s="62" t="str">
        <x:v>바스켓 전염</x:v>
      </x:c>
    </x:row>
    <x:row r="68" ht="56" customHeight="1">
      <x:c r="A68" s="72" t="str">
        <x:v>US-M004</x:v>
      </x:c>
      <x:c r="B68" s="62" t="str">
        <x:v>미국</x:v>
      </x:c>
      <x:c r="C68" s="62" t="str">
        <x:v>SNS 집단매수</x:v>
      </x:c>
      <x:c r="D68" s="62" t="str">
        <x:v>Meme-stock basket</x:v>
      </x:c>
      <x:c r="E68" s="62" t="str">
        <x:v>BlackBerry</x:v>
      </x:c>
      <x:c r="F68" s="62" t="str">
        <x:v>BB</x:v>
      </x:c>
      <x:c r="G68" s="62" t="str">
        <x:v>NYSE</x:v>
      </x:c>
      <x:c r="H68" s="62" t="str">
        <x:v>2021·2024</x:v>
      </x:c>
      <x:c r="I68" s="62" t="str">
        <x:v>GME·AMC 밈 재점화</x:v>
      </x:c>
      <x:c r="J68" s="62" t="str">
        <x:v>과거 영광·저가주·공매도 서사</x:v>
      </x:c>
      <x:c r="K68" s="62" t="str">
        <x:v>약함</x:v>
      </x:c>
      <x:c r="L68" s="62" t="str">
        <x:v>2024 재점화 당일 7%</x:v>
      </x:c>
      <x:c r="M68" s="114" t="n">
        <x:v>7</x:v>
      </x:c>
      <x:c r="N68" s="62" t="str">
        <x:v>1일</x:v>
      </x:c>
      <x:c r="O68" s="62" t="str">
        <x:v>기사상 없음</x:v>
      </x:c>
      <x:c r="P68" s="62" t="str">
        <x:v>GME와 사업 연관 없음</x:v>
      </x:c>
      <x:c r="Q68" s="62" t="str">
        <x:v>강한 밈</x:v>
      </x:c>
      <x:c r="R68" s="62" t="str">
        <x:v>B</x:v>
      </x:c>
      <x:c r="S68" s="62" t="str">
        <x:v>S37</x:v>
      </x:c>
      <x:c r="T68" s="62" t="str">
        <x:v>완료</x:v>
      </x:c>
      <x:c r="U68" s="62" t="str">
        <x:v>바스켓 전염</x:v>
      </x:c>
    </x:row>
    <x:row r="69" ht="56" customHeight="1">
      <x:c r="A69" s="72" t="str">
        <x:v>US-M005</x:v>
      </x:c>
      <x:c r="B69" s="62" t="str">
        <x:v>미국</x:v>
      </x:c>
      <x:c r="C69" s="62" t="str">
        <x:v>SNS 집단매수</x:v>
      </x:c>
      <x:c r="D69" s="62" t="str">
        <x:v>Meme-stock basket</x:v>
      </x:c>
      <x:c r="E69" s="62" t="str">
        <x:v>Nokia</x:v>
      </x:c>
      <x:c r="F69" s="62" t="str">
        <x:v>NOK</x:v>
      </x:c>
      <x:c r="G69" s="62" t="str">
        <x:v>NYSE ADR</x:v>
      </x:c>
      <x:c r="H69" s="62" t="str">
        <x:v>2021-01</x:v>
      </x:c>
      <x:c r="I69" s="62" t="str">
        <x:v>WallStreetBets 종목 바스켓</x:v>
      </x:c>
      <x:c r="J69" s="62" t="str">
        <x:v>낮은 가격·공매도·향수 브랜드 서사</x:v>
      </x:c>
      <x:c r="K69" s="62" t="str">
        <x:v>약함</x:v>
      </x:c>
      <x:c r="L69" s="62" t="str">
        <x:v>극단 변동성으로 매수 제한 종목에 포함</x:v>
      </x:c>
      <x:c r="M69" s="114" t="str"/>
      <x:c r="N69" s="62" t="str">
        <x:v>2021-01</x:v>
      </x:c>
      <x:c r="O69" s="62" t="str">
        <x:v>일부 5G 기대</x:v>
      </x:c>
      <x:c r="P69" s="62" t="str">
        <x:v>GME와 사업 연관 없음</x:v>
      </x:c>
      <x:c r="Q69" s="62" t="str">
        <x:v>강한 밈</x:v>
      </x:c>
      <x:c r="R69" s="62" t="str">
        <x:v>B</x:v>
      </x:c>
      <x:c r="S69" s="62" t="str">
        <x:v>S36</x:v>
      </x:c>
      <x:c r="T69" s="62" t="str">
        <x:v>추가검증</x:v>
      </x:c>
      <x:c r="U69" s="62" t="str">
        <x:v>정확한 구간 수익률 보강 필요</x:v>
      </x:c>
    </x:row>
    <x:row r="70" ht="56" customHeight="1">
      <x:c r="A70" s="72" t="str">
        <x:v>US-M006</x:v>
      </x:c>
      <x:c r="B70" s="62" t="str">
        <x:v>미국</x:v>
      </x:c>
      <x:c r="C70" s="62" t="str">
        <x:v>SNS 집단매수</x:v>
      </x:c>
      <x:c r="D70" s="62" t="str">
        <x:v>Meme-stock basket</x:v>
      </x:c>
      <x:c r="E70" s="62" t="str">
        <x:v>Bed Bath &amp; Beyond</x:v>
      </x:c>
      <x:c r="F70" s="62" t="str">
        <x:v>BBBY</x:v>
      </x:c>
      <x:c r="G70" s="62" t="str">
        <x:v>NASDAQ</x:v>
      </x:c>
      <x:c r="H70" s="62" t="str">
        <x:v>2021-01</x:v>
      </x:c>
      <x:c r="I70" s="62" t="str">
        <x:v>WallStreetBets 종목 바스켓</x:v>
      </x:c>
      <x:c r="J70" s="62" t="str">
        <x:v>파산위험 소매주 반전·공매도 서사</x:v>
      </x:c>
      <x:c r="K70" s="62" t="str">
        <x:v>약함</x:v>
      </x:c>
      <x:c r="L70" s="62" t="str">
        <x:v>극단 변동성으로 매수 제한 종목에 포함</x:v>
      </x:c>
      <x:c r="M70" s="114" t="str"/>
      <x:c r="N70" s="62" t="str">
        <x:v>2021-01</x:v>
      </x:c>
      <x:c r="O70" s="62" t="str">
        <x:v>일부 자사주·전략 발표</x:v>
      </x:c>
      <x:c r="P70" s="62" t="str">
        <x:v>GME와 사업 연관 없음</x:v>
      </x:c>
      <x:c r="Q70" s="62" t="str">
        <x:v>혼합-테마 주도</x:v>
      </x:c>
      <x:c r="R70" s="62" t="str">
        <x:v>B</x:v>
      </x:c>
      <x:c r="S70" s="62" t="str">
        <x:v>S36</x:v>
      </x:c>
      <x:c r="T70" s="62" t="str">
        <x:v>추가검증</x:v>
      </x:c>
      <x:c r="U70" s="62" t="str">
        <x:v>동시 기업발표가 있어 순수 밈 단정 금지</x:v>
      </x:c>
    </x:row>
    <x:row r="71" ht="56" customHeight="1">
      <x:c r="A71" s="72" t="str">
        <x:v>US-M007</x:v>
      </x:c>
      <x:c r="B71" s="62" t="str">
        <x:v>미국</x:v>
      </x:c>
      <x:c r="C71" s="62" t="str">
        <x:v>SNS 집단매수</x:v>
      </x:c>
      <x:c r="D71" s="62" t="str">
        <x:v>Meme-stock basket</x:v>
      </x:c>
      <x:c r="E71" s="62" t="str">
        <x:v>Express</x:v>
      </x:c>
      <x:c r="F71" s="62" t="str">
        <x:v>EXPR</x:v>
      </x:c>
      <x:c r="G71" s="62" t="str">
        <x:v>NYSE</x:v>
      </x:c>
      <x:c r="H71" s="62" t="str">
        <x:v>2021-01</x:v>
      </x:c>
      <x:c r="I71" s="62" t="str">
        <x:v>WallStreetBets 종목 바스켓</x:v>
      </x:c>
      <x:c r="J71" s="62" t="str">
        <x:v>저가·공매도 소매주 서사</x:v>
      </x:c>
      <x:c r="K71" s="62" t="str">
        <x:v>없음</x:v>
      </x:c>
      <x:c r="L71" s="62" t="str">
        <x:v>극단 변동성으로 매수 제한 종목에 포함</x:v>
      </x:c>
      <x:c r="M71" s="114" t="str"/>
      <x:c r="N71" s="62" t="str">
        <x:v>2021-01</x:v>
      </x:c>
      <x:c r="O71" s="62" t="str">
        <x:v>기사상 없음</x:v>
      </x:c>
      <x:c r="P71" s="62" t="str">
        <x:v>GME와 사업 연관 없음</x:v>
      </x:c>
      <x:c r="Q71" s="62" t="str">
        <x:v>강한 밈</x:v>
      </x:c>
      <x:c r="R71" s="62" t="str">
        <x:v>C</x:v>
      </x:c>
      <x:c r="S71" s="62" t="str">
        <x:v>S36</x:v>
      </x:c>
      <x:c r="T71" s="62" t="str">
        <x:v>추가검증</x:v>
      </x:c>
      <x:c r="U71" s="62" t="str">
        <x:v>정확한 가격·현재 상태 보강 필요</x:v>
      </x:c>
    </x:row>
    <x:row r="72" ht="56" customHeight="1">
      <x:c r="A72" s="72" t="str">
        <x:v>US-M008</x:v>
      </x:c>
      <x:c r="B72" s="62" t="str">
        <x:v>미국</x:v>
      </x:c>
      <x:c r="C72" s="62" t="str">
        <x:v>SNS 집단매수</x:v>
      </x:c>
      <x:c r="D72" s="62" t="str">
        <x:v>Meme-stock basket</x:v>
      </x:c>
      <x:c r="E72" s="62" t="str">
        <x:v>Naked Brand Group(당시)</x:v>
      </x:c>
      <x:c r="F72" s="62" t="str">
        <x:v>NAKD</x:v>
      </x:c>
      <x:c r="G72" s="62" t="str">
        <x:v>NASDAQ</x:v>
      </x:c>
      <x:c r="H72" s="62" t="str">
        <x:v>2021-01</x:v>
      </x:c>
      <x:c r="I72" s="62" t="str">
        <x:v>WallStreetBets 종목 바스켓</x:v>
      </x:c>
      <x:c r="J72" s="62" t="str">
        <x:v>동전주·숏스퀴즈 서사</x:v>
      </x:c>
      <x:c r="K72" s="62" t="str">
        <x:v>없음</x:v>
      </x:c>
      <x:c r="L72" s="62" t="str">
        <x:v>극단 변동성으로 매수 제한 종목에 포함</x:v>
      </x:c>
      <x:c r="M72" s="114" t="str"/>
      <x:c r="N72" s="62" t="str">
        <x:v>2021-01</x:v>
      </x:c>
      <x:c r="O72" s="62" t="str">
        <x:v>기사상 없음</x:v>
      </x:c>
      <x:c r="P72" s="62" t="str">
        <x:v>GME와 사업 연관 없음</x:v>
      </x:c>
      <x:c r="Q72" s="62" t="str">
        <x:v>강한 밈</x:v>
      </x:c>
      <x:c r="R72" s="62" t="str">
        <x:v>C</x:v>
      </x:c>
      <x:c r="S72" s="62" t="str">
        <x:v>S36</x:v>
      </x:c>
      <x:c r="T72" s="62" t="str">
        <x:v>추가검증</x:v>
      </x:c>
      <x:c r="U72" s="62" t="str">
        <x:v>현재 사명·티커 변경</x:v>
      </x:c>
    </x:row>
    <x:row r="73" ht="56" customHeight="1">
      <x:c r="A73" s="72" t="str">
        <x:v>US-M009</x:v>
      </x:c>
      <x:c r="B73" s="62" t="str">
        <x:v>미국</x:v>
      </x:c>
      <x:c r="C73" s="62" t="str">
        <x:v>파산주 밈</x:v>
      </x:c>
      <x:c r="D73" s="62" t="str">
        <x:v>Robinhood 개인투자자</x:v>
      </x:c>
      <x:c r="E73" s="62" t="str">
        <x:v>Hertz Global(구주)</x:v>
      </x:c>
      <x:c r="F73" s="62" t="str">
        <x:v>HTZ</x:v>
      </x:c>
      <x:c r="G73" s="62" t="str">
        <x:v>NYSE</x:v>
      </x:c>
      <x:c r="H73" s="62" t="str">
        <x:v>2020-05~06</x:v>
      </x:c>
      <x:c r="I73" s="62" t="str">
        <x:v>파산보호 신청 뒤 개인투자자 유입</x:v>
      </x:c>
      <x:c r="J73" s="62" t="str">
        <x:v>싼 파산주 반등 베팅이 앱에서 확산</x:v>
      </x:c>
      <x:c r="K73" s="62" t="str">
        <x:v>없음</x:v>
      </x:c>
      <x:c r="L73" s="62" t="str">
        <x:v>0.40달러→6.25달러, 1,400% 이상</x:v>
      </x:c>
      <x:c r="M73" s="114" t="n">
        <x:v>1400</x:v>
      </x:c>
      <x:c r="N73" s="62" t="str">
        <x:v>2020-05-22~06-08</x:v>
      </x:c>
      <x:c r="O73" s="62" t="str">
        <x:v>파산</x:v>
      </x:c>
      <x:c r="P73" s="62" t="str">
        <x:v>회사가 구주 가치 0 가능성을 경고</x:v>
      </x:c>
      <x:c r="Q73" s="62" t="str">
        <x:v>강한 밈</x:v>
      </x:c>
      <x:c r="R73" s="62" t="str">
        <x:v>A</x:v>
      </x:c>
      <x:c r="S73" s="62" t="str">
        <x:v>S38</x:v>
      </x:c>
      <x:c r="T73" s="62" t="str">
        <x:v>완료</x:v>
      </x:c>
      <x:c r="U73" s="62" t="str">
        <x:v>펀더멘털과 정면 배치</x:v>
      </x:c>
    </x:row>
    <x:row r="74" ht="56" customHeight="1">
      <x:c r="A74" s="72" t="str">
        <x:v>US-M010</x:v>
      </x:c>
      <x:c r="B74" s="62" t="str">
        <x:v>미국</x:v>
      </x:c>
      <x:c r="C74" s="62" t="str">
        <x:v>착오 매수</x:v>
      </x:c>
      <x:c r="D74" s="62" t="str">
        <x:v>Elon Musk 트윗</x:v>
      </x:c>
      <x:c r="E74" s="62" t="str">
        <x:v>Signal Advance</x:v>
      </x:c>
      <x:c r="F74" s="62" t="str">
        <x:v>SIGL</x:v>
      </x:c>
      <x:c r="G74" s="62" t="str">
        <x:v>OTC</x:v>
      </x:c>
      <x:c r="H74" s="62" t="str">
        <x:v>2021-01-07</x:v>
      </x:c>
      <x:c r="I74" s="62" t="str">
        <x:v>Musk가 메신저 Signal 사용 권고</x:v>
      </x:c>
      <x:c r="J74" s="62" t="str">
        <x:v>동명 비상장 메신저 대신 무관 상장사 매수</x:v>
      </x:c>
      <x:c r="K74" s="62" t="str">
        <x:v>없음</x:v>
      </x:c>
      <x:c r="L74" s="62" t="str">
        <x:v>수일간 약 3,092%</x:v>
      </x:c>
      <x:c r="M74" s="114" t="n">
        <x:v>3092</x:v>
      </x:c>
      <x:c r="N74" s="62" t="str">
        <x:v>2021-01-07~12</x:v>
      </x:c>
      <x:c r="O74" s="62" t="str">
        <x:v>없음</x:v>
      </x:c>
      <x:c r="P74" s="62" t="str">
        <x:v>메신저 Signal·Musk와 무관</x:v>
      </x:c>
      <x:c r="Q74" s="62" t="str">
        <x:v>강한 밈</x:v>
      </x:c>
      <x:c r="R74" s="62" t="str">
        <x:v>A</x:v>
      </x:c>
      <x:c r="S74" s="62" t="str">
        <x:v>S41</x:v>
      </x:c>
      <x:c r="T74" s="62" t="str">
        <x:v>완료</x:v>
      </x:c>
      <x:c r="U74" s="62" t="str">
        <x:v>가장 순수한 이름 혼동</x:v>
      </x:c>
    </x:row>
    <x:row r="75" ht="56" customHeight="1">
      <x:c r="A75" s="72" t="str">
        <x:v>US-M011</x:v>
      </x:c>
      <x:c r="B75" s="62" t="str">
        <x:v>미국</x:v>
      </x:c>
      <x:c r="C75" s="62" t="str">
        <x:v>착오 매수</x:v>
      </x:c>
      <x:c r="D75" s="62" t="str">
        <x:v>Zoom 화상회의</x:v>
      </x:c>
      <x:c r="E75" s="62" t="str">
        <x:v>Zoom Technologies</x:v>
      </x:c>
      <x:c r="F75" s="62" t="str">
        <x:v>ZOOM</x:v>
      </x:c>
      <x:c r="G75" s="62" t="str">
        <x:v>OTC</x:v>
      </x:c>
      <x:c r="H75" s="62" t="str">
        <x:v>2020-02~03</x:v>
      </x:c>
      <x:c r="I75" s="62" t="str">
        <x:v>재택근무로 Zoom Video 관심 폭증</x:v>
      </x:c>
      <x:c r="J75" s="62" t="str">
        <x:v>ZM 대신 이름·티커가 비슷한 ZOOM 매수</x:v>
      </x:c>
      <x:c r="K75" s="62" t="str">
        <x:v>없음</x:v>
      </x:c>
      <x:c r="L75" s="62" t="str">
        <x:v>연초 대비 약 10배; 별도 구간 240%</x:v>
      </x:c>
      <x:c r="M75" s="114" t="str"/>
      <x:c r="N75" s="62" t="str">
        <x:v>2020 YTD</x:v>
      </x:c>
      <x:c r="O75" s="62" t="str">
        <x:v>없음</x:v>
      </x:c>
      <x:c r="P75" s="62" t="str">
        <x:v>SEC가 공시 부재·혼동 우려로 거래정지</x:v>
      </x:c>
      <x:c r="Q75" s="62" t="str">
        <x:v>강한 밈</x:v>
      </x:c>
      <x:c r="R75" s="62" t="str">
        <x:v>A</x:v>
      </x:c>
      <x:c r="S75" s="62" t="str">
        <x:v>S39;S40</x:v>
      </x:c>
      <x:c r="T75" s="62" t="str">
        <x:v>완료</x:v>
      </x:c>
      <x:c r="U75" s="62" t="str">
        <x:v>규제기관 개입</x:v>
      </x:c>
    </x:row>
    <x:row r="76" ht="56" customHeight="1">
      <x:c r="A76" s="72" t="str">
        <x:v>US-M012</x:v>
      </x:c>
      <x:c r="B76" s="62" t="str">
        <x:v>미국</x:v>
      </x:c>
      <x:c r="C76" s="62" t="str">
        <x:v>정치 밈</x:v>
      </x:c>
      <x:c r="D76" s="62" t="str">
        <x:v>Donald Trump</x:v>
      </x:c>
      <x:c r="E76" s="62" t="str">
        <x:v>Trump Media &amp; Technology</x:v>
      </x:c>
      <x:c r="F76" s="62" t="str">
        <x:v>DJT</x:v>
      </x:c>
      <x:c r="G76" s="62" t="str">
        <x:v>NASDAQ</x:v>
      </x:c>
      <x:c r="H76" s="62" t="str">
        <x:v>2024-03-26</x:v>
      </x:c>
      <x:c r="I76" s="62" t="str">
        <x:v>합병 상장·트럼프 지지층 결집</x:v>
      </x:c>
      <x:c r="J76" s="62" t="str">
        <x:v>기업가치보다 트럼프 당선·충성도 프록시</x:v>
      </x:c>
      <x:c r="K76" s="62" t="str">
        <x:v>약함</x:v>
      </x:c>
      <x:c r="L76" s="62" t="str">
        <x:v>첫날 장중 59%, 종가 16%</x:v>
      </x:c>
      <x:c r="M76" s="114" t="n">
        <x:v>59</x:v>
      </x:c>
      <x:c r="N76" s="62" t="str">
        <x:v>첫 거래일 장중</x:v>
      </x:c>
      <x:c r="O76" s="62" t="str">
        <x:v>매출 340만달러·손실 4,900만달러</x:v>
      </x:c>
      <x:c r="P76" s="62" t="str">
        <x:v>장기 수익성 경로 불명확</x:v>
      </x:c>
      <x:c r="Q76" s="62" t="str">
        <x:v>강한 밈</x:v>
      </x:c>
      <x:c r="R76" s="62" t="str">
        <x:v>A</x:v>
      </x:c>
      <x:c r="S76" s="62" t="str">
        <x:v>S42;S43</x:v>
      </x:c>
      <x:c r="T76" s="62" t="str">
        <x:v>완료</x:v>
      </x:c>
      <x:c r="U76" s="62" t="str">
        <x:v>미국 정치테마 대표</x:v>
      </x:c>
    </x:row>
    <x:row r="77" ht="56" customHeight="1">
      <x:c r="A77" s="72" t="str">
        <x:v>US-M013</x:v>
      </x:c>
      <x:c r="B77" s="62" t="str">
        <x:v>미국</x:v>
      </x:c>
      <x:c r="C77" s="62" t="str">
        <x:v>정치 밈</x:v>
      </x:c>
      <x:c r="D77" s="62" t="str">
        <x:v>Donald Trump</x:v>
      </x:c>
      <x:c r="E77" s="62" t="str">
        <x:v>Phunware</x:v>
      </x:c>
      <x:c r="F77" s="62" t="str">
        <x:v>PHUN</x:v>
      </x:c>
      <x:c r="G77" s="62" t="str">
        <x:v>NASDAQ</x:v>
      </x:c>
      <x:c r="H77" s="62" t="str">
        <x:v>2021-10-22</x:v>
      </x:c>
      <x:c r="I77" s="62" t="str">
        <x:v>Trump Media 발표 열기 전염</x:v>
      </x:c>
      <x:c r="J77" s="62" t="str">
        <x:v>과거 트럼프 2020 캠페인 앱 제작 이력 재소환</x:v>
      </x:c>
      <x:c r="K77" s="62" t="str">
        <x:v>부분 있음</x:v>
      </x:c>
      <x:c r="L77" s="62" t="str">
        <x:v>당일 종가 471%, 장중 1,471%</x:v>
      </x:c>
      <x:c r="M77" s="114" t="n">
        <x:v>471</x:v>
      </x:c>
      <x:c r="N77" s="62" t="str">
        <x:v>1일 종가</x:v>
      </x:c>
      <x:c r="O77" s="62" t="str">
        <x:v>새 Truth Social 계약 없음</x:v>
      </x:c>
      <x:c r="P77" s="62" t="str">
        <x:v>현재 Trump Media 사업과 직접 계약 확인 안 됨</x:v>
      </x:c>
      <x:c r="Q77" s="62" t="str">
        <x:v>혼합-테마 주도</x:v>
      </x:c>
      <x:c r="R77" s="62" t="str">
        <x:v>A</x:v>
      </x:c>
      <x:c r="S77" s="62" t="str">
        <x:v>S44</x:v>
      </x:c>
      <x:c r="T77" s="62" t="str">
        <x:v>완료</x:v>
      </x:c>
      <x:c r="U77" s="62" t="str">
        <x:v>과거 인연 재소환</x:v>
      </x:c>
    </x:row>
    <x:row r="78" ht="56" customHeight="1">
      <x:c r="A78" s="72" t="str">
        <x:v>US-M014</x:v>
      </x:c>
      <x:c r="B78" s="62" t="str">
        <x:v>미국</x:v>
      </x:c>
      <x:c r="C78" s="62" t="str">
        <x:v>정치 밈</x:v>
      </x:c>
      <x:c r="D78" s="62" t="str">
        <x:v>Donald Trump</x:v>
      </x:c>
      <x:c r="E78" s="62" t="str">
        <x:v>Digital World Acquisition(당시)</x:v>
      </x:c>
      <x:c r="F78" s="62" t="str">
        <x:v>DWAC</x:v>
      </x:c>
      <x:c r="G78" s="62" t="str">
        <x:v>NASDAQ</x:v>
      </x:c>
      <x:c r="H78" s="62" t="str">
        <x:v>2021-10-21~22</x:v>
      </x:c>
      <x:c r="I78" s="62" t="str">
        <x:v>Trump Media 합병 발표</x:v>
      </x:c>
      <x:c r="J78" s="62" t="str">
        <x:v>트럼프 미디어 상장 통로·지지층 베팅</x:v>
      </x:c>
      <x:c r="K78" s="62" t="str">
        <x:v>있음</x:v>
      </x:c>
      <x:c r="L78" s="62" t="str">
        <x:v>둘째 날 종가 107%; 이틀 800% 이상</x:v>
      </x:c>
      <x:c r="M78" s="114" t="n">
        <x:v>107</x:v>
      </x:c>
      <x:c r="N78" s="62" t="str">
        <x:v>2021-10-22 1일</x:v>
      </x:c>
      <x:c r="O78" s="62" t="str">
        <x:v>합병 발표 있음</x:v>
      </x:c>
      <x:c r="P78" s="62" t="str">
        <x:v>직접 거래가 있어 순수 밈은 아님</x:v>
      </x:c>
      <x:c r="Q78" s="62" t="str">
        <x:v>혼합-테마 주도</x:v>
      </x:c>
      <x:c r="R78" s="62" t="str">
        <x:v>A</x:v>
      </x:c>
      <x:c r="S78" s="62" t="str">
        <x:v>S44</x:v>
      </x:c>
      <x:c r="T78" s="62" t="str">
        <x:v>완료</x:v>
      </x:c>
      <x:c r="U78" s="62" t="str">
        <x:v>정치 밈 비교용</x:v>
      </x:c>
    </x:row>
    <x:row r="79" ht="56" customHeight="1">
      <x:c r="A79" s="72" t="str">
        <x:v>JP-M001</x:v>
      </x:c>
      <x:c r="B79" s="62" t="str">
        <x:v>일본</x:v>
      </x:c>
      <x:c r="C79" s="62" t="str">
        <x:v>SNS 추종매매</x:v>
      </x:c>
      <x:c r="D79" s="62" t="str">
        <x:v>Tonpin 트위터</x:v>
      </x:c>
      <x:c r="E79" s="62" t="str">
        <x:v>Nichidai</x:v>
      </x:c>
      <x:c r="F79" s="62" t="str">
        <x:v>6467</x:v>
      </x:c>
      <x:c r="G79" s="62" t="str">
        <x:v>JASDAQ(당시)</x:v>
      </x:c>
      <x:c r="H79" s="62" t="str">
        <x:v>2017-12~2018-03</x:v>
      </x:c>
      <x:c r="I79" s="62" t="str">
        <x:v>유명 데이트레이더의 보유·트윗</x:v>
      </x:c>
      <x:c r="J79" s="62" t="str">
        <x:v>5.5만 팔로워가 매매를 추종</x:v>
      </x:c>
      <x:c r="K79" s="62" t="str">
        <x:v>없음</x:v>
      </x:c>
      <x:c r="L79" s="62" t="str">
        <x:v>2018년 1분기 6배 이상</x:v>
      </x:c>
      <x:c r="M79" s="114" t="n">
        <x:v>500</x:v>
      </x:c>
      <x:c r="N79" s="62" t="str">
        <x:v>약 3개월</x:v>
      </x:c>
      <x:c r="O79" s="62" t="str">
        <x:v>기사상 없음</x:v>
      </x:c>
      <x:c r="P79" s="62" t="str">
        <x:v>후일 일부 주문행위 시세조종 의혹 수사</x:v>
      </x:c>
      <x:c r="Q79" s="62" t="str">
        <x:v>강한 밈</x:v>
      </x:c>
      <x:c r="R79" s="62" t="str">
        <x:v>A</x:v>
      </x:c>
      <x:c r="S79" s="62" t="str">
        <x:v>S45</x:v>
      </x:c>
      <x:c r="T79" s="62" t="str">
        <x:v>완료</x:v>
      </x:c>
      <x:c r="U79" s="62" t="str">
        <x:v>일본형 밈주식 선행 사례</x:v>
      </x:c>
    </x:row>
    <x:row r="80" ht="56" customHeight="1">
      <x:c r="A80" s="72" t="str">
        <x:v>JP-M002</x:v>
      </x:c>
      <x:c r="B80" s="62" t="str">
        <x:v>일본</x:v>
      </x:c>
      <x:c r="C80" s="62" t="str">
        <x:v>문화 유행</x:v>
      </x:c>
      <x:c r="D80" s="62" t="str">
        <x:v>Pokémon GO</x:v>
      </x:c>
      <x:c r="E80" s="62" t="str">
        <x:v>Nintendo</x:v>
      </x:c>
      <x:c r="F80" s="62" t="str">
        <x:v>7974</x:v>
      </x:c>
      <x:c r="G80" s="62" t="str">
        <x:v>TSE</x:v>
      </x:c>
      <x:c r="H80" s="62" t="str">
        <x:v>2016-07</x:v>
      </x:c>
      <x:c r="I80" s="62" t="str">
        <x:v>Pokémon GO 세계적 열풍</x:v>
      </x:c>
      <x:c r="J80" s="62" t="str">
        <x:v>IP 소유사라는 기대가 실적 기여를 과대평가</x:v>
      </x:c>
      <x:c r="K80" s="62" t="str">
        <x:v>부분 있음</x:v>
      </x:c>
      <x:c r="L80" s="62" t="str">
        <x:v>추가 9.5% 상승 후 제한적 영향 공지 뒤 약 18% 급락</x:v>
      </x:c>
      <x:c r="M80" s="114" t="n">
        <x:v>9.5</x:v>
      </x:c>
      <x:c r="N80" s="62" t="str">
        <x:v>2016-07-14 1일</x:v>
      </x:c>
      <x:c r="O80" s="62" t="str">
        <x:v>게임 흥행</x:v>
      </x:c>
      <x:c r="P80" s="62" t="str">
        <x:v>회사가 연결 실적 영향 제한적이라고 설명</x:v>
      </x:c>
      <x:c r="Q80" s="62" t="str">
        <x:v>혼합-테마 주도</x:v>
      </x:c>
      <x:c r="R80" s="62" t="str">
        <x:v>A</x:v>
      </x:c>
      <x:c r="S80" s="62" t="str">
        <x:v>S46;S47</x:v>
      </x:c>
      <x:c r="T80" s="62" t="str">
        <x:v>완료</x:v>
      </x:c>
      <x:c r="U80" s="62" t="str">
        <x:v>문화 유행과 오해 혼합</x:v>
      </x:c>
    </x:row>
    <x:row r="81">
      <x:c r="A81" t="str">
        <x:v>KR-SNS001</x:v>
      </x:c>
      <x:c r="B81" t="str">
        <x:v>한국</x:v>
      </x:c>
      <x:c r="C81" t="str">
        <x:v>SNS소비·공급망</x:v>
      </x:c>
      <x:c r="D81" t="str">
        <x:v>두바이 쫀득쿠키</x:v>
      </x:c>
      <x:c r="E81" t="str">
        <x:v>흥국에프엔비</x:v>
      </x:c>
      <x:c r="F81" t="str">
        <x:v>189980</x:v>
      </x:c>
      <x:c r="G81" t="str">
        <x:v>KOSDAQ</x:v>
      </x:c>
      <x:c r="H81" t="str">
        <x:v>2026-01-29</x:v>
      </x:c>
      <x:c r="I81" t="str">
        <x:v>SNS·카페 중심 두쫀쿠 품절과 원재료 수요 급증</x:v>
      </x:c>
      <x:c r="J81" t="str">
        <x:v>피스타치오·카다이프·마시멜로 원재료 공급사로 연결</x:v>
      </x:c>
      <x:c r="K81" t="str">
        <x:v>피스타치오 스프레드 생산 및 핵심 재료 직수입·공급 추진</x:v>
      </x:c>
      <x:c r="L81" t="str">
        <x:v>원재료 공급 확대 소식에 상한가</x:v>
      </x:c>
      <x:c r="M81" s="115" t="n">
        <x:v>29.98</x:v>
      </x:c>
      <x:c r="N81" t="str">
        <x:v>2026-01-29 1일</x:v>
      </x:c>
      <x:c r="O81" t="str">
        <x:v>원재료 매출 확대 기대가 동시 존재</x:v>
      </x:c>
      <x:c r="P81" t="str">
        <x:v>회사가 원재료 공급·수입 추진을 설명</x:v>
      </x:c>
      <x:c r="Q81" s="118" t="str">
        <x:v>바이럴-사업직결</x:v>
      </x:c>
      <x:c r="R81" s="121" t="str">
        <x:v>A</x:v>
      </x:c>
      <x:c r="S81" t="str">
        <x:v>S50,S51</x:v>
      </x:c>
      <x:c r="T81" s="122" t="str">
        <x:v>완료</x:v>
      </x:c>
      <x:c r="U81" t="str">
        <x:v>두쫀쿠 대표 사례. 유행이 실제 공급망 매출로 연결되지만 유행 수명은 짧을 수 있음</x:v>
      </x:c>
    </x:row>
    <x:row r="82">
      <x:c r="A82" t="str">
        <x:v>KR-SNS002</x:v>
      </x:c>
      <x:c r="B82" t="str">
        <x:v>한국</x:v>
      </x:c>
      <x:c r="C82" t="str">
        <x:v>SNS소비·유통</x:v>
      </x:c>
      <x:c r="D82" t="str">
        <x:v>두바이 쫀득쿠키</x:v>
      </x:c>
      <x:c r="E82" t="str">
        <x:v>BGF리테일</x:v>
      </x:c>
      <x:c r="F82" t="str">
        <x:v>282330</x:v>
      </x:c>
      <x:c r="G82" t="str">
        <x:v>KOSPI</x:v>
      </x:c>
      <x:c r="H82" t="str">
        <x:v>2026-01~02</x:v>
      </x:c>
      <x:c r="I82" t="str">
        <x:v>CU 두바이 디저트 연속 품절·가격 인상</x:v>
      </x:c>
      <x:c r="J82" t="str">
        <x:v>전국 편의점 판매 채널이 유행을 즉시 상품화</x:v>
      </x:c>
      <x:c r="K82" t="str">
        <x:v>두바이 디저트 흥행이 객단가 2.6% 상승에 기여</x:v>
      </x:c>
      <x:c r="L82" t="str">
        <x:v>증권사 목표주가 14.5만→15.5만원 상향; 단기 주가 수치 미확인</x:v>
      </x:c>
      <x:c r="M82" s="115"/>
      <x:c r="N82" t="str">
        <x:v>2026-02 리포트</x:v>
      </x:c>
      <x:c r="O82" t="str">
        <x:v>차별화 상품의 실제 판매 증가</x:v>
      </x:c>
      <x:c r="P82" t="str">
        <x:v>회사·증권사 자료에서 판매·객단가 연결 확인</x:v>
      </x:c>
      <x:c r="Q82" s="125" t="str">
        <x:v>후보-추가검증</x:v>
      </x:c>
      <x:c r="R82" s="128" t="str">
        <x:v>B</x:v>
      </x:c>
      <x:c r="S82" t="str">
        <x:v>S51</x:v>
      </x:c>
      <x:c r="T82" s="129" t="str">
        <x:v>가격검증</x:v>
      </x:c>
      <x:c r="U82" t="str">
        <x:v>실제 수혜는 확인되나 유행만의 주가 효과를 분리하기 어려움</x:v>
      </x:c>
    </x:row>
    <x:row r="83">
      <x:c r="A83" t="str">
        <x:v>KR-SNS003</x:v>
      </x:c>
      <x:c r="B83" t="str">
        <x:v>한국</x:v>
      </x:c>
      <x:c r="C83" t="str">
        <x:v>SNS소비·브랜드</x:v>
      </x:c>
      <x:c r="D83" t="str">
        <x:v>두바이 쫀득쿠키</x:v>
      </x:c>
      <x:c r="E83" t="str">
        <x:v>신세계푸드</x:v>
      </x:c>
      <x:c r="F83" t="str">
        <x:v>031440</x:v>
      </x:c>
      <x:c r="G83" t="str">
        <x:v>KOSPI</x:v>
      </x:c>
      <x:c r="H83" t="str">
        <x:v>2026-02</x:v>
      </x:c>
      <x:c r="I83" t="str">
        <x:v>노브랜드버거 두바이 디저트 오픈런·완판</x:v>
      </x:c>
      <x:c r="J83" t="str">
        <x:v>유행 제품을 자체 외식·베이커리 채널에서 판매</x:v>
      </x:c>
      <x:c r="K83" t="str">
        <x:v>두초크·두쫀쿠 제품을 직접 기획·판매</x:v>
      </x:c>
      <x:c r="L83" t="str">
        <x:v>판매 확대는 확인; 독립적 주가 상승 수치 미확인</x:v>
      </x:c>
      <x:c r="M83" s="115"/>
      <x:c r="N83" t="str">
        <x:v>2026-02</x:v>
      </x:c>
      <x:c r="O83" t="str">
        <x:v>완판에 따른 매출 기대</x:v>
      </x:c>
      <x:c r="P83" t="str">
        <x:v>회사 제품 판매는 직접 연결</x:v>
      </x:c>
      <x:c r="Q83" s="125" t="str">
        <x:v>후보-추가검증</x:v>
      </x:c>
      <x:c r="R83" s="132" t="str">
        <x:v>C</x:v>
      </x:c>
      <x:c r="S83" t="str">
        <x:v>S52</x:v>
      </x:c>
      <x:c r="T83" s="129" t="str">
        <x:v>추가검증</x:v>
      </x:c>
      <x:c r="U83" t="str">
        <x:v>주가 이벤트 윈도우와 다른 공시 동시 여부를 추가 확인</x:v>
      </x:c>
    </x:row>
    <x:row r="84">
      <x:c r="A84" t="str">
        <x:v>KR-SNS004</x:v>
      </x:c>
      <x:c r="B84" t="str">
        <x:v>한국</x:v>
      </x:c>
      <x:c r="C84" t="str">
        <x:v>SNS소비·브랜드</x:v>
      </x:c>
      <x:c r="D84" t="str">
        <x:v>불닭볶음면 챌린지</x:v>
      </x:c>
      <x:c r="E84" t="str">
        <x:v>삼양식품</x:v>
      </x:c>
      <x:c r="F84" t="str">
        <x:v>003230</x:v>
      </x:c>
      <x:c r="G84" t="str">
        <x:v>KOSPI</x:v>
      </x:c>
      <x:c r="H84" t="str">
        <x:v>2014~2025</x:v>
      </x:c>
      <x:c r="I84" t="str">
        <x:v>유튜브 Fire Noodle Challenge와 TikTok #buldak 확산</x:v>
      </x:c>
      <x:c r="J84" t="str">
        <x:v>챌린지 영상이 글로벌 브랜드 인지도·수요를 증폭</x:v>
      </x:c>
      <x:c r="K84" t="str">
        <x:v>불닭 제품의 직접 제조·수출; SNS 관심이 수출·실적으로 전환</x:v>
      </x:c>
      <x:c r="L84" t="str">
        <x:v>2024년 주가 254% 상승</x:v>
      </x:c>
      <x:c r="M84" s="115" t="n">
        <x:v>254</x:v>
      </x:c>
      <x:c r="N84" t="str">
        <x:v>2024년 연간</x:v>
      </x:c>
      <x:c r="O84" t="str">
        <x:v>수출·실적 개선이 함께 진행</x:v>
      </x:c>
      <x:c r="P84" t="str">
        <x:v>회사·증권사 모두 SNS 바이럴과 해외 수요 연결 확인</x:v>
      </x:c>
      <x:c r="Q84" s="118" t="str">
        <x:v>바이럴-사업직결</x:v>
      </x:c>
      <x:c r="R84" s="121" t="str">
        <x:v>A</x:v>
      </x:c>
      <x:c r="S84" t="str">
        <x:v>S53</x:v>
      </x:c>
      <x:c r="T84" s="122" t="str">
        <x:v>완료</x:v>
      </x:c>
      <x:c r="U84" t="str">
        <x:v>순수 밈주가 아니라 바이럴→매출→주가의 전형</x:v>
      </x:c>
    </x:row>
    <x:row r="85">
      <x:c r="A85" t="str">
        <x:v>KR-SNS005</x:v>
      </x:c>
      <x:c r="B85" t="str">
        <x:v>한국</x:v>
      </x:c>
      <x:c r="C85" t="str">
        <x:v>SNS소비·브랜드</x:v>
      </x:c>
      <x:c r="D85" t="str">
        <x:v>포켓몬빵·띠부씰</x:v>
      </x:c>
      <x:c r="E85" t="str">
        <x:v>SPC삼립</x:v>
      </x:c>
      <x:c r="F85" t="str">
        <x:v>005610</x:v>
      </x:c>
      <x:c r="G85" t="str">
        <x:v>KOSPI</x:v>
      </x:c>
      <x:c r="H85" t="str">
        <x:v>2022-02~03</x:v>
      </x:c>
      <x:c r="I85" t="str">
        <x:v>SNS 인증·오픈런·품절과 스티커 수집 열풍</x:v>
      </x:c>
      <x:c r="J85" t="str">
        <x:v>제품·IP·수집 놀이가 반복 구매를 유도</x:v>
      </x:c>
      <x:c r="K85" t="str">
        <x:v>포켓몬빵 직접 제조·판매</x:v>
      </x:c>
      <x:c r="L85" t="str">
        <x:v>2월 20% 상승 뒤 열풍이 주가를 추가로 밀어올림</x:v>
      </x:c>
      <x:c r="M85" s="115" t="n">
        <x:v>20</x:v>
      </x:c>
      <x:c r="N85" t="str">
        <x:v>2022-02 및 출시 직후</x:v>
      </x:c>
      <x:c r="O85" t="str">
        <x:v>배당 확대·IR 강화 등 동시 재료 존재</x:v>
      </x:c>
      <x:c r="P85" t="str">
        <x:v>출시 1주일 150만개 판매 확인</x:v>
      </x:c>
      <x:c r="Q85" s="118" t="str">
        <x:v>바이럴-사업직결</x:v>
      </x:c>
      <x:c r="R85" s="121" t="str">
        <x:v>A</x:v>
      </x:c>
      <x:c r="S85" t="str">
        <x:v>S54</x:v>
      </x:c>
      <x:c r="T85" s="122" t="str">
        <x:v>완료</x:v>
      </x:c>
      <x:c r="U85" t="str">
        <x:v>SNS 유행과 실제 판매가 결합된 사례</x:v>
      </x:c>
    </x:row>
    <x:row r="86">
      <x:c r="A86" t="str">
        <x:v>KR-SNS006</x:v>
      </x:c>
      <x:c r="B86" t="str">
        <x:v>한국</x:v>
      </x:c>
      <x:c r="C86" t="str">
        <x:v>SNS소비·브랜드</x:v>
      </x:c>
      <x:c r="D86" t="str">
        <x:v>크보빵·야구 스티커</x:v>
      </x:c>
      <x:c r="E86" t="str">
        <x:v>SPC삼립</x:v>
      </x:c>
      <x:c r="F86" t="str">
        <x:v>005610</x:v>
      </x:c>
      <x:c r="G86" t="str">
        <x:v>KOSPI</x:v>
      </x:c>
      <x:c r="H86" t="str">
        <x:v>2025-03-24</x:v>
      </x:c>
      <x:c r="I86" t="str">
        <x:v>프로야구 개막과 수집형 스티커 빵 흥행</x:v>
      </x:c>
      <x:c r="J86" t="str">
        <x:v>포켓몬빵 공식을 KBO 팬덤에 적용</x:v>
      </x:c>
      <x:c r="K86" t="str">
        <x:v>크보빵 직접 제조·판매</x:v>
      </x:c>
      <x:c r="L86" t="str">
        <x:v>판매 호조 보도일 8% 급등</x:v>
      </x:c>
      <x:c r="M86" s="115" t="n">
        <x:v>8</x:v>
      </x:c>
      <x:c r="N86" t="str">
        <x:v>2025-03-24 1일</x:v>
      </x:c>
      <x:c r="O86" t="str">
        <x:v>출시 초기 판매 호조가 동시 확인</x:v>
      </x:c>
      <x:c r="P86" t="str">
        <x:v>증권사도 흥행 지속성은 아직 이르다고 경고</x:v>
      </x:c>
      <x:c r="Q86" s="118" t="str">
        <x:v>바이럴-사업직결</x:v>
      </x:c>
      <x:c r="R86" s="128" t="str">
        <x:v>B</x:v>
      </x:c>
      <x:c r="S86" t="str">
        <x:v>S55</x:v>
      </x:c>
      <x:c r="T86" s="122" t="str">
        <x:v>완료</x:v>
      </x:c>
      <x:c r="U86" t="str">
        <x:v>팬덤 소비가 종목 모멘텀으로 번진 단기 사례</x:v>
      </x:c>
    </x:row>
    <x:row r="87">
      <x:c r="A87" t="str">
        <x:v>KR-SNS007</x:v>
      </x:c>
      <x:c r="B87" t="str">
        <x:v>한국</x:v>
      </x:c>
      <x:c r="C87" t="str">
        <x:v>SNS소비·브랜드</x:v>
      </x:c>
      <x:c r="D87" t="str">
        <x:v>리들샷</x:v>
      </x:c>
      <x:c r="E87" t="str">
        <x:v>브이티</x:v>
      </x:c>
      <x:c r="F87" t="str">
        <x:v>018290</x:v>
      </x:c>
      <x:c r="G87" t="str">
        <x:v>KOSDAQ</x:v>
      </x:c>
      <x:c r="H87" t="str">
        <x:v>2023</x:v>
      </x:c>
      <x:c r="I87" t="str">
        <x:v>일본 SNS·리뷰 플랫폼에서 따끔한 사용감이 화제</x:v>
      </x:c>
      <x:c r="J87" t="str">
        <x:v>바이럴 제품이 역직구·오프라인 품절로 확산</x:v>
      </x:c>
      <x:c r="K87" t="str">
        <x:v>리들샷 직접 개발·판매</x:v>
      </x:c>
      <x:c r="L87" t="str">
        <x:v>2023년 당시 연초 대비 3배 이상 상승</x:v>
      </x:c>
      <x:c r="M87" s="115" t="n">
        <x:v>200</x:v>
      </x:c>
      <x:c r="N87" t="str">
        <x:v>2023 YTD</x:v>
      </x:c>
      <x:c r="O87" t="str">
        <x:v>수요 폭증과 생산 확대 기대</x:v>
      </x:c>
      <x:c r="P87" t="str">
        <x:v>생산 물량·안전재고를 고민할 정도의 수요 확인</x:v>
      </x:c>
      <x:c r="Q87" s="118" t="str">
        <x:v>바이럴-사업직결</x:v>
      </x:c>
      <x:c r="R87" s="121" t="str">
        <x:v>A</x:v>
      </x:c>
      <x:c r="S87" t="str">
        <x:v>S56</x:v>
      </x:c>
      <x:c r="T87" s="122" t="str">
        <x:v>완료</x:v>
      </x:c>
      <x:c r="U87" t="str">
        <x:v>뷰티 분야의 두쫀쿠형 직접 수혜 사례</x:v>
      </x:c>
    </x:row>
    <x:row r="88">
      <x:c r="A88" t="str">
        <x:v>KR-SNS008</x:v>
      </x:c>
      <x:c r="B88" t="str">
        <x:v>한국</x:v>
      </x:c>
      <x:c r="C88" t="str">
        <x:v>SNS소비·공급망</x:v>
      </x:c>
      <x:c r="D88" t="str">
        <x:v>미국 냉동김밥 품절</x:v>
      </x:c>
      <x:c r="E88" t="str">
        <x:v>우양</x:v>
      </x:c>
      <x:c r="F88" t="str">
        <x:v>103840</x:v>
      </x:c>
      <x:c r="G88" t="str">
        <x:v>KOSDAQ</x:v>
      </x:c>
      <x:c r="H88" t="str">
        <x:v>2023-08~2024</x:v>
      </x:c>
      <x:c r="I88" t="str">
        <x:v>Trader Joe's 냉동김밥 TikTok 영상 1천만뷰·전국 품절</x:v>
      </x:c>
      <x:c r="J88" t="str">
        <x:v>동일 품목 생산능력을 가진 상장사를 후속 수혜주로 탐색</x:v>
      </x:c>
      <x:c r="K88" t="str">
        <x:v>우양은 냉동김밥·핫도그 HMR 생산, 다만 화제 제품 공급사는 올곧</x:v>
      </x:c>
      <x:c r="L88" t="str">
        <x:v>K푸드 SNS 열풍 수혜 보고서·주가 관심 확대; 정확 수치 미확인</x:v>
      </x:c>
      <x:c r="M88" s="115"/>
      <x:c r="N88" t="str">
        <x:v>2024-02~05</x:v>
      </x:c>
      <x:c r="O88" t="str">
        <x:v>해외 유통망 확대 기대</x:v>
      </x:c>
      <x:c r="P88" t="str">
        <x:v>화제 제품과 기업의 직접 납품 관계는 아님</x:v>
      </x:c>
      <x:c r="Q88" s="134" t="str">
        <x:v>혼합-테마 주도</x:v>
      </x:c>
      <x:c r="R88" s="128" t="str">
        <x:v>B</x:v>
      </x:c>
      <x:c r="S88" t="str">
        <x:v>S57</x:v>
      </x:c>
      <x:c r="T88" s="129" t="str">
        <x:v>추가검증</x:v>
      </x:c>
      <x:c r="U88" t="str">
        <x:v>같은 품목≠같은 공급사라는 과잉연결 위험</x:v>
      </x:c>
    </x:row>
    <x:row r="89">
      <x:c r="A89" t="str">
        <x:v>KR-SNS009</x:v>
      </x:c>
      <x:c r="B89" t="str">
        <x:v>한국</x:v>
      </x:c>
      <x:c r="C89" t="str">
        <x:v>콘텐츠·소비확산</x:v>
      </x:c>
      <x:c r="D89" t="str">
        <x:v>케이팝 데몬 헌터스·김밥</x:v>
      </x:c>
      <x:c r="E89" t="str">
        <x:v>우양</x:v>
      </x:c>
      <x:c r="F89" t="str">
        <x:v>103840</x:v>
      </x:c>
      <x:c r="G89" t="str">
        <x:v>KOSDAQ</x:v>
      </x:c>
      <x:c r="H89" t="str">
        <x:v>2025-08</x:v>
      </x:c>
      <x:c r="I89" t="str">
        <x:v>넷플릭스 흥행 후 작품 속 김밥·K푸드 관심 확산</x:v>
      </x:c>
      <x:c r="J89" t="str">
        <x:v>콘텐츠 인기에서 냉동김밥 상장사로 테마 전이</x:v>
      </x:c>
      <x:c r="K89" t="str">
        <x:v>우양은 해외 냉동김밥 사업을 확대 중이나 작품과 직접 계약 없음</x:v>
      </x:c>
      <x:c r="L89" t="str">
        <x:v>관련 기대감으로 상승 보도; 정확 상승률 미기재</x:v>
      </x:c>
      <x:c r="M89" s="115"/>
      <x:c r="N89" t="str">
        <x:v>2025-08-22</x:v>
      </x:c>
      <x:c r="O89" t="str">
        <x:v>해외 K푸드 수요 기대</x:v>
      </x:c>
      <x:c r="P89" t="str">
        <x:v>직접 IP·납품 연결 없음</x:v>
      </x:c>
      <x:c r="Q89" s="134" t="str">
        <x:v>혼합-테마 주도</x:v>
      </x:c>
      <x:c r="R89" s="128" t="str">
        <x:v>B</x:v>
      </x:c>
      <x:c r="S89" t="str">
        <x:v>S58</x:v>
      </x:c>
      <x:c r="T89" s="129" t="str">
        <x:v>추가검증</x:v>
      </x:c>
      <x:c r="U89" t="str">
        <x:v>콘텐츠→소비품목→제조사로 이어지는 2단계 연결</x:v>
      </x:c>
    </x:row>
    <x:row r="90">
      <x:c r="A90" t="str">
        <x:v>KR-SNS010</x:v>
      </x:c>
      <x:c r="B90" t="str">
        <x:v>한국</x:v>
      </x:c>
      <x:c r="C90" t="str">
        <x:v>콘텐츠·지분</x:v>
      </x:c>
      <x:c r="D90" t="str">
        <x:v>아기상어 유튜브 세계 1위</x:v>
      </x:c>
      <x:c r="E90" t="str">
        <x:v>삼성출판사</x:v>
      </x:c>
      <x:c r="F90" t="str">
        <x:v>068290</x:v>
      </x:c>
      <x:c r="G90" t="str">
        <x:v>KOSPI</x:v>
      </x:c>
      <x:c r="H90" t="str">
        <x:v>2020-11</x:v>
      </x:c>
      <x:c r="I90" t="str">
        <x:v>아기상어 영상이 유튜브 조회수 세계 1위 등극</x:v>
      </x:c>
      <x:c r="J90" t="str">
        <x:v>더핑크퐁컴퍼니 지분 보유사로 연결</x:v>
      </x:c>
      <x:c r="K90" t="str">
        <x:v>콘텐츠 제작사는 별도 회사이나 지분 가치 연결 존재</x:v>
      </x:c>
      <x:c r="L90" t="str">
        <x:v>당일 약 10% 상승</x:v>
      </x:c>
      <x:c r="M90" s="115" t="n">
        <x:v>10</x:v>
      </x:c>
      <x:c r="N90" t="str">
        <x:v>2020-11-02 1일</x:v>
      </x:c>
      <x:c r="O90" t="str">
        <x:v>콘텐츠 성과 외 별도 기술 재료 없음</x:v>
      </x:c>
      <x:c r="P90" t="str">
        <x:v>지분 관계는 실제이나 영업 직접성은 낮음</x:v>
      </x:c>
      <x:c r="Q90" s="134" t="str">
        <x:v>혼합-테마 주도</x:v>
      </x:c>
      <x:c r="R90" s="128" t="str">
        <x:v>B</x:v>
      </x:c>
      <x:c r="S90" t="str">
        <x:v>S59</x:v>
      </x:c>
      <x:c r="T90" s="122" t="str">
        <x:v>완료</x:v>
      </x:c>
      <x:c r="U90" t="str">
        <x:v>조회수 이벤트가 지분 테마로 번진 사례</x:v>
      </x:c>
    </x:row>
    <x:row r="91">
      <x:c r="A91" t="str">
        <x:v>KR-SNS011</x:v>
      </x:c>
      <x:c r="B91" t="str">
        <x:v>한국</x:v>
      </x:c>
      <x:c r="C91" t="str">
        <x:v>콘텐츠·지분</x:v>
      </x:c>
      <x:c r="D91" t="str">
        <x:v>아기상어 제작사 IPO 기대</x:v>
      </x:c>
      <x:c r="E91" t="str">
        <x:v>삼성출판사</x:v>
      </x:c>
      <x:c r="F91" t="str">
        <x:v>068290</x:v>
      </x:c>
      <x:c r="G91" t="str">
        <x:v>KOSPI</x:v>
      </x:c>
      <x:c r="H91" t="str">
        <x:v>2023-09</x:v>
      </x:c>
      <x:c r="I91" t="str">
        <x:v>더핑크퐁컴퍼니 상장 추진 보도와 베이비샤크 팬덤</x:v>
      </x:c>
      <x:c r="J91" t="str">
        <x:v>보유 지분 가치 재평가 서사</x:v>
      </x:c>
      <x:c r="K91" t="str">
        <x:v>더핑크퐁컴퍼니 지분 보유</x:v>
      </x:c>
      <x:c r="L91" t="str">
        <x:v>상장 추진 보도에 상한가</x:v>
      </x:c>
      <x:c r="M91" s="115" t="n">
        <x:v>29.99</x:v>
      </x:c>
      <x:c r="N91" t="str">
        <x:v>2023-09 1일</x:v>
      </x:c>
      <x:c r="O91" t="str">
        <x:v>IPO 기대가 직접 촉매</x:v>
      </x:c>
      <x:c r="P91" t="str">
        <x:v>상장 일정·가치 불확실</x:v>
      </x:c>
      <x:c r="Q91" s="134" t="str">
        <x:v>혼합-테마 주도</x:v>
      </x:c>
      <x:c r="R91" s="128" t="str">
        <x:v>B</x:v>
      </x:c>
      <x:c r="S91" t="str">
        <x:v>S60</x:v>
      </x:c>
      <x:c r="T91" s="122" t="str">
        <x:v>완료</x:v>
      </x:c>
      <x:c r="U91" t="str">
        <x:v>콘텐츠 인기가 지분·IPO 기대와 결합</x:v>
      </x:c>
    </x:row>
    <x:row r="92">
      <x:c r="A92" t="str">
        <x:v>KR-SNS012</x:v>
      </x:c>
      <x:c r="B92" t="str">
        <x:v>한국</x:v>
      </x:c>
      <x:c r="C92" t="str">
        <x:v>콘텐츠·제품직결</x:v>
      </x:c>
      <x:c r="D92" t="str">
        <x:v>기생충 짜파구리</x:v>
      </x:c>
      <x:c r="E92" t="str">
        <x:v>농심</x:v>
      </x:c>
      <x:c r="F92" t="str">
        <x:v>004370</x:v>
      </x:c>
      <x:c r="G92" t="str">
        <x:v>KOSPI</x:v>
      </x:c>
      <x:c r="H92" t="str">
        <x:v>2020-02</x:v>
      </x:c>
      <x:c r="I92" t="str">
        <x:v>아카데미 4관왕 후 짜파구리 조리·인증이 SNS로 확산</x:v>
      </x:c>
      <x:c r="J92" t="str">
        <x:v>영화 장면이 실제 제품 조합 소비로 연결</x:v>
      </x:c>
      <x:c r="K92" t="str">
        <x:v>짜파게티·너구리 직접 제조·판매</x:v>
      </x:c>
      <x:c r="L92" t="str">
        <x:v>농심 주가도 급등 보도; 정확 수치 미기재</x:v>
      </x:c>
      <x:c r="M92" s="115"/>
      <x:c r="N92" t="str">
        <x:v>2020-02 수상 직후</x:v>
      </x:c>
      <x:c r="O92" t="str">
        <x:v>판매량·수출 기대 동반</x:v>
      </x:c>
      <x:c r="P92" t="str">
        <x:v>수상 후 두 제품 합산 매출이 전주 대비 약 55% 증가</x:v>
      </x:c>
      <x:c r="Q92" s="118" t="str">
        <x:v>바이럴-사업직결</x:v>
      </x:c>
      <x:c r="R92" s="121" t="str">
        <x:v>A</x:v>
      </x:c>
      <x:c r="S92" t="str">
        <x:v>S61</x:v>
      </x:c>
      <x:c r="T92" s="122" t="str">
        <x:v>완료</x:v>
      </x:c>
      <x:c r="U92" t="str">
        <x:v>콘텐츠 노출이 실물 소비와 주가에 동시에 연결</x:v>
      </x:c>
    </x:row>
    <x:row r="93">
      <x:c r="A93" t="str">
        <x:v>KR-SNS013</x:v>
      </x:c>
      <x:c r="B93" t="str">
        <x:v>한국</x:v>
      </x:c>
      <x:c r="C93" t="str">
        <x:v>SNS소비·브랜드</x:v>
      </x:c>
      <x:c r="D93" t="str">
        <x:v>허니버터칩 품절</x:v>
      </x:c>
      <x:c r="E93" t="str">
        <x:v>크라운제과(당시)</x:v>
      </x:c>
      <x:c r="F93" t="str">
        <x:v>005740</x:v>
      </x:c>
      <x:c r="G93" t="str">
        <x:v>KOSPI</x:v>
      </x:c>
      <x:c r="H93" t="str">
        <x:v>2014-11</x:v>
      </x:c>
      <x:c r="I93" t="str">
        <x:v>SNS 입소문·중고거래 웃돈·전국 품절</x:v>
      </x:c>
      <x:c r="J93" t="str">
        <x:v>자회사 해태제과의 히트 제품을 모회사 가치에 반영</x:v>
      </x:c>
      <x:c r="K93" t="str">
        <x:v>자회사가 직접 제조·판매</x:v>
      </x:c>
      <x:c r="L93" t="str">
        <x:v>2014-11-21 전일 대비 9.7%, 전년 동기 대비 26.6% 상승</x:v>
      </x:c>
      <x:c r="M93" s="115" t="n">
        <x:v>9.7</x:v>
      </x:c>
      <x:c r="N93" t="str">
        <x:v>2014-11-21 1일</x:v>
      </x:c>
      <x:c r="O93" t="str">
        <x:v>판매 급증·증설 기대 동반</x:v>
      </x:c>
      <x:c r="P93" t="str">
        <x:v>출시 후 매출 103억원 등 실판매 확인</x:v>
      </x:c>
      <x:c r="Q93" s="118" t="str">
        <x:v>바이럴-사업직결</x:v>
      </x:c>
      <x:c r="R93" s="121" t="str">
        <x:v>A</x:v>
      </x:c>
      <x:c r="S93" t="str">
        <x:v>S62</x:v>
      </x:c>
      <x:c r="T93" s="122" t="str">
        <x:v>완료</x:v>
      </x:c>
      <x:c r="U93" t="str">
        <x:v>한국형 바이럴 식품주의 대표 선행 사례</x:v>
      </x:c>
    </x:row>
    <x:row r="94">
      <x:c r="A94" t="str">
        <x:v>KR-SNS014</x:v>
      </x:c>
      <x:c r="B94" t="str">
        <x:v>한국</x:v>
      </x:c>
      <x:c r="C94" t="str">
        <x:v>SNS소비·IPO</x:v>
      </x:c>
      <x:c r="D94" t="str">
        <x:v>허니버터칩 후광</x:v>
      </x:c>
      <x:c r="E94" t="str">
        <x:v>해태제과식품</x:v>
      </x:c>
      <x:c r="F94" t="str">
        <x:v>101530</x:v>
      </x:c>
      <x:c r="G94" t="str">
        <x:v>KOSPI</x:v>
      </x:c>
      <x:c r="H94" t="str">
        <x:v>2016-05</x:v>
      </x:c>
      <x:c r="I94" t="str">
        <x:v>허니버터칩 브랜드 인지도가 상장 기대를 증폭</x:v>
      </x:c>
      <x:c r="J94" t="str">
        <x:v>히트 제품 제작사 IPO에 팬덤·희소성 서사 결합</x:v>
      </x:c>
      <x:c r="K94" t="str">
        <x:v>허니버터칩 직접 제조·판매</x:v>
      </x:c>
      <x:c r="L94" t="str">
        <x:v>상장 7일 만에 공모가의 4.5배</x:v>
      </x:c>
      <x:c r="M94" s="115" t="n">
        <x:v>350</x:v>
      </x:c>
      <x:c r="N94" t="str">
        <x:v>2016-05-11~17</x:v>
      </x:c>
      <x:c r="O94" t="str">
        <x:v>IPO 수급과 실적 기대가 동시 작용</x:v>
      </x:c>
      <x:c r="P94" t="str">
        <x:v>후속 매출 둔화 시 주가 급락 위험 현실화</x:v>
      </x:c>
      <x:c r="Q94" s="118" t="str">
        <x:v>바이럴-사업직결</x:v>
      </x:c>
      <x:c r="R94" s="121" t="str">
        <x:v>A</x:v>
      </x:c>
      <x:c r="S94" t="str">
        <x:v>S63</x:v>
      </x:c>
      <x:c r="T94" s="122" t="str">
        <x:v>완료</x:v>
      </x:c>
      <x:c r="U94" t="str">
        <x:v>유행 상품의 장기 가치 과대평가 위험을 보여줌</x:v>
      </x:c>
    </x:row>
    <x:row r="95">
      <x:c r="A95" t="str">
        <x:v>KR-SNS015</x:v>
      </x:c>
      <x:c r="B95" t="str">
        <x:v>한국</x:v>
      </x:c>
      <x:c r="C95" t="str">
        <x:v>SNS소비·브랜드</x:v>
      </x:c>
      <x:c r="D95" t="str">
        <x:v>메디큐브·AGE-R</x:v>
      </x:c>
      <x:c r="E95" t="str">
        <x:v>에이피알</x:v>
      </x:c>
      <x:c r="F95" t="str">
        <x:v>278470</x:v>
      </x:c>
      <x:c r="G95" t="str">
        <x:v>KOSPI</x:v>
      </x:c>
      <x:c r="H95" t="str">
        <x:v>2025~2026</x:v>
      </x:c>
      <x:c r="I95" t="str">
        <x:v>미국 TikTok·Amazon에서 메디큐브 제품과 사용 영상 확산</x:v>
      </x:c>
      <x:c r="J95" t="str">
        <x:v>UGC·인플루언서 노출이 온라인·오프라인 판매로 전환</x:v>
      </x:c>
      <x:c r="K95" t="str">
        <x:v>화장품·홈뷰티 디바이스 직접 개발·판매</x:v>
      </x:c>
      <x:c r="L95" t="str">
        <x:v>2026년 4월 기준 연초 대비 80.04% 상승</x:v>
      </x:c>
      <x:c r="M95" s="115" t="n">
        <x:v>80.04</x:v>
      </x:c>
      <x:c r="N95" t="str">
        <x:v>2026-01~04</x:v>
      </x:c>
      <x:c r="O95" t="str">
        <x:v>수출·실적 고성장 동반</x:v>
      </x:c>
      <x:c r="P95" t="str">
        <x:v>바이럴이 일시 판매를 넘어 채널 확장으로 연결</x:v>
      </x:c>
      <x:c r="Q95" s="118" t="str">
        <x:v>바이럴-사업직결</x:v>
      </x:c>
      <x:c r="R95" s="121" t="str">
        <x:v>A</x:v>
      </x:c>
      <x:c r="S95" t="str">
        <x:v>S64</x:v>
      </x:c>
      <x:c r="T95" s="122" t="str">
        <x:v>완료</x:v>
      </x:c>
      <x:c r="U95" t="str">
        <x:v>SNS 신호가 실적에 반영된 뒤 주가가 재평가된 사례</x:v>
      </x:c>
    </x:row>
    <x:row r="96">
      <x:c r="A96" t="str">
        <x:v>KR-SNS016</x:v>
      </x:c>
      <x:c r="B96" t="str">
        <x:v>한국</x:v>
      </x:c>
      <x:c r="C96" t="str">
        <x:v>SNS소비·유통</x:v>
      </x:c>
      <x:c r="D96" t="str">
        <x:v>K뷰티 글로벌 바이럴</x:v>
      </x:c>
      <x:c r="E96" t="str">
        <x:v>실리콘투</x:v>
      </x:c>
      <x:c r="F96" t="str">
        <x:v>257720</x:v>
      </x:c>
      <x:c r="G96" t="str">
        <x:v>KOSDAQ</x:v>
      </x:c>
      <x:c r="H96" t="str">
        <x:v>2024</x:v>
      </x:c>
      <x:c r="I96" t="str">
        <x:v>TikTok·인스타에서 다수 K뷰티 브랜드가 확산</x:v>
      </x:c>
      <x:c r="J96" t="str">
        <x:v>바이럴 브랜드를 해외로 유통하는 플랫폼 수혜</x:v>
      </x:c>
      <x:c r="K96" t="str">
        <x:v>StyleKorean을 통한 다브랜드 해외 유통</x:v>
      </x:c>
      <x:c r="L96" t="str">
        <x:v>2024년 기사 기준 연초 이후 주가 5배 이상</x:v>
      </x:c>
      <x:c r="M96" s="115" t="n">
        <x:v>400</x:v>
      </x:c>
      <x:c r="N96" t="str">
        <x:v>2024 YTD</x:v>
      </x:c>
      <x:c r="O96" t="str">
        <x:v>K뷰티 수출·실적 성장 동반</x:v>
      </x:c>
      <x:c r="P96" t="str">
        <x:v>특정 제품보다 포트폴리오·유통망 수혜</x:v>
      </x:c>
      <x:c r="Q96" s="134" t="str">
        <x:v>혼합-테마 주도</x:v>
      </x:c>
      <x:c r="R96" s="121" t="str">
        <x:v>A</x:v>
      </x:c>
      <x:c r="S96" t="str">
        <x:v>S65</x:v>
      </x:c>
      <x:c r="T96" s="122" t="str">
        <x:v>완료</x:v>
      </x:c>
      <x:c r="U96" t="str">
        <x:v>개별 밈보다 여러 바이럴 브랜드를 묶는 유통 레이어</x:v>
      </x:c>
    </x:row>
    <x:row r="97">
      <x:c r="A97" t="str">
        <x:v>US-SNS001</x:v>
      </x:c>
      <x:c r="B97" t="str">
        <x:v>미국</x:v>
      </x:c>
      <x:c r="C97" t="str">
        <x:v>SNS소비·브랜드</x:v>
      </x:c>
      <x:c r="D97" t="str">
        <x:v>Crocs 재유행</x:v>
      </x:c>
      <x:c r="E97" t="str">
        <x:v>Crocs</x:v>
      </x:c>
      <x:c r="F97" t="str">
        <x:v>CROX</x:v>
      </x:c>
      <x:c r="G97" t="str">
        <x:v>NASDAQ</x:v>
      </x:c>
      <x:c r="H97" t="str">
        <x:v>2020~2021</x:v>
      </x:c>
      <x:c r="I97" t="str">
        <x:v>셀럽 협업·Instagram·TikTok에서 어글리 슈즈 재유행</x:v>
      </x:c>
      <x:c r="J97" t="str">
        <x:v>Gen Z 밈과 커스터마이징 문화가 구매로 전환</x:v>
      </x:c>
      <x:c r="K97" t="str">
        <x:v>Crocs 직접 제조·판매</x:v>
      </x:c>
      <x:c r="L97" t="str">
        <x:v>1년 사이 주가 약 300% 상승</x:v>
      </x:c>
      <x:c r="M97" s="115" t="n">
        <x:v>300</x:v>
      </x:c>
      <x:c r="N97" t="str">
        <x:v>2020~2021</x:v>
      </x:c>
      <x:c r="O97" t="str">
        <x:v>팬데믹 편의성·실적 증가 동반</x:v>
      </x:c>
      <x:c r="P97" t="str">
        <x:v>매출·이익 급증 확인</x:v>
      </x:c>
      <x:c r="Q97" s="118" t="str">
        <x:v>바이럴-사업직결</x:v>
      </x:c>
      <x:c r="R97" s="121" t="str">
        <x:v>A</x:v>
      </x:c>
      <x:c r="S97" t="str">
        <x:v>S66</x:v>
      </x:c>
      <x:c r="T97" s="122" t="str">
        <x:v>완료</x:v>
      </x:c>
      <x:c r="U97" t="str">
        <x:v>유행 복귀가 실제 브랜드 턴어라운드로 이어진 사례</x:v>
      </x:c>
    </x:row>
    <x:row r="98">
      <x:c r="A98" t="str">
        <x:v>US-SNS002</x:v>
      </x:c>
      <x:c r="B98" t="str">
        <x:v>미국</x:v>
      </x:c>
      <x:c r="C98" t="str">
        <x:v>SNS소비·브랜드</x:v>
      </x:c>
      <x:c r="D98" t="str">
        <x:v>Abercrombie TikTok 컴백</x:v>
      </x:c>
      <x:c r="E98" t="str">
        <x:v>Abercrombie &amp; Fitch</x:v>
      </x:c>
      <x:c r="F98" t="str">
        <x:v>ANF</x:v>
      </x:c>
      <x:c r="G98" t="str">
        <x:v>NYSE</x:v>
      </x:c>
      <x:c r="H98" t="str">
        <x:v>2023~2024</x:v>
      </x:c>
      <x:c r="I98" t="str">
        <x:v>#abercrombiehaul·인플루언서 착장 영상 확산</x:v>
      </x:c>
      <x:c r="J98" t="str">
        <x:v>브랜드 리포지셔닝이 SNS에서 재평가</x:v>
      </x:c>
      <x:c r="K98" t="str">
        <x:v>의류 직접 기획·판매</x:v>
      </x:c>
      <x:c r="L98" t="str">
        <x:v>기사 기준 전년 대비 주가 285% 상승</x:v>
      </x:c>
      <x:c r="M98" s="115" t="n">
        <x:v>285</x:v>
      </x:c>
      <x:c r="N98" t="str">
        <x:v>1년</x:v>
      </x:c>
      <x:c r="O98" t="str">
        <x:v>매출·마진 회복 동반</x:v>
      </x:c>
      <x:c r="P98" t="str">
        <x:v>바이럴과 상품·브랜드 개선이 함께 작동</x:v>
      </x:c>
      <x:c r="Q98" s="118" t="str">
        <x:v>바이럴-사업직결</x:v>
      </x:c>
      <x:c r="R98" s="128" t="str">
        <x:v>B</x:v>
      </x:c>
      <x:c r="S98" t="str">
        <x:v>S67</x:v>
      </x:c>
      <x:c r="T98" s="122" t="str">
        <x:v>완료</x:v>
      </x:c>
      <x:c r="U98" t="str">
        <x:v>패션 바이럴은 제품 개선과 구분해 봐야 함</x:v>
      </x:c>
    </x:row>
    <x:row r="99">
      <x:c r="A99" t="str">
        <x:v>US-SNS003</x:v>
      </x:c>
      <x:c r="B99" t="str">
        <x:v>미국</x:v>
      </x:c>
      <x:c r="C99" t="str">
        <x:v>SNS소비·브랜드</x:v>
      </x:c>
      <x:c r="D99" t="str">
        <x:v>e.l.f. 듀프·BeautyTok</x:v>
      </x:c>
      <x:c r="E99" t="str">
        <x:v>e.l.f. Beauty</x:v>
      </x:c>
      <x:c r="F99" t="str">
        <x:v>ELF</x:v>
      </x:c>
      <x:c r="G99" t="str">
        <x:v>NYSE</x:v>
      </x:c>
      <x:c r="H99" t="str">
        <x:v>2022~2024</x:v>
      </x:c>
      <x:c r="I99" t="str">
        <x:v>TikTok에서 저가 듀프·Halo Glow·Power Grip 영상 확산</x:v>
      </x:c>
      <x:c r="J99" t="str">
        <x:v>Gen Z 바이럴과 저가 포지셔닝이 점유율로 전환</x:v>
      </x:c>
      <x:c r="K99" t="str">
        <x:v>화장품 직접 개발·판매</x:v>
      </x:c>
      <x:c r="L99" t="str">
        <x:v>2022년 중반~2024년 고점 약 900% 상승</x:v>
      </x:c>
      <x:c r="M99" s="115" t="n">
        <x:v>900</x:v>
      </x:c>
      <x:c r="N99" t="str">
        <x:v>2022-06~2024-07</x:v>
      </x:c>
      <x:c r="O99" t="str">
        <x:v>연속 매출 성장·가이던스 상향 동반</x:v>
      </x:c>
      <x:c r="P99" t="str">
        <x:v>회사도 TikTok을 핵심 마케팅 채널로 운영</x:v>
      </x:c>
      <x:c r="Q99" s="118" t="str">
        <x:v>바이럴-사업직결</x:v>
      </x:c>
      <x:c r="R99" s="121" t="str">
        <x:v>A</x:v>
      </x:c>
      <x:c r="S99" t="str">
        <x:v>S68</x:v>
      </x:c>
      <x:c r="T99" s="122" t="str">
        <x:v>완료</x:v>
      </x:c>
      <x:c r="U99" t="str">
        <x:v>주가 상승은 바이럴뿐 아니라 실적의 누적 반영</x:v>
      </x:c>
    </x:row>
    <x:row r="100">
      <x:c r="A100" t="str">
        <x:v>US-SNS004</x:v>
      </x:c>
      <x:c r="B100" t="str">
        <x:v>미국</x:v>
      </x:c>
      <x:c r="C100" t="str">
        <x:v>콘텐츠·IP직결</x:v>
      </x:c>
      <x:c r="D100" t="str">
        <x:v>Barbiecore·Barbenheimer</x:v>
      </x:c>
      <x:c r="E100" t="str">
        <x:v>Mattel</x:v>
      </x:c>
      <x:c r="F100" t="str">
        <x:v>MAT</x:v>
      </x:c>
      <x:c r="G100" t="str">
        <x:v>NASDAQ</x:v>
      </x:c>
      <x:c r="H100" t="str">
        <x:v>2023-04~07</x:v>
      </x:c>
      <x:c r="I100" t="str">
        <x:v>밈·셀피 생성기·핑크 패션·Barbenheimer가 SNS를 장악</x:v>
      </x:c>
      <x:c r="J100" t="str">
        <x:v>영화 화제성이 완구·라이선스 IP 가치로 전이</x:v>
      </x:c>
      <x:c r="K100" t="str">
        <x:v>Barbie IP 보유·영화 제작 파트너</x:v>
      </x:c>
      <x:c r="L100" t="str">
        <x:v>영화 개봉 전후 기대 구간에서 33% 상승</x:v>
      </x:c>
      <x:c r="M100" s="115" t="n">
        <x:v>33</x:v>
      </x:c>
      <x:c r="N100" t="str">
        <x:v>2023년 개봉 전 구간</x:v>
      </x:c>
      <x:c r="O100" t="str">
        <x:v>박스오피스·라이선스 수익 기대 동반</x:v>
      </x:c>
      <x:c r="P100" t="str">
        <x:v>실제 IP·영화 수익 연결 존재</x:v>
      </x:c>
      <x:c r="Q100" s="118" t="str">
        <x:v>바이럴-사업직결</x:v>
      </x:c>
      <x:c r="R100" s="121" t="str">
        <x:v>A</x:v>
      </x:c>
      <x:c r="S100" t="str">
        <x:v>S69</x:v>
      </x:c>
      <x:c r="T100" s="122" t="str">
        <x:v>완료</x:v>
      </x:c>
      <x:c r="U100" t="str">
        <x:v>밈이 직접 IP 소유 기업으로 연결된 사례</x:v>
      </x:c>
    </x:row>
    <x:row r="101">
      <x:c r="A101" t="str">
        <x:v>US-SNS005</x:v>
      </x:c>
      <x:c r="B101" t="str">
        <x:v>미국</x:v>
      </x:c>
      <x:c r="C101" t="str">
        <x:v>SNS광고·정치화</x:v>
      </x:c>
      <x:c r="D101" t="str">
        <x:v>Sydney Sweeney 청바지 광고</x:v>
      </x:c>
      <x:c r="E101" t="str">
        <x:v>American Eagle Outfitters</x:v>
      </x:c>
      <x:c r="F101" t="str">
        <x:v>AEO</x:v>
      </x:c>
      <x:c r="G101" t="str">
        <x:v>NYSE</x:v>
      </x:c>
      <x:c r="H101" t="str">
        <x:v>2025-07~08</x:v>
      </x:c>
      <x:c r="I101" t="str">
        <x:v>광고 문구가 온라인 논쟁·밈·정치 진영 확산으로 폭발</x:v>
      </x:c>
      <x:c r="J101" t="str">
        <x:v>논란 자체가 브랜드 검색과 투자 서사를 증폭</x:v>
      </x:c>
      <x:c r="K101" t="str">
        <x:v>광고 제품 직접 판매사이나 화제의 매출 효과는 당시 미확정</x:v>
      </x:c>
      <x:c r="L101" t="str">
        <x:v>논란 확산 며칠 사이 약 20% 상승</x:v>
      </x:c>
      <x:c r="M101" s="115" t="n">
        <x:v>20</x:v>
      </x:c>
      <x:c r="N101" t="str">
        <x:v>2025-07 말~08 초</x:v>
      </x:c>
      <x:c r="O101" t="str">
        <x:v>정치권 발언·광고 관심 동시 작용</x:v>
      </x:c>
      <x:c r="P101" t="str">
        <x:v>장기 판매 효과는 별도 검증 필요</x:v>
      </x:c>
      <x:c r="Q101" s="134" t="str">
        <x:v>혼합-테마 주도</x:v>
      </x:c>
      <x:c r="R101" s="128" t="str">
        <x:v>B</x:v>
      </x:c>
      <x:c r="S101" t="str">
        <x:v>S70</x:v>
      </x:c>
      <x:c r="T101" s="122" t="str">
        <x:v>완료</x:v>
      </x:c>
      <x:c r="U101" t="str">
        <x:v>소비 브랜드 화제가 정치 밈으로 변형된 사례</x:v>
      </x:c>
    </x:row>
    <x:row r="102">
      <x:c r="A102" t="str">
        <x:v>US-SNS006</x:v>
      </x:c>
      <x:c r="B102" t="str">
        <x:v>미국</x:v>
      </x:c>
      <x:c r="C102" t="str">
        <x:v>SNS집단매수</x:v>
      </x:c>
      <x:c r="D102" t="str">
        <x:v>Wendy's 치킨텐디 밈</x:v>
      </x:c>
      <x:c r="E102" t="str">
        <x:v>Wendy's</x:v>
      </x:c>
      <x:c r="F102" t="str">
        <x:v>WEN</x:v>
      </x:c>
      <x:c r="G102" t="str">
        <x:v>NASDAQ</x:v>
      </x:c>
      <x:c r="H102" t="str">
        <x:v>2021-06-08</x:v>
      </x:c>
      <x:c r="I102" t="str">
        <x:v>Reddit에서 '완벽한 주식' 게시물과 tendies 말장난 확산</x:v>
      </x:c>
      <x:c r="J102" t="str">
        <x:v>브랜드명이 커뮤니티 은어와 결합해 매수 대상으로 변함</x:v>
      </x:c>
      <x:c r="K102" t="str">
        <x:v>새로운 사업·실적 촉매 없음</x:v>
      </x:c>
      <x:c r="L102" t="str">
        <x:v>장중 사상 최고가·약 25.8% 급등</x:v>
      </x:c>
      <x:c r="M102" s="115" t="n">
        <x:v>25.8</x:v>
      </x:c>
      <x:c r="N102" t="str">
        <x:v>2021-06-08 1일</x:v>
      </x:c>
      <x:c r="O102" t="str">
        <x:v>분기 전망 개선 보도도 일부 존재</x:v>
      </x:c>
      <x:c r="P102" t="str">
        <x:v>밈 매수 비중이 컸으나 순수 인과는 단정 어려움</x:v>
      </x:c>
      <x:c r="Q102" s="137" t="str">
        <x:v>강한 밈</x:v>
      </x:c>
      <x:c r="R102" s="121" t="str">
        <x:v>A</x:v>
      </x:c>
      <x:c r="S102" t="str">
        <x:v>S71</x:v>
      </x:c>
      <x:c r="T102" s="122" t="str">
        <x:v>완료</x:v>
      </x:c>
      <x:c r="U102" t="str">
        <x:v>소비 브랜드와 주식 밈이 직접 결합</x:v>
      </x:c>
    </x:row>
    <x:row r="103">
      <x:c r="A103" t="str">
        <x:v>US-SNS007</x:v>
      </x:c>
      <x:c r="B103" t="str">
        <x:v>미국</x:v>
      </x:c>
      <x:c r="C103" t="str">
        <x:v>SNS집단매수</x:v>
      </x:c>
      <x:c r="D103" t="str">
        <x:v>Save Wendy's</x:v>
      </x:c>
      <x:c r="E103" t="str">
        <x:v>Wendy's</x:v>
      </x:c>
      <x:c r="F103" t="str">
        <x:v>WEN</x:v>
      </x:c>
      <x:c r="G103" t="str">
        <x:v>NASDAQ</x:v>
      </x:c>
      <x:c r="H103" t="str">
        <x:v>2026-06-24</x:v>
      </x:c>
      <x:c r="I103" t="str">
        <x:v>WallStreetBets의 'Wendy's를 구하자' 게시물 확산</x:v>
      </x:c>
      <x:c r="J103" t="str">
        <x:v>낙폭과 숏 포지션을 밈 서사로 재해석</x:v>
      </x:c>
      <x:c r="K103" t="str">
        <x:v>신규 사업 연결 없음</x:v>
      </x:c>
      <x:c r="L103" t="str">
        <x:v>개장 직후 약 37%, 장중 40% 이상 급등</x:v>
      </x:c>
      <x:c r="M103" s="115" t="n">
        <x:v>37</x:v>
      </x:c>
      <x:c r="N103" t="str">
        <x:v>2026-06-24 1일</x:v>
      </x:c>
      <x:c r="O103" t="str">
        <x:v>CFO·전략책임자 영입도 동시 재료</x:v>
      </x:c>
      <x:c r="P103" t="str">
        <x:v>밈과 경영진 뉴스가 혼재</x:v>
      </x:c>
      <x:c r="Q103" s="137" t="str">
        <x:v>강한 밈</x:v>
      </x:c>
      <x:c r="R103" s="121" t="str">
        <x:v>A</x:v>
      </x:c>
      <x:c r="S103" t="str">
        <x:v>S72</x:v>
      </x:c>
      <x:c r="T103" s="122" t="str">
        <x:v>완료</x:v>
      </x:c>
      <x:c r="U103" t="str">
        <x:v>같은 브랜드가 5년 뒤 다시 밈주가 된 반복 사례</x:v>
      </x:c>
    </x:row>
    <x:row r="104">
      <x:c r="A104" t="str">
        <x:v>GL-SNS001</x:v>
      </x:c>
      <x:c r="B104" t="str">
        <x:v>중국/홍콩</x:v>
      </x:c>
      <x:c r="C104" t="str">
        <x:v>SNS소비·IP직결</x:v>
      </x:c>
      <x:c r="D104" t="str">
        <x:v>Labubu 언박싱·가방 장식</x:v>
      </x:c>
      <x:c r="E104" t="str">
        <x:v>Pop Mart</x:v>
      </x:c>
      <x:c r="F104" t="str">
        <x:v>9992</x:v>
      </x:c>
      <x:c r="G104" t="str">
        <x:v>HKEX</x:v>
      </x:c>
      <x:c r="H104" t="str">
        <x:v>2024~2025</x:v>
      </x:c>
      <x:c r="I104" t="str">
        <x:v>TikTok 언박싱·셀럽 가방 노출·품절 줄서기 확산</x:v>
      </x:c>
      <x:c r="J104" t="str">
        <x:v>희소성·랜덤박스·UGC가 글로벌 수요를 증폭</x:v>
      </x:c>
      <x:c r="K104" t="str">
        <x:v>Labubu IP 상품 직접 기획·판매</x:v>
      </x:c>
      <x:c r="L104" t="str">
        <x:v>2025년 연중 200% 이상 상승 보도</x:v>
      </x:c>
      <x:c r="M104" s="115" t="n">
        <x:v>200</x:v>
      </x:c>
      <x:c r="N104" t="str">
        <x:v>2025 YTD</x:v>
      </x:c>
      <x:c r="O104" t="str">
        <x:v>이익 약 400% 증가 동반</x:v>
      </x:c>
      <x:c r="P104" t="str">
        <x:v>매출의 높은 Labubu 의존도는 집중 위험</x:v>
      </x:c>
      <x:c r="Q104" s="118" t="str">
        <x:v>바이럴-사업직결</x:v>
      </x:c>
      <x:c r="R104" s="121" t="str">
        <x:v>A</x:v>
      </x:c>
      <x:c r="S104" t="str">
        <x:v>S73</x:v>
      </x:c>
      <x:c r="T104" s="122" t="str">
        <x:v>완료</x:v>
      </x:c>
      <x:c r="U104" t="str">
        <x:v>국가 범위 밖 글로벌 비교군; 두쫀쿠와 가장 유사한 희소성 확산 구조</x:v>
      </x:c>
    </x:row>
    <x:row r="105">
      <x:c r="A105" t="str">
        <x:v>JP-SNS001</x:v>
      </x:c>
      <x:c r="B105" t="str">
        <x:v>일본</x:v>
      </x:c>
      <x:c r="C105" t="str">
        <x:v>SNS소비·게임</x:v>
      </x:c>
      <x:c r="D105" t="str">
        <x:v>Animal Crossing</x:v>
      </x:c>
      <x:c r="E105" t="str">
        <x:v>Nintendo</x:v>
      </x:c>
      <x:c r="F105" t="str">
        <x:v>7974</x:v>
      </x:c>
      <x:c r="G105" t="str">
        <x:v>TSE</x:v>
      </x:c>
      <x:c r="H105" t="str">
        <x:v>2020-03~04</x:v>
      </x:c>
      <x:c r="I105" t="str">
        <x:v>격리 기간 섬 꾸미기 화면이 전 세계 SNS에 확산</x:v>
      </x:c>
      <x:c r="J105" t="str">
        <x:v>공유 가능한 게임 경험이 비게이머까지 확장</x:v>
      </x:c>
      <x:c r="K105" t="str">
        <x:v>게임·콘솔 직접 개발·판매</x:v>
      </x:c>
      <x:c r="L105" t="str">
        <x:v>2020-04 주가 52주 신고가</x:v>
      </x:c>
      <x:c r="M105" s="115"/>
      <x:c r="N105" t="str">
        <x:v>2020-04-21</x:v>
      </x:c>
      <x:c r="O105" t="str">
        <x:v>Switch 품귀·팬데믹 게임 수요 동반</x:v>
      </x:c>
      <x:c r="P105" t="str">
        <x:v>게임 6주 1,341만장 판매</x:v>
      </x:c>
      <x:c r="Q105" s="118" t="str">
        <x:v>바이럴-사업직결</x:v>
      </x:c>
      <x:c r="R105" s="121" t="str">
        <x:v>A</x:v>
      </x:c>
      <x:c r="S105" t="str">
        <x:v>S74</x:v>
      </x:c>
      <x:c r="T105" s="122" t="str">
        <x:v>완료</x:v>
      </x:c>
      <x:c r="U105" t="str">
        <x:v>SNS 바이럴과 구조적 집콕 수요가 혼재</x:v>
      </x:c>
    </x:row>
    <x:row r="106">
      <x:c r="A106" t="str">
        <x:v>JP-SNS002</x:v>
      </x:c>
      <x:c r="B106" t="str">
        <x:v>일본</x:v>
      </x:c>
      <x:c r="C106" t="str">
        <x:v>콘텐츠·IP직결</x:v>
      </x:c>
      <x:c r="D106" t="str">
        <x:v>귀멸의 칼날 무한열차</x:v>
      </x:c>
      <x:c r="E106" t="str">
        <x:v>Sony Group</x:v>
      </x:c>
      <x:c r="F106" t="str">
        <x:v>6758</x:v>
      </x:c>
      <x:c r="G106" t="str">
        <x:v>TSE</x:v>
      </x:c>
      <x:c r="H106" t="str">
        <x:v>2020-10~12</x:v>
      </x:c>
      <x:c r="I106" t="str">
        <x:v>팬덤·밈·후기 확산으로 일본 역대 박스오피스 기록</x:v>
      </x:c>
      <x:c r="J106" t="str">
        <x:v>Aniplex 배급·음악 IP를 가진 Sony로 수혜 연결</x:v>
      </x:c>
      <x:c r="K106" t="str">
        <x:v>Sony 음악 자회사가 공동 배급</x:v>
      </x:c>
      <x:c r="L106" t="str">
        <x:v>영화 흥행이 실적 전망과 주가에 긍정적 자극; 정확 수치 미기재</x:v>
      </x:c>
      <x:c r="M106" s="115"/>
      <x:c r="N106" t="str">
        <x:v>2020-10~12</x:v>
      </x:c>
      <x:c r="O106" t="str">
        <x:v>게임 호조·실적 상향 동반</x:v>
      </x:c>
      <x:c r="P106" t="str">
        <x:v>직접 배급·IP 수익 연결</x:v>
      </x:c>
      <x:c r="Q106" s="118" t="str">
        <x:v>바이럴-사업직결</x:v>
      </x:c>
      <x:c r="R106" s="128" t="str">
        <x:v>B</x:v>
      </x:c>
      <x:c r="S106" t="str">
        <x:v>S75</x:v>
      </x:c>
      <x:c r="T106" s="122" t="str">
        <x:v>완료</x:v>
      </x:c>
      <x:c r="U106" t="str">
        <x:v>대형 복합기업이라 단일 IP 주가 기여도는 제한</x:v>
      </x:c>
    </x:row>
    <x:row r="107">
      <x:c r="A107" t="str">
        <x:v>JP-SNS003</x:v>
      </x:c>
      <x:c r="B107" t="str">
        <x:v>일본</x:v>
      </x:c>
      <x:c r="C107" t="str">
        <x:v>SNS소비·IP직결</x:v>
      </x:c>
      <x:c r="D107" t="str">
        <x:v>Hello Kitty·Sanrio 캐릭터 리바이벌</x:v>
      </x:c>
      <x:c r="E107" t="str">
        <x:v>Sanrio</x:v>
      </x:c>
      <x:c r="F107" t="str">
        <x:v>8136</x:v>
      </x:c>
      <x:c r="G107" t="str">
        <x:v>TSE</x:v>
      </x:c>
      <x:c r="H107" t="str">
        <x:v>2024</x:v>
      </x:c>
      <x:c r="I107" t="str">
        <x:v>TikTok·Instagram 팬덤과 캐릭터 다변화·협업 확산</x:v>
      </x:c>
      <x:c r="J107" t="str">
        <x:v>캐릭터 UGC가 굿즈·라이선스 수요로 전환</x:v>
      </x:c>
      <x:c r="K107" t="str">
        <x:v>캐릭터 IP·굿즈·라이선스 직접 사업</x:v>
      </x:c>
      <x:c r="L107" t="str">
        <x:v>2024년 주가 150% 이상 상승</x:v>
      </x:c>
      <x:c r="M107" s="115" t="n">
        <x:v>150</x:v>
      </x:c>
      <x:c r="N107" t="str">
        <x:v>2024년</x:v>
      </x:c>
      <x:c r="O107" t="str">
        <x:v>실적·라이선스 성장 동반</x:v>
      </x:c>
      <x:c r="P107" t="str">
        <x:v>Hello Kitty 외 캐릭터 포트폴리오 기여</x:v>
      </x:c>
      <x:c r="Q107" s="118" t="str">
        <x:v>바이럴-사업직결</x:v>
      </x:c>
      <x:c r="R107" s="121" t="str">
        <x:v>A</x:v>
      </x:c>
      <x:c r="S107" t="str">
        <x:v>S76</x:v>
      </x:c>
      <x:c r="T107" s="122" t="str">
        <x:v>완료</x:v>
      </x:c>
      <x:c r="U107" t="str">
        <x:v>단일 밈이 아닌 지속 가능한 팬덤형 바이럴</x:v>
      </x:c>
    </x:row>
    <x:row r="108">
      <x:c r="A108" t="str">
        <x:v>JP-SNS004</x:v>
      </x:c>
      <x:c r="B108" t="str">
        <x:v>일본</x:v>
      </x:c>
      <x:c r="C108" t="str">
        <x:v>SNS소비·게임</x:v>
      </x:c>
      <x:c r="D108" t="str">
        <x:v>우마무스메 Pretty Derby</x:v>
      </x:c>
      <x:c r="E108" t="str">
        <x:v>CyberAgent</x:v>
      </x:c>
      <x:c r="F108" t="str">
        <x:v>4751</x:v>
      </x:c>
      <x:c r="G108" t="str">
        <x:v>TSE</x:v>
      </x:c>
      <x:c r="H108" t="str">
        <x:v>2021</x:v>
      </x:c>
      <x:c r="I108" t="str">
        <x:v>말을 의인화한 캐릭터·게임·애니가 온라인 팬덤을 형성</x:v>
      </x:c>
      <x:c r="J108" t="str">
        <x:v>Cygames 흥행을 모회사 게임 실적으로 연결</x:v>
      </x:c>
      <x:c r="K108" t="str">
        <x:v>자회사 Cygames가 직접 개발·운영</x:v>
      </x:c>
      <x:c r="L108" t="str">
        <x:v>흥행 후 시가총액 1조엔 돌파 보도; 정확 이벤트 수익률 미확인</x:v>
      </x:c>
      <x:c r="M108" s="115"/>
      <x:c r="N108" t="str">
        <x:v>2021-02~05</x:v>
      </x:c>
      <x:c r="O108" t="str">
        <x:v>게임 매출·이익 급증 동반</x:v>
      </x:c>
      <x:c r="P108" t="str">
        <x:v>직접 자회사 연결</x:v>
      </x:c>
      <x:c r="Q108" s="118" t="str">
        <x:v>바이럴-사업직결</x:v>
      </x:c>
      <x:c r="R108" s="128" t="str">
        <x:v>B</x:v>
      </x:c>
      <x:c r="S108" t="str">
        <x:v>S77</x:v>
      </x:c>
      <x:c r="T108" s="122" t="str">
        <x:v>완료</x:v>
      </x:c>
      <x:c r="U108" t="str">
        <x:v>콘텐츠 팬덤과 가챠 매출이 결합된 일본형 사례</x:v>
      </x:c>
    </x:row>
    <x:row r="109">
      <x:c r="A109" t="str">
        <x:v>US-SNS008</x:v>
      </x:c>
      <x:c r="B109" t="str">
        <x:v>미국</x:v>
      </x:c>
      <x:c r="C109" t="str">
        <x:v>SNS커머스·브랜드</x:v>
      </x:c>
      <x:c r="D109" t="str">
        <x:v>e.l.f. Hair TikTok Shop 출시</x:v>
      </x:c>
      <x:c r="E109" t="str">
        <x:v>e.l.f. Beauty</x:v>
      </x:c>
      <x:c r="F109" t="str">
        <x:v>ELF</x:v>
      </x:c>
      <x:c r="G109" t="str">
        <x:v>NYSE</x:v>
      </x:c>
      <x:c r="H109" t="str">
        <x:v>2026-06-16</x:v>
      </x:c>
      <x:c r="I109" t="str">
        <x:v>헤어케어 신제품을 TikTok Shop에서 먼저 공개</x:v>
      </x:c>
      <x:c r="J109" t="str">
        <x:v>플랫폼 독점 공개가 검색·매수 관심을 자극</x:v>
      </x:c>
      <x:c r="K109" t="str">
        <x:v>헤어케어 제품 직접 출시</x:v>
      </x:c>
      <x:c r="L109" t="str">
        <x:v>출시 당일 오전 7% 상승</x:v>
      </x:c>
      <x:c r="M109" s="115" t="n">
        <x:v>7</x:v>
      </x:c>
      <x:c r="N109" t="str">
        <x:v>2026-06-16 1일</x:v>
      </x:c>
      <x:c r="O109" t="str">
        <x:v>신규 카테고리 확장 기대 동반</x:v>
      </x:c>
      <x:c r="P109" t="str">
        <x:v>제품 출시와 주가 반응 직접 연결</x:v>
      </x:c>
      <x:c r="Q109" s="118" t="str">
        <x:v>바이럴-사업직결</x:v>
      </x:c>
      <x:c r="R109" s="128" t="str">
        <x:v>B</x:v>
      </x:c>
      <x:c r="S109" t="str">
        <x:v>S78</x:v>
      </x:c>
      <x:c r="T109" s="122" t="str">
        <x:v>완료</x:v>
      </x:c>
      <x:c r="U109" t="str">
        <x:v>유기적 유행보다 플랫폼형 바이럴 출시 사례</x:v>
      </x:c>
    </x:row>
    <x:row r="110">
      <x:c r="A110" t="str">
        <x:v>US-SNS009</x:v>
      </x:c>
      <x:c r="B110" t="str">
        <x:v>미국</x:v>
      </x:c>
      <x:c r="C110" t="str">
        <x:v>SNS커머스·브랜드</x:v>
      </x:c>
      <x:c r="D110" t="str">
        <x:v>Crocs TikTok Shop 샌들</x:v>
      </x:c>
      <x:c r="E110" t="str">
        <x:v>Crocs</x:v>
      </x:c>
      <x:c r="F110" t="str">
        <x:v>CROX</x:v>
      </x:c>
      <x:c r="G110" t="str">
        <x:v>NASDAQ</x:v>
      </x:c>
      <x:c r="H110" t="str">
        <x:v>2026-05</x:v>
      </x:c>
      <x:c r="I110" t="str">
        <x:v>TikTok Shop 여성 샌들 판매 급증</x:v>
      </x:c>
      <x:c r="J110" t="str">
        <x:v>플랫폼 판매 데이터가 투자자 관심 지표로 사용</x:v>
      </x:c>
      <x:c r="K110" t="str">
        <x:v>Crocs 직접 판매</x:v>
      </x:c>
      <x:c r="L110" t="str">
        <x:v>주간 TikTok Shop GMV 약 50% 증가; 주가 반응은 미확인</x:v>
      </x:c>
      <x:c r="M110" s="115"/>
      <x:c r="N110" t="str">
        <x:v>2026-05 주간</x:v>
      </x:c>
      <x:c r="O110" t="str">
        <x:v>계절 수요·상품 믹스 동반</x:v>
      </x:c>
      <x:c r="P110" t="str">
        <x:v>실판매 데이터는 확인</x:v>
      </x:c>
      <x:c r="Q110" s="125" t="str">
        <x:v>후보-추가검증</x:v>
      </x:c>
      <x:c r="R110" s="132" t="str">
        <x:v>C</x:v>
      </x:c>
      <x:c r="S110" t="str">
        <x:v>S79</x:v>
      </x:c>
      <x:c r="T110" s="129" t="str">
        <x:v>가격검증</x:v>
      </x:c>
      <x:c r="U110" t="str">
        <x:v>SNS 판매 선행지표와 주가 이벤트를 추가 매칭할 후보</x:v>
      </x:c>
    </x:row>
    <x:row r="111">
      <x:c r="A111" s="66" t="str">
        <x:v>KR-H001</x:v>
      </x:c>
      <x:c r="B111" s="66" t="str">
        <x:v>한국</x:v>
      </x:c>
      <x:c r="C111" s="66" t="str">
        <x:v>정책·건설</x:v>
      </x:c>
      <x:c r="D111" s="66" t="str">
        <x:v>4대강 조기 착공</x:v>
      </x:c>
      <x:c r="E111" s="66" t="str">
        <x:v>특수건설</x:v>
      </x:c>
      <x:c r="F111" s="67" t="str">
        <x:v>026150</x:v>
      </x:c>
      <x:c r="G111" s="66" t="str">
        <x:v>KOSDAQ</x:v>
      </x:c>
      <x:c r="H111" s="66" t="str">
        <x:v>2009-11-09</x:v>
      </x:c>
      <x:c r="I111" s="66" t="str">
        <x:v>4대강 살리기 사업 착공 기대</x:v>
      </x:c>
      <x:c r="J111" s="66" t="str">
        <x:v>정책 발표 직후 4대강 테마로 동반 급등</x:v>
      </x:c>
      <x:c r="K111" s="66" t="str">
        <x:v>지하·토목 공사 사업으로 간접 연결 가능</x:v>
      </x:c>
      <x:c r="L111" s="66" t="str">
        <x:v>장중 가격제한폭 수준 상승</x:v>
      </x:c>
      <x:c r="M111" s="312" t="n">
        <x:v>14.94</x:v>
      </x:c>
      <x:c r="N111" s="66" t="str">
        <x:v>1일</x:v>
      </x:c>
      <x:c r="O111" s="66" t="str">
        <x:v>정책 수주 기대가 동시 존재</x:v>
      </x:c>
      <x:c r="P111" s="66" t="str">
        <x:v>개별 수주 확정이 아닌 테마 보도</x:v>
      </x:c>
      <x:c r="Q111" s="66" t="str">
        <x:v>혼합-테마 주도</x:v>
      </x:c>
      <x:c r="R111" s="66" t="str">
        <x:v>A</x:v>
      </x:c>
      <x:c r="S111" s="66" t="str">
        <x:v>S92</x:v>
      </x:c>
      <x:c r="T111" s="66" t="str">
        <x:v>완료</x:v>
      </x:c>
      <x:c r="U111" s="66" t="str">
        <x:v>정책 테마와 실제 건설업 연결이 함께 존재</x:v>
      </x:c>
    </x:row>
    <x:row r="112">
      <x:c r="A112" s="66" t="str">
        <x:v>KR-H002</x:v>
      </x:c>
      <x:c r="B112" s="66" t="str">
        <x:v>한국</x:v>
      </x:c>
      <x:c r="C112" s="66" t="str">
        <x:v>정책·건설</x:v>
      </x:c>
      <x:c r="D112" s="66" t="str">
        <x:v>4대강 조기 착공</x:v>
      </x:c>
      <x:c r="E112" s="66" t="str">
        <x:v>동신건설</x:v>
      </x:c>
      <x:c r="F112" s="67" t="str">
        <x:v>025950</x:v>
      </x:c>
      <x:c r="G112" s="66" t="str">
        <x:v>KOSDAQ</x:v>
      </x:c>
      <x:c r="H112" s="66" t="str">
        <x:v>2009-11-09</x:v>
      </x:c>
      <x:c r="I112" s="66" t="str">
        <x:v>4대강 살리기 사업 착공 기대</x:v>
      </x:c>
      <x:c r="J112" s="66" t="str">
        <x:v>4대강 테마주 묶음</x:v>
      </x:c>
      <x:c r="K112" s="66" t="str">
        <x:v>건설업으로 간접 연결 가능</x:v>
      </x:c>
      <x:c r="L112" s="66" t="str">
        <x:v>장중 가격제한폭 수준 상승</x:v>
      </x:c>
      <x:c r="M112" s="312" t="n">
        <x:v>14.9</x:v>
      </x:c>
      <x:c r="N112" s="66" t="str">
        <x:v>1일</x:v>
      </x:c>
      <x:c r="O112" s="66" t="str">
        <x:v>정책 수주 기대가 동시 존재</x:v>
      </x:c>
      <x:c r="P112" s="66" t="str">
        <x:v>개별 수주 확정 근거는 기사에 없음</x:v>
      </x:c>
      <x:c r="Q112" s="66" t="str">
        <x:v>혼합-테마 주도</x:v>
      </x:c>
      <x:c r="R112" s="66" t="str">
        <x:v>A</x:v>
      </x:c>
      <x:c r="S112" s="66" t="str">
        <x:v>S92</x:v>
      </x:c>
      <x:c r="T112" s="66" t="str">
        <x:v>완료</x:v>
      </x:c>
      <x:c r="U112" s="66" t="str">
        <x:v>기업-사건 행 기준</x:v>
      </x:c>
    </x:row>
    <x:row r="113">
      <x:c r="A113" s="66" t="str">
        <x:v>KR-H003</x:v>
      </x:c>
      <x:c r="B113" s="66" t="str">
        <x:v>한국</x:v>
      </x:c>
      <x:c r="C113" s="66" t="str">
        <x:v>정책·건설</x:v>
      </x:c>
      <x:c r="D113" s="66" t="str">
        <x:v>4대강 조기 착공</x:v>
      </x:c>
      <x:c r="E113" s="66" t="str">
        <x:v>이화공영</x:v>
      </x:c>
      <x:c r="F113" s="67" t="str">
        <x:v>001840</x:v>
      </x:c>
      <x:c r="G113" s="66" t="str">
        <x:v>KOSDAQ</x:v>
      </x:c>
      <x:c r="H113" s="66" t="str">
        <x:v>2009-11-09</x:v>
      </x:c>
      <x:c r="I113" s="66" t="str">
        <x:v>4대강 살리기 사업 착공 기대</x:v>
      </x:c>
      <x:c r="J113" s="66" t="str">
        <x:v>4대강 테마주 묶음</x:v>
      </x:c>
      <x:c r="K113" s="66" t="str">
        <x:v>건설업으로 간접 연결 가능</x:v>
      </x:c>
      <x:c r="L113" s="66" t="str">
        <x:v>장중 가격제한폭 수준 상승</x:v>
      </x:c>
      <x:c r="M113" s="312" t="n">
        <x:v>14.77</x:v>
      </x:c>
      <x:c r="N113" s="66" t="str">
        <x:v>1일</x:v>
      </x:c>
      <x:c r="O113" s="66" t="str">
        <x:v>정책 수주 기대가 동시 존재</x:v>
      </x:c>
      <x:c r="P113" s="66" t="str">
        <x:v>개별 수주 확정 근거는 기사에 없음</x:v>
      </x:c>
      <x:c r="Q113" s="66" t="str">
        <x:v>혼합-테마 주도</x:v>
      </x:c>
      <x:c r="R113" s="66" t="str">
        <x:v>A</x:v>
      </x:c>
      <x:c r="S113" s="66" t="str">
        <x:v>S92</x:v>
      </x:c>
      <x:c r="T113" s="66" t="str">
        <x:v>완료</x:v>
      </x:c>
      <x:c r="U113" s="66" t="str">
        <x:v>정책 기대가 가격을 촉발</x:v>
      </x:c>
    </x:row>
    <x:row r="114">
      <x:c r="A114" s="66" t="str">
        <x:v>KR-H004</x:v>
      </x:c>
      <x:c r="B114" s="66" t="str">
        <x:v>한국</x:v>
      </x:c>
      <x:c r="C114" s="66" t="str">
        <x:v>정책·건설</x:v>
      </x:c>
      <x:c r="D114" s="66" t="str">
        <x:v>4대강 조기 착공</x:v>
      </x:c>
      <x:c r="E114" s="66" t="str">
        <x:v>삼목정공(현 삼목에스폼)</x:v>
      </x:c>
      <x:c r="F114" s="67" t="str">
        <x:v>018310</x:v>
      </x:c>
      <x:c r="G114" s="66" t="str">
        <x:v>KOSDAQ</x:v>
      </x:c>
      <x:c r="H114" s="66" t="str">
        <x:v>2009-11-09</x:v>
      </x:c>
      <x:c r="I114" s="66" t="str">
        <x:v>4대강 살리기 사업 착공 기대</x:v>
      </x:c>
      <x:c r="J114" s="66" t="str">
        <x:v>4대강 테마주 묶음</x:v>
      </x:c>
      <x:c r="K114" s="66" t="str">
        <x:v>건설자재 관련성은 있으나 직접 수혜 미확정</x:v>
      </x:c>
      <x:c r="L114" s="66" t="str">
        <x:v>장중 가격제한폭 수준 상승</x:v>
      </x:c>
      <x:c r="M114" s="312" t="n">
        <x:v>14.9</x:v>
      </x:c>
      <x:c r="N114" s="66" t="str">
        <x:v>1일</x:v>
      </x:c>
      <x:c r="O114" s="66" t="str">
        <x:v>정책 수주 기대가 동시 존재</x:v>
      </x:c>
      <x:c r="P114" s="66" t="str">
        <x:v>당시 기사 기준 회사명 사용</x:v>
      </x:c>
      <x:c r="Q114" s="66" t="str">
        <x:v>혼합-테마 주도</x:v>
      </x:c>
      <x:c r="R114" s="66" t="str">
        <x:v>A</x:v>
      </x:c>
      <x:c r="S114" s="66" t="str">
        <x:v>S92</x:v>
      </x:c>
      <x:c r="T114" s="66" t="str">
        <x:v>완료</x:v>
      </x:c>
      <x:c r="U114" s="66" t="str">
        <x:v>현재 사명과 당시 사명 병기</x:v>
      </x:c>
    </x:row>
    <x:row r="115">
      <x:c r="A115" s="66" t="str">
        <x:v>KR-H005</x:v>
      </x:c>
      <x:c r="B115" s="66" t="str">
        <x:v>한국</x:v>
      </x:c>
      <x:c r="C115" s="66" t="str">
        <x:v>정책·건설</x:v>
      </x:c>
      <x:c r="D115" s="66" t="str">
        <x:v>4대강 조기 착공</x:v>
      </x:c>
      <x:c r="E115" s="66" t="str">
        <x:v>울트라건설</x:v>
      </x:c>
      <x:c r="F115" s="67" t="str">
        <x:v>004320</x:v>
      </x:c>
      <x:c r="G115" s="66" t="str">
        <x:v>KOSDAQ</x:v>
      </x:c>
      <x:c r="H115" s="66" t="str">
        <x:v>2009-11-09</x:v>
      </x:c>
      <x:c r="I115" s="66" t="str">
        <x:v>4대강 살리기 사업 착공 기대</x:v>
      </x:c>
      <x:c r="J115" s="66" t="str">
        <x:v>4대강 테마주 묶음</x:v>
      </x:c>
      <x:c r="K115" s="66" t="str">
        <x:v>건설업 간접 연결</x:v>
      </x:c>
      <x:c r="L115" s="66" t="str">
        <x:v>장중 가격제한폭 수준 상승</x:v>
      </x:c>
      <x:c r="M115" s="312" t="n">
        <x:v>14.55</x:v>
      </x:c>
      <x:c r="N115" s="66" t="str">
        <x:v>1일</x:v>
      </x:c>
      <x:c r="O115" s="66" t="str">
        <x:v>정책 수주 기대가 동시 존재</x:v>
      </x:c>
      <x:c r="P115" s="66" t="str">
        <x:v>이후 상장폐지된 과거 상장사</x:v>
      </x:c>
      <x:c r="Q115" s="66" t="str">
        <x:v>혼합-테마 주도</x:v>
      </x:c>
      <x:c r="R115" s="66" t="str">
        <x:v>B</x:v>
      </x:c>
      <x:c r="S115" s="66" t="str">
        <x:v>S92</x:v>
      </x:c>
      <x:c r="T115" s="66" t="str">
        <x:v>완료</x:v>
      </x:c>
      <x:c r="U115" s="66" t="str">
        <x:v>역사 사례; 현재 투자대상 아님</x:v>
      </x:c>
    </x:row>
    <x:row r="116">
      <x:c r="A116" s="66" t="str">
        <x:v>KR-H006</x:v>
      </x:c>
      <x:c r="B116" s="66" t="str">
        <x:v>한국</x:v>
      </x:c>
      <x:c r="C116" s="66" t="str">
        <x:v>정책·건설</x:v>
      </x:c>
      <x:c r="D116" s="66" t="str">
        <x:v>4대강 조기 착공</x:v>
      </x:c>
      <x:c r="E116" s="66" t="str">
        <x:v>신천개발</x:v>
      </x:c>
      <x:c r="F116" s="67" t="str">
        <x:v>004060</x:v>
      </x:c>
      <x:c r="G116" s="66" t="str">
        <x:v>KOSDAQ</x:v>
      </x:c>
      <x:c r="H116" s="66" t="str">
        <x:v>2009-11-09</x:v>
      </x:c>
      <x:c r="I116" s="66" t="str">
        <x:v>4대강 살리기 사업 착공 기대</x:v>
      </x:c>
      <x:c r="J116" s="66" t="str">
        <x:v>4대강 테마주 묶음</x:v>
      </x:c>
      <x:c r="K116" s="66" t="str">
        <x:v>직접 사업 수혜 불명확</x:v>
      </x:c>
      <x:c r="L116" s="66" t="str">
        <x:v>장중 가격제한폭 수준 상승</x:v>
      </x:c>
      <x:c r="M116" s="312" t="n">
        <x:v>14.95</x:v>
      </x:c>
      <x:c r="N116" s="66" t="str">
        <x:v>1일</x:v>
      </x:c>
      <x:c r="O116" s="66" t="str">
        <x:v>정책 기대 외 실적 재료 미확인</x:v>
      </x:c>
      <x:c r="P116" s="66" t="str">
        <x:v>당시 기사 기준 상장사명</x:v>
      </x:c>
      <x:c r="Q116" s="66" t="str">
        <x:v>혼합-테마 주도</x:v>
      </x:c>
      <x:c r="R116" s="66" t="str">
        <x:v>B</x:v>
      </x:c>
      <x:c r="S116" s="66" t="str">
        <x:v>S92</x:v>
      </x:c>
      <x:c r="T116" s="66" t="str">
        <x:v>완료</x:v>
      </x:c>
      <x:c r="U116" s="66" t="str">
        <x:v>역사 회사명·티커는 후속 기업연혁 확인 권장</x:v>
      </x:c>
    </x:row>
    <x:row r="117">
      <x:c r="A117" s="66" t="str">
        <x:v>KR-H007</x:v>
      </x:c>
      <x:c r="B117" s="66" t="str">
        <x:v>한국</x:v>
      </x:c>
      <x:c r="C117" s="66" t="str">
        <x:v>정책·건설</x:v>
      </x:c>
      <x:c r="D117" s="66" t="str">
        <x:v>4대강 조기 착공</x:v>
      </x:c>
      <x:c r="E117" s="66" t="str">
        <x:v>삼호개발</x:v>
      </x:c>
      <x:c r="F117" s="67" t="str">
        <x:v>010960</x:v>
      </x:c>
      <x:c r="G117" s="66" t="str">
        <x:v>KOSPI</x:v>
      </x:c>
      <x:c r="H117" s="66" t="str">
        <x:v>2009-11-09</x:v>
      </x:c>
      <x:c r="I117" s="66" t="str">
        <x:v>4대강 살리기 사업 착공 기대</x:v>
      </x:c>
      <x:c r="J117" s="66" t="str">
        <x:v>4대강 테마주 묶음</x:v>
      </x:c>
      <x:c r="K117" s="66" t="str">
        <x:v>토공·건설 사업으로 간접 연결</x:v>
      </x:c>
      <x:c r="L117" s="66" t="str">
        <x:v>장중 가격제한폭 수준 상승</x:v>
      </x:c>
      <x:c r="M117" s="312" t="n">
        <x:v>14.88</x:v>
      </x:c>
      <x:c r="N117" s="66" t="str">
        <x:v>1일</x:v>
      </x:c>
      <x:c r="O117" s="66" t="str">
        <x:v>정책 수주 기대가 동시 존재</x:v>
      </x:c>
      <x:c r="P117" s="66" t="str">
        <x:v>개별 수주 확정 근거는 기사에 없음</x:v>
      </x:c>
      <x:c r="Q117" s="66" t="str">
        <x:v>혼합-테마 주도</x:v>
      </x:c>
      <x:c r="R117" s="66" t="str">
        <x:v>A</x:v>
      </x:c>
      <x:c r="S117" s="66" t="str">
        <x:v>S92</x:v>
      </x:c>
      <x:c r="T117" s="66" t="str">
        <x:v>완료</x:v>
      </x:c>
      <x:c r="U117" s="66" t="str">
        <x:v>정책 테마</x:v>
      </x:c>
    </x:row>
    <x:row r="118">
      <x:c r="A118" s="66" t="str">
        <x:v>KR-H008</x:v>
      </x:c>
      <x:c r="B118" s="66" t="str">
        <x:v>한국</x:v>
      </x:c>
      <x:c r="C118" s="66" t="str">
        <x:v>정책·소비</x:v>
      </x:c>
      <x:c r="D118" s="66" t="str">
        <x:v>자전거 산업 활성화</x:v>
      </x:c>
      <x:c r="E118" s="66" t="str">
        <x:v>삼천리자전거</x:v>
      </x:c>
      <x:c r="F118" s="67" t="str">
        <x:v>024950</x:v>
      </x:c>
      <x:c r="G118" s="66" t="str">
        <x:v>KOSDAQ</x:v>
      </x:c>
      <x:c r="H118" s="66" t="str">
        <x:v>2009-05-04</x:v>
      </x:c>
      <x:c r="I118" s="66" t="str">
        <x:v>정부 자전거산업 활성화 종합대책</x:v>
      </x:c>
      <x:c r="J118" s="66" t="str">
        <x:v>정책과 친환경 생활 유행이 자전거주로 확산</x:v>
      </x:c>
      <x:c r="K118" s="66" t="str">
        <x:v>자전거 제조·판매로 직접 연결</x:v>
      </x:c>
      <x:c r="L118" s="66" t="str">
        <x:v>상한가</x:v>
      </x:c>
      <x:c r="M118" s="312" t="n">
        <x:v>14.83</x:v>
      </x:c>
      <x:c r="N118" s="66" t="str">
        <x:v>1일</x:v>
      </x:c>
      <x:c r="O118" s="66" t="str">
        <x:v>정책 수혜와 실제 사업이 동시 존재</x:v>
      </x:c>
      <x:c r="P118" s="66" t="str">
        <x:v>당일 기사 두 곳 교차확인</x:v>
      </x:c>
      <x:c r="Q118" s="66" t="str">
        <x:v>사업연결+테마</x:v>
      </x:c>
      <x:c r="R118" s="66" t="str">
        <x:v>A</x:v>
      </x:c>
      <x:c r="S118" s="66" t="str">
        <x:v>S94;S95</x:v>
      </x:c>
      <x:c r="T118" s="66" t="str">
        <x:v>완료</x:v>
      </x:c>
      <x:c r="U118" s="66" t="str">
        <x:v>밈 단독이 아니라 정책·생활유행 혼합</x:v>
      </x:c>
    </x:row>
    <x:row r="119">
      <x:c r="A119" s="66" t="str">
        <x:v>KR-H009</x:v>
      </x:c>
      <x:c r="B119" s="66" t="str">
        <x:v>한국</x:v>
      </x:c>
      <x:c r="C119" s="66" t="str">
        <x:v>정책·소비</x:v>
      </x:c>
      <x:c r="D119" s="66" t="str">
        <x:v>자전거 산업 활성화</x:v>
      </x:c>
      <x:c r="E119" s="66" t="str">
        <x:v>참좋은레져(현 참좋은여행)</x:v>
      </x:c>
      <x:c r="F119" s="67" t="str">
        <x:v>094850</x:v>
      </x:c>
      <x:c r="G119" s="66" t="str">
        <x:v>KOSDAQ</x:v>
      </x:c>
      <x:c r="H119" s="66" t="str">
        <x:v>2009-05-04</x:v>
      </x:c>
      <x:c r="I119" s="66" t="str">
        <x:v>정부 자전거산업 활성화 종합대책</x:v>
      </x:c>
      <x:c r="J119" s="66" t="str">
        <x:v>자전거 관련주로 동반 확산</x:v>
      </x:c>
      <x:c r="K119" s="66" t="str">
        <x:v>당시 자전거 사업 연결</x:v>
      </x:c>
      <x:c r="L119" s="66" t="str">
        <x:v>상한가</x:v>
      </x:c>
      <x:c r="M119" s="312" t="n">
        <x:v>14.89</x:v>
      </x:c>
      <x:c r="N119" s="66" t="str">
        <x:v>1일</x:v>
      </x:c>
      <x:c r="O119" s="66" t="str">
        <x:v>정책 수혜와 실제 사업이 동시 존재</x:v>
      </x:c>
      <x:c r="P119" s="66" t="str">
        <x:v>당일 기사 두 곳 교차확인</x:v>
      </x:c>
      <x:c r="Q119" s="66" t="str">
        <x:v>사업연결+테마</x:v>
      </x:c>
      <x:c r="R119" s="66" t="str">
        <x:v>A</x:v>
      </x:c>
      <x:c r="S119" s="66" t="str">
        <x:v>S94;S95</x:v>
      </x:c>
      <x:c r="T119" s="66" t="str">
        <x:v>완료</x:v>
      </x:c>
      <x:c r="U119" s="66" t="str">
        <x:v>당시 사명 기준</x:v>
      </x:c>
    </x:row>
    <x:row r="120">
      <x:c r="A120" s="66" t="str">
        <x:v>KR-H010</x:v>
      </x:c>
      <x:c r="B120" s="66" t="str">
        <x:v>한국</x:v>
      </x:c>
      <x:c r="C120" s="66" t="str">
        <x:v>정책·소비</x:v>
      </x:c>
      <x:c r="D120" s="66" t="str">
        <x:v>자전거 산업 활성화</x:v>
      </x:c>
      <x:c r="E120" s="66" t="str">
        <x:v>에이모션</x:v>
      </x:c>
      <x:c r="F120" s="67" t="str">
        <x:v>031860</x:v>
      </x:c>
      <x:c r="G120" s="66" t="str">
        <x:v>KOSDAQ</x:v>
      </x:c>
      <x:c r="H120" s="66" t="str">
        <x:v>2009-05-04</x:v>
      </x:c>
      <x:c r="I120" s="66" t="str">
        <x:v>정부 자전거산업 활성화 종합대책</x:v>
      </x:c>
      <x:c r="J120" s="66" t="str">
        <x:v>자전거 관련주 묶음</x:v>
      </x:c>
      <x:c r="K120" s="66" t="str">
        <x:v>당시 자전거 사업 연결</x:v>
      </x:c>
      <x:c r="L120" s="66" t="str">
        <x:v>상한가</x:v>
      </x:c>
      <x:c r="M120" s="312" t="n">
        <x:v>14.75</x:v>
      </x:c>
      <x:c r="N120" s="66" t="str">
        <x:v>1일</x:v>
      </x:c>
      <x:c r="O120" s="66" t="str">
        <x:v>정책 수혜와 실제 사업이 동시 존재</x:v>
      </x:c>
      <x:c r="P120" s="66" t="str">
        <x:v>아시아경제 당일 수치</x:v>
      </x:c>
      <x:c r="Q120" s="66" t="str">
        <x:v>사업연결+테마</x:v>
      </x:c>
      <x:c r="R120" s="66" t="str">
        <x:v>B</x:v>
      </x:c>
      <x:c r="S120" s="66" t="str">
        <x:v>S95</x:v>
      </x:c>
      <x:c r="T120" s="66" t="str">
        <x:v>완료</x:v>
      </x:c>
      <x:c r="U120" s="66" t="str">
        <x:v>역사 상장사 사례</x:v>
      </x:c>
    </x:row>
    <x:row r="121">
      <x:c r="A121" s="66" t="str">
        <x:v>KR-H011</x:v>
      </x:c>
      <x:c r="B121" s="66" t="str">
        <x:v>한국</x:v>
      </x:c>
      <x:c r="C121" s="66" t="str">
        <x:v>정책·소비</x:v>
      </x:c>
      <x:c r="D121" s="66" t="str">
        <x:v>녹색성장·자전거도로</x:v>
      </x:c>
      <x:c r="E121" s="66" t="str">
        <x:v>참좋은레져(현 참좋은여행)</x:v>
      </x:c>
      <x:c r="F121" s="67" t="str">
        <x:v>094850</x:v>
      </x:c>
      <x:c r="G121" s="66" t="str">
        <x:v>KOSDAQ</x:v>
      </x:c>
      <x:c r="H121" s="66" t="str">
        <x:v>2009-04-20</x:v>
      </x:c>
      <x:c r="I121" s="66" t="str">
        <x:v>대통령 라디오·유튜브 연설에서 2천km 자전거길 언급</x:v>
      </x:c>
      <x:c r="J121" s="66" t="str">
        <x:v>온라인 연설과 녹색성장 서사가 자전거 테마로 확산</x:v>
      </x:c>
      <x:c r="K121" s="66" t="str">
        <x:v>당시 자전거 사업 연결</x:v>
      </x:c>
      <x:c r="L121" s="66" t="str">
        <x:v>상한가</x:v>
      </x:c>
      <x:c r="M121" s="312" t="n">
        <x:v>14.93</x:v>
      </x:c>
      <x:c r="N121" s="66" t="str">
        <x:v>1일</x:v>
      </x:c>
      <x:c r="O121" s="66" t="str">
        <x:v>정책 수혜와 실제 사업이 동시 존재</x:v>
      </x:c>
      <x:c r="P121" s="66" t="str">
        <x:v>연합뉴스 당일 기사</x:v>
      </x:c>
      <x:c r="Q121" s="66" t="str">
        <x:v>사업연결+테마</x:v>
      </x:c>
      <x:c r="R121" s="66" t="str">
        <x:v>A</x:v>
      </x:c>
      <x:c r="S121" s="66" t="str">
        <x:v>S93</x:v>
      </x:c>
      <x:c r="T121" s="66" t="str">
        <x:v>완료</x:v>
      </x:c>
      <x:c r="U121" s="66" t="str">
        <x:v>5월 4일 사례와 별도 이벤트</x:v>
      </x:c>
    </x:row>
    <x:row r="122">
      <x:c r="A122" s="66" t="str">
        <x:v>KR-H012</x:v>
      </x:c>
      <x:c r="B122" s="66" t="str">
        <x:v>한국</x:v>
      </x:c>
      <x:c r="C122" s="66" t="str">
        <x:v>정책·건설</x:v>
      </x:c>
      <x:c r="D122" s="66" t="str">
        <x:v>녹색성장·4대강</x:v>
      </x:c>
      <x:c r="E122" s="66" t="str">
        <x:v>특수건설</x:v>
      </x:c>
      <x:c r="F122" s="67" t="str">
        <x:v>026150</x:v>
      </x:c>
      <x:c r="G122" s="66" t="str">
        <x:v>KOSDAQ</x:v>
      </x:c>
      <x:c r="H122" s="66" t="str">
        <x:v>2009-04-20</x:v>
      </x:c>
      <x:c r="I122" s="66" t="str">
        <x:v>대통령 녹색성장·자전거도로 연설</x:v>
      </x:c>
      <x:c r="J122" s="66" t="str">
        <x:v>4대강 관련주로 관심 확산</x:v>
      </x:c>
      <x:c r="K122" s="66" t="str">
        <x:v>토목업 간접 연결</x:v>
      </x:c>
      <x:c r="L122" s="66" t="str">
        <x:v>당일 상승</x:v>
      </x:c>
      <x:c r="M122" s="312" t="n">
        <x:v>6.02</x:v>
      </x:c>
      <x:c r="N122" s="66" t="str">
        <x:v>1일</x:v>
      </x:c>
      <x:c r="O122" s="66" t="str">
        <x:v>정책 수주 기대가 동시 존재</x:v>
      </x:c>
      <x:c r="P122" s="66" t="str">
        <x:v>개별 수주 확정 아님</x:v>
      </x:c>
      <x:c r="Q122" s="66" t="str">
        <x:v>혼합-테마 주도</x:v>
      </x:c>
      <x:c r="R122" s="66" t="str">
        <x:v>A</x:v>
      </x:c>
      <x:c r="S122" s="66" t="str">
        <x:v>S93</x:v>
      </x:c>
      <x:c r="T122" s="66" t="str">
        <x:v>완료</x:v>
      </x:c>
      <x:c r="U122" s="66" t="str">
        <x:v>정책 연설 직후 반응</x:v>
      </x:c>
    </x:row>
    <x:row r="123">
      <x:c r="A123" s="66" t="str">
        <x:v>KR-H013</x:v>
      </x:c>
      <x:c r="B123" s="66" t="str">
        <x:v>한국</x:v>
      </x:c>
      <x:c r="C123" s="66" t="str">
        <x:v>정책·건설</x:v>
      </x:c>
      <x:c r="D123" s="66" t="str">
        <x:v>녹색성장·4대강</x:v>
      </x:c>
      <x:c r="E123" s="66" t="str">
        <x:v>이화공영</x:v>
      </x:c>
      <x:c r="F123" s="67" t="str">
        <x:v>001840</x:v>
      </x:c>
      <x:c r="G123" s="66" t="str">
        <x:v>KOSDAQ</x:v>
      </x:c>
      <x:c r="H123" s="66" t="str">
        <x:v>2009-04-20</x:v>
      </x:c>
      <x:c r="I123" s="66" t="str">
        <x:v>대통령 녹색성장·자전거도로 연설</x:v>
      </x:c>
      <x:c r="J123" s="66" t="str">
        <x:v>4대강 관련주로 관심 확산</x:v>
      </x:c>
      <x:c r="K123" s="66" t="str">
        <x:v>건설업 간접 연결</x:v>
      </x:c>
      <x:c r="L123" s="66" t="str">
        <x:v>당일 상승</x:v>
      </x:c>
      <x:c r="M123" s="312" t="n">
        <x:v>4.02</x:v>
      </x:c>
      <x:c r="N123" s="66" t="str">
        <x:v>1일</x:v>
      </x:c>
      <x:c r="O123" s="66" t="str">
        <x:v>정책 수주 기대가 동시 존재</x:v>
      </x:c>
      <x:c r="P123" s="66" t="str">
        <x:v>개별 수주 확정 아님</x:v>
      </x:c>
      <x:c r="Q123" s="66" t="str">
        <x:v>혼합-테마 주도</x:v>
      </x:c>
      <x:c r="R123" s="66" t="str">
        <x:v>A</x:v>
      </x:c>
      <x:c r="S123" s="66" t="str">
        <x:v>S93</x:v>
      </x:c>
      <x:c r="T123" s="66" t="str">
        <x:v>완료</x:v>
      </x:c>
      <x:c r="U123" s="66" t="str">
        <x:v>정책 연설 직후 반응</x:v>
      </x:c>
    </x:row>
    <x:row r="124">
      <x:c r="A124" s="66" t="str">
        <x:v>KR-H014</x:v>
      </x:c>
      <x:c r="B124" s="66" t="str">
        <x:v>한국</x:v>
      </x:c>
      <x:c r="C124" s="66" t="str">
        <x:v>정책·소재</x:v>
      </x:c>
      <x:c r="D124" s="66" t="str">
        <x:v>녹색성장·4대강</x:v>
      </x:c>
      <x:c r="E124" s="66" t="str">
        <x:v>한국선재</x:v>
      </x:c>
      <x:c r="F124" s="67" t="str">
        <x:v>025550</x:v>
      </x:c>
      <x:c r="G124" s="66" t="str">
        <x:v>KOSDAQ</x:v>
      </x:c>
      <x:c r="H124" s="66" t="str">
        <x:v>2009-04-20</x:v>
      </x:c>
      <x:c r="I124" s="66" t="str">
        <x:v>대통령 녹색성장·자전거도로 연설</x:v>
      </x:c>
      <x:c r="J124" s="66" t="str">
        <x:v>4대강 관련주 묶음</x:v>
      </x:c>
      <x:c r="K124" s="66" t="str">
        <x:v>직접 수혜 여부 불명확</x:v>
      </x:c>
      <x:c r="L124" s="66" t="str">
        <x:v>당일 상승</x:v>
      </x:c>
      <x:c r="M124" s="312" t="n">
        <x:v>5.5</x:v>
      </x:c>
      <x:c r="N124" s="66" t="str">
        <x:v>1일</x:v>
      </x:c>
      <x:c r="O124" s="66" t="str">
        <x:v>정책 기대 외 동시 재료 미확인</x:v>
      </x:c>
      <x:c r="P124" s="66" t="str">
        <x:v>기사상 테마 분류</x:v>
      </x:c>
      <x:c r="Q124" s="66" t="str">
        <x:v>혼합-테마 주도</x:v>
      </x:c>
      <x:c r="R124" s="66" t="str">
        <x:v>B</x:v>
      </x:c>
      <x:c r="S124" s="66" t="str">
        <x:v>S93</x:v>
      </x:c>
      <x:c r="T124" s="66" t="str">
        <x:v>완료</x:v>
      </x:c>
      <x:c r="U124" s="66" t="str">
        <x:v>인과는 당일 기사 서술 기준</x:v>
      </x:c>
    </x:row>
    <x:row r="125">
      <x:c r="A125" s="66" t="str">
        <x:v>KR-H015</x:v>
      </x:c>
      <x:c r="B125" s="66" t="str">
        <x:v>한국</x:v>
      </x:c>
      <x:c r="C125" s="66" t="str">
        <x:v>정책·건설</x:v>
      </x:c>
      <x:c r="D125" s="66" t="str">
        <x:v>녹색성장·4대강</x:v>
      </x:c>
      <x:c r="E125" s="66" t="str">
        <x:v>홈센타(현 홈센타홀딩스)</x:v>
      </x:c>
      <x:c r="F125" s="67" t="str">
        <x:v>060560</x:v>
      </x:c>
      <x:c r="G125" s="66" t="str">
        <x:v>KOSDAQ</x:v>
      </x:c>
      <x:c r="H125" s="66" t="str">
        <x:v>2009-04-20</x:v>
      </x:c>
      <x:c r="I125" s="66" t="str">
        <x:v>대통령 녹색성장·자전거도로 연설</x:v>
      </x:c>
      <x:c r="J125" s="66" t="str">
        <x:v>4대강 관련주 묶음</x:v>
      </x:c>
      <x:c r="K125" s="66" t="str">
        <x:v>건축자재·레미콘 등 간접 연결</x:v>
      </x:c>
      <x:c r="L125" s="66" t="str">
        <x:v>당일 상승</x:v>
      </x:c>
      <x:c r="M125" s="312" t="n">
        <x:v>3.22</x:v>
      </x:c>
      <x:c r="N125" s="66" t="str">
        <x:v>1일</x:v>
      </x:c>
      <x:c r="O125" s="66" t="str">
        <x:v>정책 수혜 기대가 동시 존재</x:v>
      </x:c>
      <x:c r="P125" s="66" t="str">
        <x:v>당시 기사 기준 회사명</x:v>
      </x:c>
      <x:c r="Q125" s="66" t="str">
        <x:v>혼합-테마 주도</x:v>
      </x:c>
      <x:c r="R125" s="66" t="str">
        <x:v>B</x:v>
      </x:c>
      <x:c r="S125" s="66" t="str">
        <x:v>S93</x:v>
      </x:c>
      <x:c r="T125" s="66" t="str">
        <x:v>완료</x:v>
      </x:c>
      <x:c r="U125" s="66" t="str">
        <x:v>현재 사명 병기</x:v>
      </x:c>
    </x:row>
    <x:row r="126">
      <x:c r="A126" s="66" t="str">
        <x:v>KR-H016</x:v>
      </x:c>
      <x:c r="B126" s="66" t="str">
        <x:v>한국</x:v>
      </x:c>
      <x:c r="C126" s="66" t="str">
        <x:v>정책·소재</x:v>
      </x:c>
      <x:c r="D126" s="66" t="str">
        <x:v>녹색성장·4대강</x:v>
      </x:c>
      <x:c r="E126" s="66" t="str">
        <x:v>미주제강</x:v>
      </x:c>
      <x:c r="F126" s="67" t="str">
        <x:v>002670</x:v>
      </x:c>
      <x:c r="G126" s="66" t="str">
        <x:v>KOSPI</x:v>
      </x:c>
      <x:c r="H126" s="66" t="str">
        <x:v>2009-04-20</x:v>
      </x:c>
      <x:c r="I126" s="66" t="str">
        <x:v>대통령 녹색성장·자전거도로 연설</x:v>
      </x:c>
      <x:c r="J126" s="66" t="str">
        <x:v>4대강 관련주 묶음</x:v>
      </x:c>
      <x:c r="K126" s="66" t="str">
        <x:v>강관 사업의 간접 연결 주장</x:v>
      </x:c>
      <x:c r="L126" s="66" t="str">
        <x:v>당일 상승</x:v>
      </x:c>
      <x:c r="M126" s="312" t="n">
        <x:v>7.35</x:v>
      </x:c>
      <x:c r="N126" s="66" t="str">
        <x:v>1일</x:v>
      </x:c>
      <x:c r="O126" s="66" t="str">
        <x:v>정책 기대 외 동시 재료 미확인</x:v>
      </x:c>
      <x:c r="P126" s="66" t="str">
        <x:v>이후 상장폐지된 과거 상장사</x:v>
      </x:c>
      <x:c r="Q126" s="66" t="str">
        <x:v>혼합-테마 주도</x:v>
      </x:c>
      <x:c r="R126" s="66" t="str">
        <x:v>B</x:v>
      </x:c>
      <x:c r="S126" s="66" t="str">
        <x:v>S93</x:v>
      </x:c>
      <x:c r="T126" s="66" t="str">
        <x:v>완료</x:v>
      </x:c>
      <x:c r="U126" s="66" t="str">
        <x:v>역사 사례; 현재 투자대상 아님</x:v>
      </x:c>
    </x:row>
    <x:row r="127">
      <x:c r="A127" s="66" t="str">
        <x:v>KR-H017</x:v>
      </x:c>
      <x:c r="B127" s="66" t="str">
        <x:v>한국</x:v>
      </x:c>
      <x:c r="C127" s="66" t="str">
        <x:v>콘텐츠·기술유행</x:v>
      </x:c>
      <x:c r="D127" s="66" t="str">
        <x:v>아바타·3D 열풍</x:v>
      </x:c>
      <x:c r="E127" s="66" t="str">
        <x:v>케이디씨(현 광무)</x:v>
      </x:c>
      <x:c r="F127" s="67" t="str">
        <x:v>029480</x:v>
      </x:c>
      <x:c r="G127" s="66" t="str">
        <x:v>KOSDAQ</x:v>
      </x:c>
      <x:c r="H127" s="66" t="str">
        <x:v>2010-01-20</x:v>
      </x:c>
      <x:c r="I127" s="66" t="str">
        <x:v>영화 아바타 흥행으로 3D 관심 폭증</x:v>
      </x:c>
      <x:c r="J127" s="66" t="str">
        <x:v>대중문화 열풍이 3D 테마주로 확산</x:v>
      </x:c>
      <x:c r="K127" s="66" t="str">
        <x:v>당시 3D 관련 사업 기대</x:v>
      </x:c>
      <x:c r="L127" s="66" t="str">
        <x:v>기사상 급등 후 하락 언급; 정확 수치 미제공</x:v>
      </x:c>
      <x:c r="M127" s="312"/>
      <x:c r="N127" s="66" t="str">
        <x:v>기사 서술</x:v>
      </x:c>
      <x:c r="O127" s="66" t="str">
        <x:v>사업 기대가 동시 존재</x:v>
      </x:c>
      <x:c r="P127" s="66" t="str">
        <x:v>정확한 가격·구간은 추가 시세 검증 필요</x:v>
      </x:c>
      <x:c r="Q127" s="66" t="str">
        <x:v>후보-가격검증</x:v>
      </x:c>
      <x:c r="R127" s="66" t="str">
        <x:v>B</x:v>
      </x:c>
      <x:c r="S127" s="66" t="str">
        <x:v>S96</x:v>
      </x:c>
      <x:c r="T127" s="66" t="str">
        <x:v>부분</x:v>
      </x:c>
      <x:c r="U127" s="66" t="str">
        <x:v>사실 기사 존재, 수치 미입력</x:v>
      </x:c>
    </x:row>
    <x:row r="128">
      <x:c r="A128" s="66" t="str">
        <x:v>KR-H018</x:v>
      </x:c>
      <x:c r="B128" s="66" t="str">
        <x:v>한국</x:v>
      </x:c>
      <x:c r="C128" s="66" t="str">
        <x:v>콘텐츠·기술유행</x:v>
      </x:c>
      <x:c r="D128" s="66" t="str">
        <x:v>아바타·3D 열풍</x:v>
      </x:c>
      <x:c r="E128" s="66" t="str">
        <x:v>티엘아이</x:v>
      </x:c>
      <x:c r="F128" s="67" t="str">
        <x:v>062860</x:v>
      </x:c>
      <x:c r="G128" s="66" t="str">
        <x:v>KOSDAQ</x:v>
      </x:c>
      <x:c r="H128" s="66" t="str">
        <x:v>2010-01-20</x:v>
      </x:c>
      <x:c r="I128" s="66" t="str">
        <x:v>아바타 흥행과 3D TV 기대</x:v>
      </x:c>
      <x:c r="J128" s="66" t="str">
        <x:v>3D 테마주 관심 확산</x:v>
      </x:c>
      <x:c r="K128" s="66" t="str">
        <x:v>디스플레이 반도체 사업의 간접 연결</x:v>
      </x:c>
      <x:c r="L128" s="66" t="str">
        <x:v>기사상 꾸준한 상승세; 정확 수치 미제공</x:v>
      </x:c>
      <x:c r="M128" s="312"/>
      <x:c r="N128" s="66" t="str">
        <x:v>기사 서술</x:v>
      </x:c>
      <x:c r="O128" s="66" t="str">
        <x:v>산업 기대가 동시 존재</x:v>
      </x:c>
      <x:c r="P128" s="66" t="str">
        <x:v>정확한 가격·구간은 추가 시세 검증 필요</x:v>
      </x:c>
      <x:c r="Q128" s="66" t="str">
        <x:v>후보-가격검증</x:v>
      </x:c>
      <x:c r="R128" s="66" t="str">
        <x:v>B</x:v>
      </x:c>
      <x:c r="S128" s="66" t="str">
        <x:v>S96</x:v>
      </x:c>
      <x:c r="T128" s="66" t="str">
        <x:v>부분</x:v>
      </x:c>
      <x:c r="U128" s="66" t="str">
        <x:v>이후 상장 상태 변동은 별도 확인</x:v>
      </x:c>
    </x:row>
    <x:row r="129">
      <x:c r="A129" s="66" t="str">
        <x:v>KR-H019</x:v>
      </x:c>
      <x:c r="B129" s="66" t="str">
        <x:v>한국</x:v>
      </x:c>
      <x:c r="C129" s="66" t="str">
        <x:v>콘텐츠·기술유행</x:v>
      </x:c>
      <x:c r="D129" s="66" t="str">
        <x:v>아바타·3D 열풍</x:v>
      </x:c>
      <x:c r="E129" s="66" t="str">
        <x:v>잘만테크</x:v>
      </x:c>
      <x:c r="F129" s="67" t="str">
        <x:v>090120</x:v>
      </x:c>
      <x:c r="G129" s="66" t="str">
        <x:v>KOSDAQ</x:v>
      </x:c>
      <x:c r="H129" s="66" t="str">
        <x:v>2010-01-20</x:v>
      </x:c>
      <x:c r="I129" s="66" t="str">
        <x:v>아바타 흥행과 3D TV 기대</x:v>
      </x:c>
      <x:c r="J129" s="66" t="str">
        <x:v>3D 테마주 관심 확산</x:v>
      </x:c>
      <x:c r="K129" s="66" t="str">
        <x:v>당시 3D 디스플레이 장비 기대</x:v>
      </x:c>
      <x:c r="L129" s="66" t="str">
        <x:v>기사상 꾸준한 상승세; 정확 수치 미제공</x:v>
      </x:c>
      <x:c r="M129" s="312"/>
      <x:c r="N129" s="66" t="str">
        <x:v>기사 서술</x:v>
      </x:c>
      <x:c r="O129" s="66" t="str">
        <x:v>산업 기대가 동시 존재</x:v>
      </x:c>
      <x:c r="P129" s="66" t="str">
        <x:v>이후 상장폐지된 과거 상장사</x:v>
      </x:c>
      <x:c r="Q129" s="66" t="str">
        <x:v>후보-가격검증</x:v>
      </x:c>
      <x:c r="R129" s="66" t="str">
        <x:v>C</x:v>
      </x:c>
      <x:c r="S129" s="66" t="str">
        <x:v>S96</x:v>
      </x:c>
      <x:c r="T129" s="66" t="str">
        <x:v>부분</x:v>
      </x:c>
      <x:c r="U129" s="66" t="str">
        <x:v>현재 투자대상 아님</x:v>
      </x:c>
    </x:row>
    <x:row r="130">
      <x:c r="A130" s="66" t="str">
        <x:v>KR-H020</x:v>
      </x:c>
      <x:c r="B130" s="66" t="str">
        <x:v>한국</x:v>
      </x:c>
      <x:c r="C130" s="66" t="str">
        <x:v>소비·기술유행</x:v>
      </x:c>
      <x:c r="D130" s="66" t="str">
        <x:v>아이폰·스마트폰 확산</x:v>
      </x:c>
      <x:c r="E130" s="66" t="str">
        <x:v>디지텍시스템</x:v>
      </x:c>
      <x:c r="F130" s="67" t="str">
        <x:v>091690</x:v>
      </x:c>
      <x:c r="G130" s="66" t="str">
        <x:v>KOSDAQ</x:v>
      </x:c>
      <x:c r="H130" s="66" t="str">
        <x:v>2010-01-20</x:v>
      </x:c>
      <x:c r="I130" s="66" t="str">
        <x:v>국내 첫 아이폰 출시 후 스마트폰 관심 확대</x:v>
      </x:c>
      <x:c r="J130" s="66" t="str">
        <x:v>스마트폰 수혜주 묶음</x:v>
      </x:c>
      <x:c r="K130" s="66" t="str">
        <x:v>당시 터치스크린 사업 연결</x:v>
      </x:c>
      <x:c r="L130" s="66" t="str">
        <x:v>수혜주로 주목; 원문 정확 수치 미제공</x:v>
      </x:c>
      <x:c r="M130" s="312"/>
      <x:c r="N130" s="66" t="str">
        <x:v>기사 서술</x:v>
      </x:c>
      <x:c r="O130" s="66" t="str">
        <x:v>산업 성장 기대가 동시 존재</x:v>
      </x:c>
      <x:c r="P130" s="66" t="str">
        <x:v>이후 상장폐지된 과거 상장사</x:v>
      </x:c>
      <x:c r="Q130" s="66" t="str">
        <x:v>후보-가격검증</x:v>
      </x:c>
      <x:c r="R130" s="66" t="str">
        <x:v>C</x:v>
      </x:c>
      <x:c r="S130" s="66" t="str">
        <x:v>S80;S96</x:v>
      </x:c>
      <x:c r="T130" s="66" t="str">
        <x:v>부분</x:v>
      </x:c>
      <x:c r="U130" s="66" t="str">
        <x:v>가격 데이터 후속 검증 필요</x:v>
      </x:c>
    </x:row>
    <x:row r="131">
      <x:c r="A131" s="66" t="str">
        <x:v>KR-H021</x:v>
      </x:c>
      <x:c r="B131" s="66" t="str">
        <x:v>한국</x:v>
      </x:c>
      <x:c r="C131" s="66" t="str">
        <x:v>소비·기술유행</x:v>
      </x:c>
      <x:c r="D131" s="66" t="str">
        <x:v>아이폰·스마트폰 확산</x:v>
      </x:c>
      <x:c r="E131" s="66" t="str">
        <x:v>이엘케이</x:v>
      </x:c>
      <x:c r="F131" s="67" t="str">
        <x:v>094190</x:v>
      </x:c>
      <x:c r="G131" s="66" t="str">
        <x:v>KOSDAQ</x:v>
      </x:c>
      <x:c r="H131" s="66" t="str">
        <x:v>2010-01-20</x:v>
      </x:c>
      <x:c r="I131" s="66" t="str">
        <x:v>국내 첫 아이폰 출시 후 스마트폰 관심 확대</x:v>
      </x:c>
      <x:c r="J131" s="66" t="str">
        <x:v>스마트폰 수혜주 묶음</x:v>
      </x:c>
      <x:c r="K131" s="66" t="str">
        <x:v>당시 터치패널 사업 연결</x:v>
      </x:c>
      <x:c r="L131" s="66" t="str">
        <x:v>수혜주로 주목; 원문 정확 수치 미제공</x:v>
      </x:c>
      <x:c r="M131" s="312"/>
      <x:c r="N131" s="66" t="str">
        <x:v>기사 서술</x:v>
      </x:c>
      <x:c r="O131" s="66" t="str">
        <x:v>산업 성장 기대가 동시 존재</x:v>
      </x:c>
      <x:c r="P131" s="66" t="str">
        <x:v>이후 상장폐지된 과거 상장사</x:v>
      </x:c>
      <x:c r="Q131" s="66" t="str">
        <x:v>후보-가격검증</x:v>
      </x:c>
      <x:c r="R131" s="66" t="str">
        <x:v>C</x:v>
      </x:c>
      <x:c r="S131" s="66" t="str">
        <x:v>S80;S96</x:v>
      </x:c>
      <x:c r="T131" s="66" t="str">
        <x:v>부분</x:v>
      </x:c>
      <x:c r="U131" s="66" t="str">
        <x:v>가격 데이터 후속 검증 필요</x:v>
      </x:c>
    </x:row>
    <x:row r="132">
      <x:c r="A132" s="66" t="str">
        <x:v>KR-H022</x:v>
      </x:c>
      <x:c r="B132" s="66" t="str">
        <x:v>한국</x:v>
      </x:c>
      <x:c r="C132" s="66" t="str">
        <x:v>소비·기술유행</x:v>
      </x:c>
      <x:c r="D132" s="66" t="str">
        <x:v>아이폰·스마트폰 확산</x:v>
      </x:c>
      <x:c r="E132" s="66" t="str">
        <x:v>멜파스</x:v>
      </x:c>
      <x:c r="F132" s="67" t="str">
        <x:v>096640</x:v>
      </x:c>
      <x:c r="G132" s="66" t="str">
        <x:v>KOSDAQ</x:v>
      </x:c>
      <x:c r="H132" s="66" t="str">
        <x:v>2010-01-20</x:v>
      </x:c>
      <x:c r="I132" s="66" t="str">
        <x:v>국내 첫 아이폰 출시 후 스마트폰 관심 확대</x:v>
      </x:c>
      <x:c r="J132" s="66" t="str">
        <x:v>스마트폰 수혜주 묶음</x:v>
      </x:c>
      <x:c r="K132" s="66" t="str">
        <x:v>당시 터치솔루션 사업 연결</x:v>
      </x:c>
      <x:c r="L132" s="66" t="str">
        <x:v>수혜주로 주목; 원문 정확 수치 미제공</x:v>
      </x:c>
      <x:c r="M132" s="312"/>
      <x:c r="N132" s="66" t="str">
        <x:v>기사 서술</x:v>
      </x:c>
      <x:c r="O132" s="66" t="str">
        <x:v>산업 성장 기대가 동시 존재</x:v>
      </x:c>
      <x:c r="P132" s="66" t="str">
        <x:v>이후 상장폐지된 과거 상장사</x:v>
      </x:c>
      <x:c r="Q132" s="66" t="str">
        <x:v>후보-가격검증</x:v>
      </x:c>
      <x:c r="R132" s="66" t="str">
        <x:v>C</x:v>
      </x:c>
      <x:c r="S132" s="66" t="str">
        <x:v>S80;S96</x:v>
      </x:c>
      <x:c r="T132" s="66" t="str">
        <x:v>부분</x:v>
      </x:c>
      <x:c r="U132" s="66" t="str">
        <x:v>가격 데이터 후속 검증 필요</x:v>
      </x:c>
    </x:row>
    <x:row r="133">
      <x:c r="A133" s="66" t="str">
        <x:v>KR-H023</x:v>
      </x:c>
      <x:c r="B133" s="66" t="str">
        <x:v>한국</x:v>
      </x:c>
      <x:c r="C133" s="66" t="str">
        <x:v>소비·기술유행</x:v>
      </x:c>
      <x:c r="D133" s="66" t="str">
        <x:v>아이폰·스마트폰 확산</x:v>
      </x:c>
      <x:c r="E133" s="66" t="str">
        <x:v>디오텍(현 셀바스AI)</x:v>
      </x:c>
      <x:c r="F133" s="67" t="str">
        <x:v>108860</x:v>
      </x:c>
      <x:c r="G133" s="66" t="str">
        <x:v>KOSDAQ</x:v>
      </x:c>
      <x:c r="H133" s="66" t="str">
        <x:v>2010-01-20</x:v>
      </x:c>
      <x:c r="I133" s="66" t="str">
        <x:v>국내 첫 아이폰 출시 후 스마트폰 관심 확대</x:v>
      </x:c>
      <x:c r="J133" s="66" t="str">
        <x:v>스마트폰 소프트웨어 수혜 기대</x:v>
      </x:c>
      <x:c r="K133" s="66" t="str">
        <x:v>모바일 소프트웨어 사업 연결</x:v>
      </x:c>
      <x:c r="L133" s="66" t="str">
        <x:v>관련주 관심; 원문 정확 수치 미제공</x:v>
      </x:c>
      <x:c r="M133" s="312"/>
      <x:c r="N133" s="66" t="str">
        <x:v>기사 서술</x:v>
      </x:c>
      <x:c r="O133" s="66" t="str">
        <x:v>산업 성장 기대가 동시 존재</x:v>
      </x:c>
      <x:c r="P133" s="66" t="str">
        <x:v>당시 사명 기준</x:v>
      </x:c>
      <x:c r="Q133" s="66" t="str">
        <x:v>후보-가격검증</x:v>
      </x:c>
      <x:c r="R133" s="66" t="str">
        <x:v>B</x:v>
      </x:c>
      <x:c r="S133" s="66" t="str">
        <x:v>S80;S96</x:v>
      </x:c>
      <x:c r="T133" s="66" t="str">
        <x:v>부분</x:v>
      </x:c>
      <x:c r="U133" s="66" t="str">
        <x:v>현재 사명 병기</x:v>
      </x:c>
    </x:row>
    <x:row r="134">
      <x:c r="A134" s="66" t="str">
        <x:v>KR-H024</x:v>
      </x:c>
      <x:c r="B134" s="66" t="str">
        <x:v>한국</x:v>
      </x:c>
      <x:c r="C134" s="66" t="str">
        <x:v>소비·기술유행</x:v>
      </x:c>
      <x:c r="D134" s="66" t="str">
        <x:v>아이폰·스마트폰 확산</x:v>
      </x:c>
      <x:c r="E134" s="66" t="str">
        <x:v>파트론</x:v>
      </x:c>
      <x:c r="F134" s="67" t="str">
        <x:v>091700</x:v>
      </x:c>
      <x:c r="G134" s="66" t="str">
        <x:v>KOSDAQ</x:v>
      </x:c>
      <x:c r="H134" s="66" t="str">
        <x:v>2010-01-20</x:v>
      </x:c>
      <x:c r="I134" s="66" t="str">
        <x:v>국내 첫 아이폰 출시 후 스마트폰 관심 확대</x:v>
      </x:c>
      <x:c r="J134" s="66" t="str">
        <x:v>스마트폰 부품 수혜 기대</x:v>
      </x:c>
      <x:c r="K134" s="66" t="str">
        <x:v>카메라·안테나 등 부품 사업 연결</x:v>
      </x:c>
      <x:c r="L134" s="66" t="str">
        <x:v>관련주 관심; 원문 정확 수치 미제공</x:v>
      </x:c>
      <x:c r="M134" s="312"/>
      <x:c r="N134" s="66" t="str">
        <x:v>기사 서술</x:v>
      </x:c>
      <x:c r="O134" s="66" t="str">
        <x:v>산업 성장 기대가 동시 존재</x:v>
      </x:c>
      <x:c r="P134" s="66" t="str">
        <x:v>정확한 가격·구간은 추가 시세 검증 필요</x:v>
      </x:c>
      <x:c r="Q134" s="66" t="str">
        <x:v>후보-가격검증</x:v>
      </x:c>
      <x:c r="R134" s="66" t="str">
        <x:v>B</x:v>
      </x:c>
      <x:c r="S134" s="66" t="str">
        <x:v>S80;S96</x:v>
      </x:c>
      <x:c r="T134" s="66" t="str">
        <x:v>부분</x:v>
      </x:c>
      <x:c r="U134" s="66" t="str">
        <x:v>기업-사건 후보 행</x:v>
      </x:c>
    </x:row>
    <x:row r="135">
      <x:c r="A135" s="66" t="str">
        <x:v>KR-H025</x:v>
      </x:c>
      <x:c r="B135" s="66" t="str">
        <x:v>한국</x:v>
      </x:c>
      <x:c r="C135" s="66" t="str">
        <x:v>소비·기술유행</x:v>
      </x:c>
      <x:c r="D135" s="66" t="str">
        <x:v>아이폰·스마트폰 확산</x:v>
      </x:c>
      <x:c r="E135" s="66" t="str">
        <x:v>아모텍</x:v>
      </x:c>
      <x:c r="F135" s="67" t="str">
        <x:v>052710</x:v>
      </x:c>
      <x:c r="G135" s="66" t="str">
        <x:v>KOSDAQ</x:v>
      </x:c>
      <x:c r="H135" s="66" t="str">
        <x:v>2010-01-20</x:v>
      </x:c>
      <x:c r="I135" s="66" t="str">
        <x:v>국내 첫 아이폰 출시 후 스마트폰 관심 확대</x:v>
      </x:c>
      <x:c r="J135" s="66" t="str">
        <x:v>스마트폰 부품 수혜 기대</x:v>
      </x:c>
      <x:c r="K135" s="66" t="str">
        <x:v>전자부품 사업 연결</x:v>
      </x:c>
      <x:c r="L135" s="66" t="str">
        <x:v>관련주 관심; 원문 정확 수치 미제공</x:v>
      </x:c>
      <x:c r="M135" s="312"/>
      <x:c r="N135" s="66" t="str">
        <x:v>기사 서술</x:v>
      </x:c>
      <x:c r="O135" s="66" t="str">
        <x:v>산업 성장 기대가 동시 존재</x:v>
      </x:c>
      <x:c r="P135" s="66" t="str">
        <x:v>정확한 가격·구간은 추가 시세 검증 필요</x:v>
      </x:c>
      <x:c r="Q135" s="66" t="str">
        <x:v>후보-가격검증</x:v>
      </x:c>
      <x:c r="R135" s="66" t="str">
        <x:v>B</x:v>
      </x:c>
      <x:c r="S135" s="66" t="str">
        <x:v>S80;S96</x:v>
      </x:c>
      <x:c r="T135" s="66" t="str">
        <x:v>부분</x:v>
      </x:c>
      <x:c r="U135" s="66" t="str">
        <x:v>기업-사건 후보 행</x:v>
      </x:c>
    </x:row>
  </x:sheetData>
  <x:mergeCells>
    <x:mergeCell ref="A1:U1"/>
    <x:mergeCell ref="A2:U2"/>
  </x:mergeCells>
  <x:conditionalFormatting sqref="Q5:Q80">
    <x:cfRule type="containsText" dxfId="0" priority="1" operator="containsText" text="강한 밈"/>
    <x:cfRule type="containsText" dxfId="1" priority="2" operator="containsText" text="혼합"/>
    <x:cfRule type="containsText" dxfId="2" priority="3" operator="containsText" text="제외"/>
    <x:cfRule type="containsText" dxfId="3" priority="4" operator="containsText" text="후보"/>
  </x:conditionalFormatting>
  <x:dataValidations count="6">
    <x:dataValidation type="list" sqref="Q5:Q80">
      <x:formula1>"강한 밈,혼합-테마 주도,제외-직접 사업,후보-추가검증"</x:formula1>
    </x:dataValidation>
    <x:dataValidation type="list" sqref="R5:R80">
      <x:formula1>"A,B,C"</x:formula1>
    </x:dataValidation>
    <x:dataValidation type="list" sqref="T5:T80">
      <x:formula1>"완료,추가검증"</x:formula1>
    </x:dataValidation>
    <x:dataValidation type="list" sqref="Q5:Q110">
      <x:formula1>"강한 밈,혼합-테마 주도,바이럴-사업직결,후보-추가검증,제외-직접 사업"</x:formula1>
    </x:dataValidation>
    <x:dataValidation type="list" sqref="R5:R110">
      <x:formula1>"A,B,C"</x:formula1>
    </x:dataValidation>
    <x:dataValidation type="list" sqref="T5:T110">
      <x:formula1>"완료,추가검증,가격검증"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118650f8b84f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강한 밈 사례</x:v>
      </x:c>
    </x:row>
    <x:row r="2" ht="30" customHeight="1">
      <x:c r="A2" s="6" t="str">
        <x:v>사업 연결이 없거나 매우 약하고, 사진·인맥·이름·SNS 집단행동이 가격의 주된 서사인 사례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KR-M001</x:v>
      </x:c>
      <x:c r="B5" s="62" t="str">
        <x:v>한국</x:v>
      </x:c>
      <x:c r="C5" s="62" t="str">
        <x:v>윤석열</x:v>
      </x:c>
      <x:c r="D5" s="62" t="str">
        <x:v>NE능률</x:v>
      </x:c>
      <x:c r="E5" s="70" t="str">
        <x:v>053290</x:v>
      </x:c>
      <x:c r="F5" s="62" t="str">
        <x:v>2021-03</x:v>
      </x:c>
      <x:c r="G5" s="62" t="str">
        <x:v>최대주주와 윤석열이 같은 파평 윤씨</x:v>
      </x:c>
      <x:c r="H5" s="62" t="str">
        <x:v>회사가 무관 공시했지만 약 150% 급등</x:v>
      </x:c>
      <x:c r="I5" s="62" t="str">
        <x:v>없음</x:v>
      </x:c>
      <x:c r="J5" s="62" t="str">
        <x:v>강한 밈</x:v>
      </x:c>
      <x:c r="K5" s="62" t="str">
        <x:v>A</x:v>
      </x:c>
      <x:c r="L5" s="62" t="str">
        <x:v>S04;S05</x:v>
      </x:c>
    </x:row>
    <x:row r="6" ht="58" customHeight="1">
      <x:c r="A6" s="62" t="str">
        <x:v>KR-M002</x:v>
      </x:c>
      <x:c r="B6" s="62" t="str">
        <x:v>한국</x:v>
      </x:c>
      <x:c r="C6" s="62" t="str">
        <x:v>윤석열</x:v>
      </x:c>
      <x:c r="D6" s="62" t="str">
        <x:v>덕성</x:v>
      </x:c>
      <x:c r="E6" s="70" t="str">
        <x:v>004830</x:v>
      </x:c>
      <x:c r="F6" s="62" t="str">
        <x:v>2021-03-04</x:v>
      </x:c>
      <x:c r="G6" s="62" t="str">
        <x:v>대표·사외이사 서울대 법대 동문 서사</x:v>
      </x:c>
      <x:c r="H6" s="62" t="str">
        <x:v>당일 상한가</x:v>
      </x:c>
      <x:c r="I6" s="62" t="str">
        <x:v>없음</x:v>
      </x:c>
      <x:c r="J6" s="62" t="str">
        <x:v>강한 밈</x:v>
      </x:c>
      <x:c r="K6" s="62" t="str">
        <x:v>B</x:v>
      </x:c>
      <x:c r="L6" s="62" t="str">
        <x:v>S06</x:v>
      </x:c>
    </x:row>
    <x:row r="7" ht="58" customHeight="1">
      <x:c r="A7" s="62" t="str">
        <x:v>KR-M003</x:v>
      </x:c>
      <x:c r="B7" s="62" t="str">
        <x:v>한국</x:v>
      </x:c>
      <x:c r="C7" s="62" t="str">
        <x:v>윤석열</x:v>
      </x:c>
      <x:c r="D7" s="62" t="str">
        <x:v>서연</x:v>
      </x:c>
      <x:c r="E7" s="70" t="str">
        <x:v>007860</x:v>
      </x:c>
      <x:c r="F7" s="62" t="str">
        <x:v>2021-03-04</x:v>
      </x:c>
      <x:c r="G7" s="62" t="str">
        <x:v>과거 사외이사와 윤석열 학연 서사</x:v>
      </x:c>
      <x:c r="H7" s="62" t="str">
        <x:v>당일 상한가</x:v>
      </x:c>
      <x:c r="I7" s="62" t="str">
        <x:v>없음</x:v>
      </x:c>
      <x:c r="J7" s="62" t="str">
        <x:v>강한 밈</x:v>
      </x:c>
      <x:c r="K7" s="62" t="str">
        <x:v>B</x:v>
      </x:c>
      <x:c r="L7" s="62" t="str">
        <x:v>S06</x:v>
      </x:c>
    </x:row>
    <x:row r="8" ht="58" customHeight="1">
      <x:c r="A8" s="62" t="str">
        <x:v>KR-M004</x:v>
      </x:c>
      <x:c r="B8" s="62" t="str">
        <x:v>한국</x:v>
      </x:c>
      <x:c r="C8" s="62" t="str">
        <x:v>윤석열</x:v>
      </x:c>
      <x:c r="D8" s="62" t="str">
        <x:v>서연탑메탈</x:v>
      </x:c>
      <x:c r="E8" s="70" t="str">
        <x:v>019770</x:v>
      </x:c>
      <x:c r="F8" s="62" t="str">
        <x:v>2021-11-05</x:v>
      </x:c>
      <x:c r="G8" s="62" t="str">
        <x:v>모회사 서연의 인맥 서사를 계열사로 확장</x:v>
      </x:c>
      <x:c r="H8" s="62" t="str">
        <x:v>당일 10.14% 상승</x:v>
      </x:c>
      <x:c r="I8" s="62" t="str">
        <x:v>없음</x:v>
      </x:c>
      <x:c r="J8" s="62" t="str">
        <x:v>강한 밈</x:v>
      </x:c>
      <x:c r="K8" s="62" t="str">
        <x:v>B</x:v>
      </x:c>
      <x:c r="L8" s="62" t="str">
        <x:v>S06</x:v>
      </x:c>
    </x:row>
    <x:row r="9" ht="58" customHeight="1">
      <x:c r="A9" s="62" t="str">
        <x:v>KR-M005</x:v>
      </x:c>
      <x:c r="B9" s="62" t="str">
        <x:v>한국</x:v>
      </x:c>
      <x:c r="C9" s="62" t="str">
        <x:v>이재명</x:v>
      </x:c>
      <x:c r="D9" s="62" t="str">
        <x:v>동신건설</x:v>
      </x:c>
      <x:c r="E9" s="70" t="str">
        <x:v>025950</x:v>
      </x:c>
      <x:c r="F9" s="62" t="str">
        <x:v>2025-03-27</x:v>
      </x:c>
      <x:c r="G9" s="62" t="str">
        <x:v>본사가 이재명 고향 안동에 있다는 이유</x:v>
      </x:c>
      <x:c r="H9" s="62" t="str">
        <x:v>당일 7.89% 상승</x:v>
      </x:c>
      <x:c r="I9" s="62" t="str">
        <x:v>없음</x:v>
      </x:c>
      <x:c r="J9" s="62" t="str">
        <x:v>강한 밈</x:v>
      </x:c>
      <x:c r="K9" s="62" t="str">
        <x:v>A</x:v>
      </x:c>
      <x:c r="L9" s="62" t="str">
        <x:v>S07</x:v>
      </x:c>
    </x:row>
    <x:row r="10" ht="58" customHeight="1">
      <x:c r="A10" s="62" t="str">
        <x:v>KR-M006</x:v>
      </x:c>
      <x:c r="B10" s="62" t="str">
        <x:v>한국</x:v>
      </x:c>
      <x:c r="C10" s="62" t="str">
        <x:v>이재명</x:v>
      </x:c>
      <x:c r="D10" s="62" t="str">
        <x:v>오리엔트정공</x:v>
      </x:c>
      <x:c r="E10" s="70" t="str">
        <x:v>065500</x:v>
      </x:c>
      <x:c r="F10" s="62" t="str">
        <x:v>2024-11</x:v>
      </x:c>
      <x:c r="G10" s="62" t="str">
        <x:v>이재명이 과거 계열 시계공장 근무·출마선언 장소</x:v>
      </x:c>
      <x:c r="H10" s="62" t="str">
        <x:v>1,294원에서 6,430원으로 약 5배</x:v>
      </x:c>
      <x:c r="I10" s="62" t="str">
        <x:v>매우 약함</x:v>
      </x:c>
      <x:c r="J10" s="62" t="str">
        <x:v>강한 밈</x:v>
      </x:c>
      <x:c r="K10" s="62" t="str">
        <x:v>A</x:v>
      </x:c>
      <x:c r="L10" s="62" t="str">
        <x:v>S08</x:v>
      </x:c>
    </x:row>
    <x:row r="11" ht="58" customHeight="1">
      <x:c r="A11" s="62" t="str">
        <x:v>KR-M007</x:v>
      </x:c>
      <x:c r="B11" s="62" t="str">
        <x:v>한국</x:v>
      </x:c>
      <x:c r="C11" s="62" t="str">
        <x:v>이재명</x:v>
      </x:c>
      <x:c r="D11" s="62" t="str">
        <x:v>오리엔탈정공</x:v>
      </x:c>
      <x:c r="E11" s="70" t="str">
        <x:v>014940</x:v>
      </x:c>
      <x:c r="F11" s="62" t="str">
        <x:v>2024-11</x:v>
      </x:c>
      <x:c r="G11" s="62" t="str">
        <x:v>회사명이 비슷하다는 이유로 잘못 엮임</x:v>
      </x:c>
      <x:c r="H11" s="62" t="str">
        <x:v>같은 기간 64.39% 상승</x:v>
      </x:c>
      <x:c r="I11" s="62" t="str">
        <x:v>없음</x:v>
      </x:c>
      <x:c r="J11" s="62" t="str">
        <x:v>강한 밈</x:v>
      </x:c>
      <x:c r="K11" s="62" t="str">
        <x:v>A</x:v>
      </x:c>
      <x:c r="L11" s="62" t="str">
        <x:v>S08</x:v>
      </x:c>
    </x:row>
    <x:row r="12" ht="58" customHeight="1">
      <x:c r="A12" s="62" t="str">
        <x:v>KR-M008</x:v>
      </x:c>
      <x:c r="B12" s="62" t="str">
        <x:v>한국</x:v>
      </x:c>
      <x:c r="C12" s="62" t="str">
        <x:v>이재명</x:v>
      </x:c>
      <x:c r="D12" s="62" t="str">
        <x:v>에이텍</x:v>
      </x:c>
      <x:c r="E12" s="70" t="str">
        <x:v>045660</x:v>
      </x:c>
      <x:c r="F12" s="62" t="str">
        <x:v>2025-04</x:v>
      </x:c>
      <x:c r="G12" s="62" t="str">
        <x:v>최대주주의 성남창조경영CEO포럼 활동 이력</x:v>
      </x:c>
      <x:c r="H12" s="62" t="str">
        <x:v>4월 2일 44,500원 고점 후 5월 14일 24,550원(-44.8%)</x:v>
      </x:c>
      <x:c r="I12" s="62" t="str">
        <x:v>없음</x:v>
      </x:c>
      <x:c r="J12" s="62" t="str">
        <x:v>강한 밈</x:v>
      </x:c>
      <x:c r="K12" s="62" t="str">
        <x:v>A</x:v>
      </x:c>
      <x:c r="L12" s="62" t="str">
        <x:v>S09;S49</x:v>
      </x:c>
    </x:row>
    <x:row r="13" ht="58" customHeight="1">
      <x:c r="A13" s="62" t="str">
        <x:v>KR-M009</x:v>
      </x:c>
      <x:c r="B13" s="62" t="str">
        <x:v>한국</x:v>
      </x:c>
      <x:c r="C13" s="62" t="str">
        <x:v>이재명</x:v>
      </x:c>
      <x:c r="D13" s="62" t="str">
        <x:v>에이텍모빌리티</x:v>
      </x:c>
      <x:c r="E13" s="70" t="str">
        <x:v>224110</x:v>
      </x:c>
      <x:c r="F13" s="62" t="str">
        <x:v>2025-05-02</x:v>
      </x:c>
      <x:c r="G13" s="62" t="str">
        <x:v>에이텍과 동일한 인맥 서사</x:v>
      </x:c>
      <x:c r="H13" s="62" t="str">
        <x:v>관련 뉴스 당일 -10.42%로 역반응</x:v>
      </x:c>
      <x:c r="I13" s="62" t="str">
        <x:v>없음</x:v>
      </x:c>
      <x:c r="J13" s="62" t="str">
        <x:v>강한 밈</x:v>
      </x:c>
      <x:c r="K13" s="62" t="str">
        <x:v>B</x:v>
      </x:c>
      <x:c r="L13" s="62" t="str">
        <x:v>S09</x:v>
      </x:c>
    </x:row>
    <x:row r="14" ht="58" customHeight="1">
      <x:c r="A14" s="62" t="str">
        <x:v>KR-M010</x:v>
      </x:c>
      <x:c r="B14" s="62" t="str">
        <x:v>한국</x:v>
      </x:c>
      <x:c r="C14" s="62" t="str">
        <x:v>문재인</x:v>
      </x:c>
      <x:c r="D14" s="62" t="str">
        <x:v>우리들휴브레인(당시)</x:v>
      </x:c>
      <x:c r="E14" s="70" t="str">
        <x:v>118000</x:v>
      </x:c>
      <x:c r="F14" s="62" t="str">
        <x:v>2016</x:v>
      </x:c>
      <x:c r="G14" s="62" t="str">
        <x:v>관계 재단 인사가 노무현 전 대통령 주치의였다는 간접 서사</x:v>
      </x:c>
      <x:c r="H14" s="62" t="str">
        <x:v>2016년 연초 대비 202%</x:v>
      </x:c>
      <x:c r="I14" s="62" t="str">
        <x:v>없음</x:v>
      </x:c>
      <x:c r="J14" s="62" t="str">
        <x:v>강한 밈</x:v>
      </x:c>
      <x:c r="K14" s="62" t="str">
        <x:v>A</x:v>
      </x:c>
      <x:c r="L14" s="62" t="str">
        <x:v>S10;S11;S12</x:v>
      </x:c>
    </x:row>
    <x:row r="15" ht="58" customHeight="1">
      <x:c r="A15" s="62" t="str">
        <x:v>KR-M011</x:v>
      </x:c>
      <x:c r="B15" s="62" t="str">
        <x:v>한국</x:v>
      </x:c>
      <x:c r="C15" s="62" t="str">
        <x:v>문재인</x:v>
      </x:c>
      <x:c r="D15" s="62" t="str">
        <x:v>우리들제약(당시)</x:v>
      </x:c>
      <x:c r="E15" s="70" t="str">
        <x:v>004720</x:v>
      </x:c>
      <x:c r="F15" s="62" t="str">
        <x:v>2016</x:v>
      </x:c>
      <x:c r="G15" s="62" t="str">
        <x:v>우리들 계열의 노무현·문재인 인맥 서사</x:v>
      </x:c>
      <x:c r="H15" s="62" t="str">
        <x:v>2016년 연초 대비 157%</x:v>
      </x:c>
      <x:c r="I15" s="62" t="str">
        <x:v>없음</x:v>
      </x:c>
      <x:c r="J15" s="62" t="str">
        <x:v>강한 밈</x:v>
      </x:c>
      <x:c r="K15" s="62" t="str">
        <x:v>A</x:v>
      </x:c>
      <x:c r="L15" s="62" t="str">
        <x:v>S10;S11;S12</x:v>
      </x:c>
    </x:row>
    <x:row r="16" ht="58" customHeight="1">
      <x:c r="A16" s="62" t="str">
        <x:v>KR-M012</x:v>
      </x:c>
      <x:c r="B16" s="62" t="str">
        <x:v>한국</x:v>
      </x:c>
      <x:c r="C16" s="62" t="str">
        <x:v>문재인</x:v>
      </x:c>
      <x:c r="D16" s="62" t="str">
        <x:v>고려산업</x:v>
      </x:c>
      <x:c r="E16" s="70" t="str">
        <x:v>002140</x:v>
      </x:c>
      <x:c r="F16" s="62" t="str">
        <x:v>2016</x:v>
      </x:c>
      <x:c r="G16" s="62" t="str">
        <x:v>자회사 사외이사가 문재인 사법연수원 동기</x:v>
      </x:c>
      <x:c r="H16" s="62" t="str">
        <x:v>2016년 연초 대비 225%</x:v>
      </x:c>
      <x:c r="I16" s="62" t="str">
        <x:v>없음</x:v>
      </x:c>
      <x:c r="J16" s="62" t="str">
        <x:v>강한 밈</x:v>
      </x:c>
      <x:c r="K16" s="62" t="str">
        <x:v>A</x:v>
      </x:c>
      <x:c r="L16" s="62" t="str">
        <x:v>S12</x:v>
      </x:c>
    </x:row>
    <x:row r="17" ht="58" customHeight="1">
      <x:c r="A17" s="62" t="str">
        <x:v>KR-M013</x:v>
      </x:c>
      <x:c r="B17" s="62" t="str">
        <x:v>한국</x:v>
      </x:c>
      <x:c r="C17" s="62" t="str">
        <x:v>문재인</x:v>
      </x:c>
      <x:c r="D17" s="62" t="str">
        <x:v>대성파인텍</x:v>
      </x:c>
      <x:c r="E17" s="70" t="str">
        <x:v>104040</x:v>
      </x:c>
      <x:c r="F17" s="62" t="str">
        <x:v>2016-12-09</x:v>
      </x:c>
      <x:c r="G17" s="62" t="str">
        <x:v>문재인 테마주로 분류</x:v>
      </x:c>
      <x:c r="H17" s="62" t="str">
        <x:v>당일 상한가</x:v>
      </x:c>
      <x:c r="I17" s="62" t="str">
        <x:v>없음</x:v>
      </x:c>
      <x:c r="J17" s="62" t="str">
        <x:v>강한 밈</x:v>
      </x:c>
      <x:c r="K17" s="62" t="str">
        <x:v>B</x:v>
      </x:c>
      <x:c r="L17" s="62" t="str">
        <x:v>S10</x:v>
      </x:c>
    </x:row>
    <x:row r="18" ht="58" customHeight="1">
      <x:c r="A18" s="62" t="str">
        <x:v>KR-M014</x:v>
      </x:c>
      <x:c r="B18" s="62" t="str">
        <x:v>한국</x:v>
      </x:c>
      <x:c r="C18" s="62" t="str">
        <x:v>반기문</x:v>
      </x:c>
      <x:c r="D18" s="62" t="str">
        <x:v>보성파워텍</x:v>
      </x:c>
      <x:c r="E18" s="70" t="str">
        <x:v>006910</x:v>
      </x:c>
      <x:c r="F18" s="62" t="str">
        <x:v>2016-04~05</x:v>
      </x:c>
      <x:c r="G18" s="62" t="str">
        <x:v>반기문 동생이 임원으로 재직</x:v>
      </x:c>
      <x:c r="H18" s="62" t="str">
        <x:v>총선 후 한 달 108.6%</x:v>
      </x:c>
      <x:c r="I18" s="62" t="str">
        <x:v>없음</x:v>
      </x:c>
      <x:c r="J18" s="62" t="str">
        <x:v>강한 밈</x:v>
      </x:c>
      <x:c r="K18" s="62" t="str">
        <x:v>A</x:v>
      </x:c>
      <x:c r="L18" s="62" t="str">
        <x:v>S11</x:v>
      </x:c>
    </x:row>
    <x:row r="19" ht="58" customHeight="1">
      <x:c r="A19" s="62" t="str">
        <x:v>KR-M015</x:v>
      </x:c>
      <x:c r="B19" s="62" t="str">
        <x:v>한국</x:v>
      </x:c>
      <x:c r="C19" s="62" t="str">
        <x:v>반기문</x:v>
      </x:c>
      <x:c r="D19" s="62" t="str">
        <x:v>지엔코</x:v>
      </x:c>
      <x:c r="E19" s="70" t="str">
        <x:v>065060</x:v>
      </x:c>
      <x:c r="F19" s="62" t="str">
        <x:v>2016 하반기</x:v>
      </x:c>
      <x:c r="G19" s="62" t="str">
        <x:v>친인척·계열 인맥 서사로 관련주 편입</x:v>
      </x:c>
      <x:c r="H19" s="62" t="str">
        <x:v>하반기 160.63% 급등</x:v>
      </x:c>
      <x:c r="I19" s="62" t="str">
        <x:v>없음</x:v>
      </x:c>
      <x:c r="J19" s="62" t="str">
        <x:v>강한 밈</x:v>
      </x:c>
      <x:c r="K19" s="62" t="str">
        <x:v>B</x:v>
      </x:c>
      <x:c r="L19" s="62" t="str">
        <x:v>S10</x:v>
      </x:c>
    </x:row>
    <x:row r="20" ht="58" customHeight="1">
      <x:c r="A20" s="62" t="str">
        <x:v>KR-M016</x:v>
      </x:c>
      <x:c r="B20" s="62" t="str">
        <x:v>한국</x:v>
      </x:c>
      <x:c r="C20" s="62" t="str">
        <x:v>반기문</x:v>
      </x:c>
      <x:c r="D20" s="62" t="str">
        <x:v>씨씨에스</x:v>
      </x:c>
      <x:c r="E20" s="70" t="str">
        <x:v>066790</x:v>
      </x:c>
      <x:c r="F20" s="62" t="str">
        <x:v>2016</x:v>
      </x:c>
      <x:c r="G20" s="62" t="str">
        <x:v>충북 연고 등 지역·인맥 서사</x:v>
      </x:c>
      <x:c r="H20" s="62" t="str">
        <x:v>정치테마주 군 동반 급등</x:v>
      </x:c>
      <x:c r="I20" s="62" t="str">
        <x:v>없음</x:v>
      </x:c>
      <x:c r="J20" s="62" t="str">
        <x:v>강한 밈</x:v>
      </x:c>
      <x:c r="K20" s="62" t="str">
        <x:v>C</x:v>
      </x:c>
      <x:c r="L20" s="62" t="str">
        <x:v>S10</x:v>
      </x:c>
    </x:row>
    <x:row r="21" ht="58" customHeight="1">
      <x:c r="A21" s="62" t="str">
        <x:v>KR-M017</x:v>
      </x:c>
      <x:c r="B21" s="62" t="str">
        <x:v>한국</x:v>
      </x:c>
      <x:c r="C21" s="62" t="str">
        <x:v>안철수</x:v>
      </x:c>
      <x:c r="D21" s="62" t="str">
        <x:v>써니전자</x:v>
      </x:c>
      <x:c r="E21" s="70" t="str">
        <x:v>004770</x:v>
      </x:c>
      <x:c r="F21" s="62" t="str">
        <x:v>2012·2020</x:v>
      </x:c>
      <x:c r="G21" s="62" t="str">
        <x:v>전 대표가 안랩 출신이었다는 이유</x:v>
      </x:c>
      <x:c r="H21" s="62" t="str">
        <x:v>정계 뉴스마다 급등락; 사퇴 뒤 월간 급락군</x:v>
      </x:c>
      <x:c r="I21" s="62" t="str">
        <x:v>없음</x:v>
      </x:c>
      <x:c r="J21" s="62" t="str">
        <x:v>강한 밈</x:v>
      </x:c>
      <x:c r="K21" s="62" t="str">
        <x:v>A</x:v>
      </x:c>
      <x:c r="L21" s="62" t="str">
        <x:v>S13;S14</x:v>
      </x:c>
    </x:row>
    <x:row r="22" ht="58" customHeight="1">
      <x:c r="A22" s="62" t="str">
        <x:v>KR-M018</x:v>
      </x:c>
      <x:c r="B22" s="62" t="str">
        <x:v>한국</x:v>
      </x:c>
      <x:c r="C22" s="62" t="str">
        <x:v>안철수</x:v>
      </x:c>
      <x:c r="D22" s="62" t="str">
        <x:v>미래산업</x:v>
      </x:c>
      <x:c r="E22" s="70" t="str">
        <x:v>025560</x:v>
      </x:c>
      <x:c r="F22" s="62" t="str">
        <x:v>2012-11</x:v>
      </x:c>
      <x:c r="G22" s="62" t="str">
        <x:v>시장 풍문상 안철수 테마</x:v>
      </x:c>
      <x:c r="H22" s="62" t="str">
        <x:v>11월 들어 관련주군 19.09~57.78% 급락</x:v>
      </x:c>
      <x:c r="I22" s="62" t="str">
        <x:v>없음</x:v>
      </x:c>
      <x:c r="J22" s="62" t="str">
        <x:v>강한 밈</x:v>
      </x:c>
      <x:c r="K22" s="62" t="str">
        <x:v>B</x:v>
      </x:c>
      <x:c r="L22" s="62" t="str">
        <x:v>S14</x:v>
      </x:c>
    </x:row>
    <x:row r="23" ht="58" customHeight="1">
      <x:c r="A23" s="62" t="str">
        <x:v>KR-M019</x:v>
      </x:c>
      <x:c r="B23" s="62" t="str">
        <x:v>한국</x:v>
      </x:c>
      <x:c r="C23" s="62" t="str">
        <x:v>안철수</x:v>
      </x:c>
      <x:c r="D23" s="62" t="str">
        <x:v>오픈베이스</x:v>
      </x:c>
      <x:c r="E23" s="70" t="str">
        <x:v>049480</x:v>
      </x:c>
      <x:c r="F23" s="62" t="str">
        <x:v>2012-11</x:v>
      </x:c>
      <x:c r="G23" s="62" t="str">
        <x:v>시장 풍문상 안철수 테마</x:v>
      </x:c>
      <x:c r="H23" s="62" t="str">
        <x:v>11월 들어 관련주군 19.09~57.78% 급락</x:v>
      </x:c>
      <x:c r="I23" s="62" t="str">
        <x:v>없음</x:v>
      </x:c>
      <x:c r="J23" s="62" t="str">
        <x:v>강한 밈</x:v>
      </x:c>
      <x:c r="K23" s="62" t="str">
        <x:v>B</x:v>
      </x:c>
      <x:c r="L23" s="62" t="str">
        <x:v>S14</x:v>
      </x:c>
    </x:row>
    <x:row r="24" ht="58" customHeight="1">
      <x:c r="A24" s="62" t="str">
        <x:v>KR-M020</x:v>
      </x:c>
      <x:c r="B24" s="62" t="str">
        <x:v>한국</x:v>
      </x:c>
      <x:c r="C24" s="62" t="str">
        <x:v>조국</x:v>
      </x:c>
      <x:c r="D24" s="62" t="str">
        <x:v>화천기계</x:v>
      </x:c>
      <x:c r="E24" s="70" t="str">
        <x:v>010660</x:v>
      </x:c>
      <x:c r="F24" s="62" t="str">
        <x:v>2019·2024</x:v>
      </x:c>
      <x:c r="G24" s="62" t="str">
        <x:v>과거 감사가 조국과 UC버클리 로스쿨 동문</x:v>
      </x:c>
      <x:c r="H24" s="62" t="str">
        <x:v>투자주의 수준 급등 뒤 총선 후 급락</x:v>
      </x:c>
      <x:c r="I24" s="62" t="str">
        <x:v>없음</x:v>
      </x:c>
      <x:c r="J24" s="62" t="str">
        <x:v>강한 밈</x:v>
      </x:c>
      <x:c r="K24" s="62" t="str">
        <x:v>A</x:v>
      </x:c>
      <x:c r="L24" s="62" t="str">
        <x:v>S18</x:v>
      </x:c>
    </x:row>
    <x:row r="25" ht="58" customHeight="1">
      <x:c r="A25" s="62" t="str">
        <x:v>KR-M021</x:v>
      </x:c>
      <x:c r="B25" s="62" t="str">
        <x:v>한국</x:v>
      </x:c>
      <x:c r="C25" s="62" t="str">
        <x:v>한동훈</x:v>
      </x:c>
      <x:c r="D25" s="62" t="str">
        <x:v>디티앤씨알오</x:v>
      </x:c>
      <x:c r="E25" s="70" t="str">
        <x:v>383930</x:v>
      </x:c>
      <x:c r="F25" s="62" t="str">
        <x:v>2023-11</x:v>
      </x:c>
      <x:c r="G25" s="62" t="str">
        <x:v>사외이사와 동갑·서울대 법대 동문</x:v>
      </x:c>
      <x:c r="H25" s="62" t="str">
        <x:v>11월 중 120% 급등</x:v>
      </x:c>
      <x:c r="I25" s="62" t="str">
        <x:v>없음</x:v>
      </x:c>
      <x:c r="J25" s="62" t="str">
        <x:v>강한 밈</x:v>
      </x:c>
      <x:c r="K25" s="62" t="str">
        <x:v>A</x:v>
      </x:c>
      <x:c r="L25" s="62" t="str">
        <x:v>S17</x:v>
      </x:c>
    </x:row>
    <x:row r="26" ht="58" customHeight="1">
      <x:c r="A26" s="62" t="str">
        <x:v>KR-M022</x:v>
      </x:c>
      <x:c r="B26" s="62" t="str">
        <x:v>한국</x:v>
      </x:c>
      <x:c r="C26" s="62" t="str">
        <x:v>한동훈</x:v>
      </x:c>
      <x:c r="D26" s="62" t="str">
        <x:v>체시스</x:v>
      </x:c>
      <x:c r="E26" s="70" t="str">
        <x:v>033250</x:v>
      </x:c>
      <x:c r="F26" s="62" t="str">
        <x:v>2023-11</x:v>
      </x:c>
      <x:c r="G26" s="62" t="str">
        <x:v>임원 학연 등 인맥 서사</x:v>
      </x:c>
      <x:c r="H26" s="62" t="str">
        <x:v>디티앤씨알오와 함께 연일 급등</x:v>
      </x:c>
      <x:c r="I26" s="62" t="str">
        <x:v>없음</x:v>
      </x:c>
      <x:c r="J26" s="62" t="str">
        <x:v>강한 밈</x:v>
      </x:c>
      <x:c r="K26" s="62" t="str">
        <x:v>B</x:v>
      </x:c>
      <x:c r="L26" s="62" t="str">
        <x:v>S17</x:v>
      </x:c>
    </x:row>
    <x:row r="27" ht="58" customHeight="1">
      <x:c r="A27" s="62" t="str">
        <x:v>KR-M023</x:v>
      </x:c>
      <x:c r="B27" s="62" t="str">
        <x:v>한국</x:v>
      </x:c>
      <x:c r="C27" s="62" t="str">
        <x:v>한동훈·이정재</x:v>
      </x:c>
      <x:c r="D27" s="62" t="str">
        <x:v>대상홀딩스우</x:v>
      </x:c>
      <x:c r="E27" s="70" t="str">
        <x:v>084695</x:v>
      </x:c>
      <x:c r="F27" s="62" t="str">
        <x:v>2023-11-27</x:v>
      </x:c>
      <x:c r="G27" s="62" t="str">
        <x:v>이정재 연인 임세령이 대상그룹 부회장이라는 연결</x:v>
      </x:c>
      <x:c r="H27" s="62" t="str">
        <x:v>7거래일 연속 상한가</x:v>
      </x:c>
      <x:c r="I27" s="62" t="str">
        <x:v>없음</x:v>
      </x:c>
      <x:c r="J27" s="62" t="str">
        <x:v>강한 밈</x:v>
      </x:c>
      <x:c r="K27" s="62" t="str">
        <x:v>A</x:v>
      </x:c>
      <x:c r="L27" s="62" t="str">
        <x:v>S15;S16</x:v>
      </x:c>
    </x:row>
    <x:row r="28" ht="58" customHeight="1">
      <x:c r="A28" s="62" t="str">
        <x:v>KR-M024</x:v>
      </x:c>
      <x:c r="B28" s="62" t="str">
        <x:v>한국</x:v>
      </x:c>
      <x:c r="C28" s="62" t="str">
        <x:v>한동훈·이정재</x:v>
      </x:c>
      <x:c r="D28" s="62" t="str">
        <x:v>대상홀딩스</x:v>
      </x:c>
      <x:c r="E28" s="70" t="str">
        <x:v>084690</x:v>
      </x:c>
      <x:c r="F28" s="62" t="str">
        <x:v>2023-11-27</x:v>
      </x:c>
      <x:c r="G28" s="62" t="str">
        <x:v>우선주와 같은 사진 서사</x:v>
      </x:c>
      <x:c r="H28" s="62" t="str">
        <x:v>사진 공개 뒤 동반 급등</x:v>
      </x:c>
      <x:c r="I28" s="62" t="str">
        <x:v>없음</x:v>
      </x:c>
      <x:c r="J28" s="62" t="str">
        <x:v>강한 밈</x:v>
      </x:c>
      <x:c r="K28" s="62" t="str">
        <x:v>A</x:v>
      </x:c>
      <x:c r="L28" s="62" t="str">
        <x:v>S15;S16</x:v>
      </x:c>
    </x:row>
    <x:row r="29" ht="58" customHeight="1">
      <x:c r="A29" s="62" t="str">
        <x:v>KR-M025</x:v>
      </x:c>
      <x:c r="B29" s="62" t="str">
        <x:v>한국</x:v>
      </x:c>
      <x:c r="C29" s="62" t="str">
        <x:v>김문수</x:v>
      </x:c>
      <x:c r="D29" s="62" t="str">
        <x:v>평화홀딩스</x:v>
      </x:c>
      <x:c r="E29" s="70" t="str">
        <x:v>010770</x:v>
      </x:c>
      <x:c r="F29" s="62" t="str">
        <x:v>2025-01~04</x:v>
      </x:c>
      <x:c r="G29" s="62" t="str">
        <x:v>자회사 소재지가 김문수 고향 영천과 같음</x:v>
      </x:c>
      <x:c r="H29" s="62" t="str">
        <x:v>2025년 4월 초까지 293.66%</x:v>
      </x:c>
      <x:c r="I29" s="62" t="str">
        <x:v>없음</x:v>
      </x:c>
      <x:c r="J29" s="62" t="str">
        <x:v>강한 밈</x:v>
      </x:c>
      <x:c r="K29" s="62" t="str">
        <x:v>A</x:v>
      </x:c>
      <x:c r="L29" s="62" t="str">
        <x:v>S19;S20</x:v>
      </x:c>
    </x:row>
    <x:row r="30" ht="58" customHeight="1">
      <x:c r="A30" s="62" t="str">
        <x:v>KR-M026</x:v>
      </x:c>
      <x:c r="B30" s="62" t="str">
        <x:v>한국</x:v>
      </x:c>
      <x:c r="C30" s="62" t="str">
        <x:v>이재명</x:v>
      </x:c>
      <x:c r="D30" s="62" t="str">
        <x:v>형지글로벌</x:v>
      </x:c>
      <x:c r="E30" s="70" t="str">
        <x:v>308100</x:v>
      </x:c>
      <x:c r="F30" s="62" t="str">
        <x:v>2025-01~04</x:v>
      </x:c>
      <x:c r="G30" s="62" t="str">
        <x:v>형지 계열의 과거 정책·인맥 서사 확장</x:v>
      </x:c>
      <x:c r="H30" s="62" t="str">
        <x:v>2025년 4월 초까지 281.61%</x:v>
      </x:c>
      <x:c r="I30" s="62" t="str">
        <x:v>약함</x:v>
      </x:c>
      <x:c r="J30" s="62" t="str">
        <x:v>강한 밈</x:v>
      </x:c>
      <x:c r="K30" s="62" t="str">
        <x:v>B</x:v>
      </x:c>
      <x:c r="L30" s="62" t="str">
        <x:v>S20</x:v>
      </x:c>
    </x:row>
    <x:row r="31" ht="58" customHeight="1">
      <x:c r="A31" s="62" t="str">
        <x:v>KR-M027</x:v>
      </x:c>
      <x:c r="B31" s="62" t="str">
        <x:v>한국</x:v>
      </x:c>
      <x:c r="C31" s="62" t="str">
        <x:v>김동연</x:v>
      </x:c>
      <x:c r="D31" s="62" t="str">
        <x:v>PN풍년</x:v>
      </x:c>
      <x:c r="E31" s="70" t="str">
        <x:v>024940</x:v>
      </x:c>
      <x:c r="F31" s="62" t="str">
        <x:v>2023-09</x:v>
      </x:c>
      <x:c r="G31" s="62" t="str">
        <x:v>과거 감사와 김동연의 학연 서사</x:v>
      </x:c>
      <x:c r="H31" s="62" t="str">
        <x:v>이틀 사이 상한가와 약 10% 추가 급등</x:v>
      </x:c>
      <x:c r="I31" s="62" t="str">
        <x:v>없음</x:v>
      </x:c>
      <x:c r="J31" s="62" t="str">
        <x:v>강한 밈</x:v>
      </x:c>
      <x:c r="K31" s="62" t="str">
        <x:v>B</x:v>
      </x:c>
      <x:c r="L31" s="62" t="str">
        <x:v>S18</x:v>
      </x:c>
    </x:row>
    <x:row r="32" ht="58" customHeight="1">
      <x:c r="A32" s="62" t="str">
        <x:v>KR-C001</x:v>
      </x:c>
      <x:c r="B32" s="62" t="str">
        <x:v>한국</x:v>
      </x:c>
      <x:c r="C32" s="62" t="str">
        <x:v>싸이 강남스타일</x:v>
      </x:c>
      <x:c r="D32" s="62" t="str">
        <x:v>디아이</x:v>
      </x:c>
      <x:c r="E32" s="70" t="str">
        <x:v>003160</x:v>
      </x:c>
      <x:c r="F32" s="62" t="str">
        <x:v>2012-08~10</x:v>
      </x:c>
      <x:c r="G32" s="62" t="str">
        <x:v>싸이 아버지가 회장·대주주</x:v>
      </x:c>
      <x:c r="H32" s="62" t="str">
        <x:v>9월 초 대비 약 50%, 이후 4일 연속 상한가</x:v>
      </x:c>
      <x:c r="I32" s="62" t="str">
        <x:v>없음</x:v>
      </x:c>
      <x:c r="J32" s="62" t="str">
        <x:v>강한 밈</x:v>
      </x:c>
      <x:c r="K32" s="62" t="str">
        <x:v>A</x:v>
      </x:c>
      <x:c r="L32" s="62" t="str">
        <x:v>S31;S32</x:v>
      </x:c>
    </x:row>
    <x:row r="33" ht="58" customHeight="1">
      <x:c r="A33" s="62" t="str">
        <x:v>KR-P023</x:v>
      </x:c>
      <x:c r="B33" s="62" t="str">
        <x:v>한국</x:v>
      </x:c>
      <x:c r="C33" s="62" t="str">
        <x:v>동해 심해 가스전</x:v>
      </x:c>
      <x:c r="D33" s="62" t="str">
        <x:v>한국석유</x:v>
      </x:c>
      <x:c r="E33" s="70" t="str">
        <x:v>004090</x:v>
      </x:c>
      <x:c r="F33" s="62" t="str">
        <x:v>2024-06-03</x:v>
      </x:c>
      <x:c r="G33" s="62" t="str">
        <x:v>회사명·석유 제품 사업을 유전개발에 연결</x:v>
      </x:c>
      <x:c r="H33" s="62" t="str">
        <x:v>발표 당일 상한가; 경제성 없음 뒤 -13.8%</x:v>
      </x:c>
      <x:c r="I33" s="62" t="str">
        <x:v>매우 약함</x:v>
      </x:c>
      <x:c r="J33" s="62" t="str">
        <x:v>강한 밈</x:v>
      </x:c>
      <x:c r="K33" s="62" t="str">
        <x:v>A</x:v>
      </x:c>
      <x:c r="L33" s="62" t="str">
        <x:v>S27;S30</x:v>
      </x:c>
    </x:row>
    <x:row r="34" ht="58" customHeight="1">
      <x:c r="A34" s="62" t="str">
        <x:v>KR-P024</x:v>
      </x:c>
      <x:c r="B34" s="62" t="str">
        <x:v>한국</x:v>
      </x:c>
      <x:c r="C34" s="62" t="str">
        <x:v>동해 심해 가스전</x:v>
      </x:c>
      <x:c r="D34" s="62" t="str">
        <x:v>흥구석유</x:v>
      </x:c>
      <x:c r="E34" s="70" t="str">
        <x:v>024060</x:v>
      </x:c>
      <x:c r="F34" s="62" t="str">
        <x:v>2024-06-03</x:v>
      </x:c>
      <x:c r="G34" s="62" t="str">
        <x:v>석유 유통업을 유전개발 수혜로 연결</x:v>
      </x:c>
      <x:c r="H34" s="62" t="str">
        <x:v>발표 당일 상한가; 경제성 없음 뒤 -9.08%</x:v>
      </x:c>
      <x:c r="I34" s="62" t="str">
        <x:v>매우 약함</x:v>
      </x:c>
      <x:c r="J34" s="62" t="str">
        <x:v>강한 밈</x:v>
      </x:c>
      <x:c r="K34" s="62" t="str">
        <x:v>A</x:v>
      </x:c>
      <x:c r="L34" s="62" t="str">
        <x:v>S27;S30</x:v>
      </x:c>
    </x:row>
    <x:row r="35" ht="58" customHeight="1">
      <x:c r="A35" s="62" t="str">
        <x:v>KR-P027</x:v>
      </x:c>
      <x:c r="B35" s="62" t="str">
        <x:v>한국</x:v>
      </x:c>
      <x:c r="C35" s="62" t="str">
        <x:v>동해 심해 가스전</x:v>
      </x:c>
      <x:c r="D35" s="62" t="str">
        <x:v>대성에너지</x:v>
      </x:c>
      <x:c r="E35" s="70" t="str">
        <x:v>117580</x:v>
      </x:c>
      <x:c r="F35" s="62" t="str">
        <x:v>2024-06-03</x:v>
      </x:c>
      <x:c r="G35" s="62" t="str">
        <x:v>도시가스 사업을 가스전 수혜로 연결</x:v>
      </x:c>
      <x:c r="H35" s="62" t="str">
        <x:v>발표 당일 상한가</x:v>
      </x:c>
      <x:c r="I35" s="62" t="str">
        <x:v>매우 약함</x:v>
      </x:c>
      <x:c r="J35" s="62" t="str">
        <x:v>강한 밈</x:v>
      </x:c>
      <x:c r="K35" s="62" t="str">
        <x:v>B</x:v>
      </x:c>
      <x:c r="L35" s="62" t="str">
        <x:v>S27</x:v>
      </x:c>
    </x:row>
    <x:row r="36" ht="58" customHeight="1">
      <x:c r="A36" s="62" t="str">
        <x:v>KR-P028</x:v>
      </x:c>
      <x:c r="B36" s="62" t="str">
        <x:v>한국</x:v>
      </x:c>
      <x:c r="C36" s="62" t="str">
        <x:v>동해 심해 가스전</x:v>
      </x:c>
      <x:c r="D36" s="62" t="str">
        <x:v>중앙에너비스</x:v>
      </x:c>
      <x:c r="E36" s="70" t="str">
        <x:v>000440</x:v>
      </x:c>
      <x:c r="F36" s="62" t="str">
        <x:v>2024-06-03</x:v>
      </x:c>
      <x:c r="G36" s="62" t="str">
        <x:v>석유 유통업을 유전개발 수혜로 연결</x:v>
      </x:c>
      <x:c r="H36" s="62" t="str">
        <x:v>발표 당일 상한가</x:v>
      </x:c>
      <x:c r="I36" s="62" t="str">
        <x:v>매우 약함</x:v>
      </x:c>
      <x:c r="J36" s="62" t="str">
        <x:v>강한 밈</x:v>
      </x:c>
      <x:c r="K36" s="62" t="str">
        <x:v>B</x:v>
      </x:c>
      <x:c r="L36" s="62" t="str">
        <x:v>S27</x:v>
      </x:c>
    </x:row>
    <x:row r="37" ht="58" customHeight="1">
      <x:c r="A37" s="62" t="str">
        <x:v>KR-C003</x:v>
      </x:c>
      <x:c r="B37" s="62" t="str">
        <x:v>한국</x:v>
      </x:c>
      <x:c r="C37" s="62" t="str">
        <x:v>오징어게임</x:v>
      </x:c>
      <x:c r="D37" s="62" t="str">
        <x:v>쇼박스</x:v>
      </x:c>
      <x:c r="E37" s="70" t="str">
        <x:v>086980</x:v>
      </x:c>
      <x:c r="F37" s="62" t="str">
        <x:v>2021-09</x:v>
      </x:c>
      <x:c r="G37" s="62" t="str">
        <x:v>전신이 제작사에 과거 투자한 이력</x:v>
      </x:c>
      <x:c r="H37" s="62" t="str">
        <x:v>흥행 뉴스 뒤 급등</x:v>
      </x:c>
      <x:c r="I37" s="62" t="str">
        <x:v>매우 약함</x:v>
      </x:c>
      <x:c r="J37" s="62" t="str">
        <x:v>강한 밈</x:v>
      </x:c>
      <x:c r="K37" s="62" t="str">
        <x:v>B</x:v>
      </x:c>
      <x:c r="L37" s="62" t="str">
        <x:v>S34</x:v>
      </x:c>
    </x:row>
    <x:row r="38" ht="58" customHeight="1">
      <x:c r="A38" s="62" t="str">
        <x:v>US-M001</x:v>
      </x:c>
      <x:c r="B38" s="62" t="str">
        <x:v>미국</x:v>
      </x:c>
      <x:c r="C38" s="62" t="str">
        <x:v>Reddit/WallStreetBets</x:v>
      </x:c>
      <x:c r="D38" s="62" t="str">
        <x:v>GameStop</x:v>
      </x:c>
      <x:c r="E38" s="62" t="str">
        <x:v>GME</x:v>
      </x:c>
      <x:c r="F38" s="62" t="str">
        <x:v>2021-01</x:v>
      </x:c>
      <x:c r="G38" s="62" t="str">
        <x:v>커뮤니티의 반복 매수·보유 밈</x:v>
      </x:c>
      <x:c r="H38" s="62" t="str">
        <x:v>1월 8일~28일 장중 고점 약 2,700%</x:v>
      </x:c>
      <x:c r="I38" s="62" t="str">
        <x:v>약한 전환 기대</x:v>
      </x:c>
      <x:c r="J38" s="62" t="str">
        <x:v>강한 밈</x:v>
      </x:c>
      <x:c r="K38" s="62" t="str">
        <x:v>A</x:v>
      </x:c>
      <x:c r="L38" s="62" t="str">
        <x:v>S36;S37</x:v>
      </x:c>
    </x:row>
    <x:row r="39" ht="58" customHeight="1">
      <x:c r="A39" s="62" t="str">
        <x:v>US-M002</x:v>
      </x:c>
      <x:c r="B39" s="62" t="str">
        <x:v>미국</x:v>
      </x:c>
      <x:c r="C39" s="62" t="str">
        <x:v>Reddit/WallStreetBets</x:v>
      </x:c>
      <x:c r="D39" s="62" t="str">
        <x:v>AMC Entertainment</x:v>
      </x:c>
      <x:c r="E39" s="62" t="str">
        <x:v>AMC</x:v>
      </x:c>
      <x:c r="F39" s="62" t="str">
        <x:v>2021-01~06</x:v>
      </x:c>
      <x:c r="G39" s="62" t="str">
        <x:v>부도 우려 영화관을 살리자는 커뮤니티 서사</x:v>
      </x:c>
      <x:c r="H39" s="62" t="str">
        <x:v>2021년 짧은 기간 약 2,300%</x:v>
      </x:c>
      <x:c r="I39" s="62" t="str">
        <x:v>약함</x:v>
      </x:c>
      <x:c r="J39" s="62" t="str">
        <x:v>강한 밈</x:v>
      </x:c>
      <x:c r="K39" s="62" t="str">
        <x:v>A</x:v>
      </x:c>
      <x:c r="L39" s="62" t="str">
        <x:v>S37</x:v>
      </x:c>
    </x:row>
    <x:row r="40" ht="58" customHeight="1">
      <x:c r="A40" s="62" t="str">
        <x:v>US-M003</x:v>
      </x:c>
      <x:c r="B40" s="62" t="str">
        <x:v>미국</x:v>
      </x:c>
      <x:c r="C40" s="62" t="str">
        <x:v>Meme-stock basket</x:v>
      </x:c>
      <x:c r="D40" s="62" t="str">
        <x:v>Koss</x:v>
      </x:c>
      <x:c r="E40" s="62" t="str">
        <x:v>KOSS</x:v>
      </x:c>
      <x:c r="F40" s="62" t="str">
        <x:v>2021·2024</x:v>
      </x:c>
      <x:c r="G40" s="62" t="str">
        <x:v>저유동성·공매도 관심 종목으로 묶임</x:v>
      </x:c>
      <x:c r="H40" s="62" t="str">
        <x:v>2024 재점화 당일 37%</x:v>
      </x:c>
      <x:c r="I40" s="62" t="str">
        <x:v>없음</x:v>
      </x:c>
      <x:c r="J40" s="62" t="str">
        <x:v>강한 밈</x:v>
      </x:c>
      <x:c r="K40" s="62" t="str">
        <x:v>A</x:v>
      </x:c>
      <x:c r="L40" s="62" t="str">
        <x:v>S37</x:v>
      </x:c>
    </x:row>
    <x:row r="41" ht="58" customHeight="1">
      <x:c r="A41" s="62" t="str">
        <x:v>US-M004</x:v>
      </x:c>
      <x:c r="B41" s="62" t="str">
        <x:v>미국</x:v>
      </x:c>
      <x:c r="C41" s="62" t="str">
        <x:v>Meme-stock basket</x:v>
      </x:c>
      <x:c r="D41" s="62" t="str">
        <x:v>BlackBerry</x:v>
      </x:c>
      <x:c r="E41" s="62" t="str">
        <x:v>BB</x:v>
      </x:c>
      <x:c r="F41" s="62" t="str">
        <x:v>2021·2024</x:v>
      </x:c>
      <x:c r="G41" s="62" t="str">
        <x:v>과거 영광·저가주·공매도 서사</x:v>
      </x:c>
      <x:c r="H41" s="62" t="str">
        <x:v>2024 재점화 당일 7%</x:v>
      </x:c>
      <x:c r="I41" s="62" t="str">
        <x:v>약함</x:v>
      </x:c>
      <x:c r="J41" s="62" t="str">
        <x:v>강한 밈</x:v>
      </x:c>
      <x:c r="K41" s="62" t="str">
        <x:v>B</x:v>
      </x:c>
      <x:c r="L41" s="62" t="str">
        <x:v>S37</x:v>
      </x:c>
    </x:row>
    <x:row r="42" ht="58" customHeight="1">
      <x:c r="A42" s="62" t="str">
        <x:v>US-M005</x:v>
      </x:c>
      <x:c r="B42" s="62" t="str">
        <x:v>미국</x:v>
      </x:c>
      <x:c r="C42" s="62" t="str">
        <x:v>Meme-stock basket</x:v>
      </x:c>
      <x:c r="D42" s="62" t="str">
        <x:v>Nokia</x:v>
      </x:c>
      <x:c r="E42" s="62" t="str">
        <x:v>NOK</x:v>
      </x:c>
      <x:c r="F42" s="62" t="str">
        <x:v>2021-01</x:v>
      </x:c>
      <x:c r="G42" s="62" t="str">
        <x:v>낮은 가격·공매도·향수 브랜드 서사</x:v>
      </x:c>
      <x:c r="H42" s="62" t="str">
        <x:v>극단 변동성으로 매수 제한 종목에 포함</x:v>
      </x:c>
      <x:c r="I42" s="62" t="str">
        <x:v>약함</x:v>
      </x:c>
      <x:c r="J42" s="62" t="str">
        <x:v>강한 밈</x:v>
      </x:c>
      <x:c r="K42" s="62" t="str">
        <x:v>B</x:v>
      </x:c>
      <x:c r="L42" s="62" t="str">
        <x:v>S36</x:v>
      </x:c>
    </x:row>
    <x:row r="43" ht="58" customHeight="1">
      <x:c r="A43" s="62" t="str">
        <x:v>US-M007</x:v>
      </x:c>
      <x:c r="B43" s="62" t="str">
        <x:v>미국</x:v>
      </x:c>
      <x:c r="C43" s="62" t="str">
        <x:v>Meme-stock basket</x:v>
      </x:c>
      <x:c r="D43" s="62" t="str">
        <x:v>Express</x:v>
      </x:c>
      <x:c r="E43" s="62" t="str">
        <x:v>EXPR</x:v>
      </x:c>
      <x:c r="F43" s="62" t="str">
        <x:v>2021-01</x:v>
      </x:c>
      <x:c r="G43" s="62" t="str">
        <x:v>저가·공매도 소매주 서사</x:v>
      </x:c>
      <x:c r="H43" s="62" t="str">
        <x:v>극단 변동성으로 매수 제한 종목에 포함</x:v>
      </x:c>
      <x:c r="I43" s="62" t="str">
        <x:v>없음</x:v>
      </x:c>
      <x:c r="J43" s="62" t="str">
        <x:v>강한 밈</x:v>
      </x:c>
      <x:c r="K43" s="62" t="str">
        <x:v>C</x:v>
      </x:c>
      <x:c r="L43" s="62" t="str">
        <x:v>S36</x:v>
      </x:c>
    </x:row>
    <x:row r="44" ht="58" customHeight="1">
      <x:c r="A44" s="62" t="str">
        <x:v>US-M008</x:v>
      </x:c>
      <x:c r="B44" s="62" t="str">
        <x:v>미국</x:v>
      </x:c>
      <x:c r="C44" s="62" t="str">
        <x:v>Meme-stock basket</x:v>
      </x:c>
      <x:c r="D44" s="62" t="str">
        <x:v>Naked Brand Group(당시)</x:v>
      </x:c>
      <x:c r="E44" s="62" t="str">
        <x:v>NAKD</x:v>
      </x:c>
      <x:c r="F44" s="62" t="str">
        <x:v>2021-01</x:v>
      </x:c>
      <x:c r="G44" s="62" t="str">
        <x:v>동전주·숏스퀴즈 서사</x:v>
      </x:c>
      <x:c r="H44" s="62" t="str">
        <x:v>극단 변동성으로 매수 제한 종목에 포함</x:v>
      </x:c>
      <x:c r="I44" s="62" t="str">
        <x:v>없음</x:v>
      </x:c>
      <x:c r="J44" s="62" t="str">
        <x:v>강한 밈</x:v>
      </x:c>
      <x:c r="K44" s="62" t="str">
        <x:v>C</x:v>
      </x:c>
      <x:c r="L44" s="62" t="str">
        <x:v>S36</x:v>
      </x:c>
    </x:row>
    <x:row r="45" ht="58" customHeight="1">
      <x:c r="A45" s="62" t="str">
        <x:v>US-M009</x:v>
      </x:c>
      <x:c r="B45" s="62" t="str">
        <x:v>미국</x:v>
      </x:c>
      <x:c r="C45" s="62" t="str">
        <x:v>Robinhood 개인투자자</x:v>
      </x:c>
      <x:c r="D45" s="62" t="str">
        <x:v>Hertz Global(구주)</x:v>
      </x:c>
      <x:c r="E45" s="62" t="str">
        <x:v>HTZ</x:v>
      </x:c>
      <x:c r="F45" s="62" t="str">
        <x:v>2020-05~06</x:v>
      </x:c>
      <x:c r="G45" s="62" t="str">
        <x:v>싼 파산주 반등 베팅이 앱에서 확산</x:v>
      </x:c>
      <x:c r="H45" s="62" t="str">
        <x:v>0.40달러→6.25달러, 1,400% 이상</x:v>
      </x:c>
      <x:c r="I45" s="62" t="str">
        <x:v>없음</x:v>
      </x:c>
      <x:c r="J45" s="62" t="str">
        <x:v>강한 밈</x:v>
      </x:c>
      <x:c r="K45" s="62" t="str">
        <x:v>A</x:v>
      </x:c>
      <x:c r="L45" s="62" t="str">
        <x:v>S38</x:v>
      </x:c>
    </x:row>
    <x:row r="46" ht="58" customHeight="1">
      <x:c r="A46" s="62" t="str">
        <x:v>US-M010</x:v>
      </x:c>
      <x:c r="B46" s="62" t="str">
        <x:v>미국</x:v>
      </x:c>
      <x:c r="C46" s="62" t="str">
        <x:v>Elon Musk 트윗</x:v>
      </x:c>
      <x:c r="D46" s="62" t="str">
        <x:v>Signal Advance</x:v>
      </x:c>
      <x:c r="E46" s="62" t="str">
        <x:v>SIGL</x:v>
      </x:c>
      <x:c r="F46" s="62" t="str">
        <x:v>2021-01-07</x:v>
      </x:c>
      <x:c r="G46" s="62" t="str">
        <x:v>동명 비상장 메신저 대신 무관 상장사 매수</x:v>
      </x:c>
      <x:c r="H46" s="62" t="str">
        <x:v>수일간 약 3,092%</x:v>
      </x:c>
      <x:c r="I46" s="62" t="str">
        <x:v>없음</x:v>
      </x:c>
      <x:c r="J46" s="62" t="str">
        <x:v>강한 밈</x:v>
      </x:c>
      <x:c r="K46" s="62" t="str">
        <x:v>A</x:v>
      </x:c>
      <x:c r="L46" s="62" t="str">
        <x:v>S41</x:v>
      </x:c>
    </x:row>
    <x:row r="47" ht="58" customHeight="1">
      <x:c r="A47" s="62" t="str">
        <x:v>US-M011</x:v>
      </x:c>
      <x:c r="B47" s="62" t="str">
        <x:v>미국</x:v>
      </x:c>
      <x:c r="C47" s="62" t="str">
        <x:v>Zoom 화상회의</x:v>
      </x:c>
      <x:c r="D47" s="62" t="str">
        <x:v>Zoom Technologies</x:v>
      </x:c>
      <x:c r="E47" s="62" t="str">
        <x:v>ZOOM</x:v>
      </x:c>
      <x:c r="F47" s="62" t="str">
        <x:v>2020-02~03</x:v>
      </x:c>
      <x:c r="G47" s="62" t="str">
        <x:v>ZM 대신 이름·티커가 비슷한 ZOOM 매수</x:v>
      </x:c>
      <x:c r="H47" s="62" t="str">
        <x:v>연초 대비 약 10배; 별도 구간 240%</x:v>
      </x:c>
      <x:c r="I47" s="62" t="str">
        <x:v>없음</x:v>
      </x:c>
      <x:c r="J47" s="62" t="str">
        <x:v>강한 밈</x:v>
      </x:c>
      <x:c r="K47" s="62" t="str">
        <x:v>A</x:v>
      </x:c>
      <x:c r="L47" s="62" t="str">
        <x:v>S39;S40</x:v>
      </x:c>
    </x:row>
    <x:row r="48" ht="58" customHeight="1">
      <x:c r="A48" s="62" t="str">
        <x:v>US-M012</x:v>
      </x:c>
      <x:c r="B48" s="62" t="str">
        <x:v>미국</x:v>
      </x:c>
      <x:c r="C48" s="62" t="str">
        <x:v>Donald Trump</x:v>
      </x:c>
      <x:c r="D48" s="62" t="str">
        <x:v>Trump Media &amp; Technology</x:v>
      </x:c>
      <x:c r="E48" s="62" t="str">
        <x:v>DJT</x:v>
      </x:c>
      <x:c r="F48" s="62" t="str">
        <x:v>2024-03-26</x:v>
      </x:c>
      <x:c r="G48" s="62" t="str">
        <x:v>기업가치보다 트럼프 당선·충성도 프록시</x:v>
      </x:c>
      <x:c r="H48" s="62" t="str">
        <x:v>첫날 장중 59%, 종가 16%</x:v>
      </x:c>
      <x:c r="I48" s="62" t="str">
        <x:v>약함</x:v>
      </x:c>
      <x:c r="J48" s="62" t="str">
        <x:v>강한 밈</x:v>
      </x:c>
      <x:c r="K48" s="62" t="str">
        <x:v>A</x:v>
      </x:c>
      <x:c r="L48" s="62" t="str">
        <x:v>S42;S43</x:v>
      </x:c>
    </x:row>
    <x:row r="49" ht="58" customHeight="1">
      <x:c r="A49" s="62" t="str">
        <x:v>JP-M001</x:v>
      </x:c>
      <x:c r="B49" s="62" t="str">
        <x:v>일본</x:v>
      </x:c>
      <x:c r="C49" s="62" t="str">
        <x:v>Tonpin 트위터</x:v>
      </x:c>
      <x:c r="D49" s="62" t="str">
        <x:v>Nichidai</x:v>
      </x:c>
      <x:c r="E49" s="62" t="str">
        <x:v>6467</x:v>
      </x:c>
      <x:c r="F49" s="62" t="str">
        <x:v>2017-12~2018-03</x:v>
      </x:c>
      <x:c r="G49" s="62" t="str">
        <x:v>5.5만 팔로워가 매매를 추종</x:v>
      </x:c>
      <x:c r="H49" s="62" t="str">
        <x:v>2018년 1분기 6배 이상</x:v>
      </x:c>
      <x:c r="I49" s="62" t="str">
        <x:v>없음</x:v>
      </x:c>
      <x:c r="J49" s="62" t="str">
        <x:v>강한 밈</x:v>
      </x:c>
      <x:c r="K49" s="62" t="str">
        <x:v>A</x:v>
      </x:c>
      <x:c r="L49" s="62" t="str">
        <x:v>S45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f660fff124e400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정책·문화 혼합 사례</x:v>
      </x:c>
    </x:row>
    <x:row r="2" ht="30" customHeight="1">
      <x:c r="A2" s="6" t="str">
        <x:v>사업 접점은 있으나 계약·매출 현실화 전 기대가 가격을 앞선 사례. 대왕고래처럼 ‘순수 밈’과 분리해야 함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KR-P001</x:v>
      </x:c>
      <x:c r="B5" s="62" t="str">
        <x:v>한국</x:v>
      </x:c>
      <x:c r="C5" s="62" t="str">
        <x:v>이재명</x:v>
      </x:c>
      <x:c r="D5" s="62" t="str">
        <x:v>형지I&amp;C</x:v>
      </x:c>
      <x:c r="E5" s="70" t="str">
        <x:v>011080</x:v>
      </x:c>
      <x:c r="F5" s="62" t="str">
        <x:v>2025-03-27</x:v>
      </x:c>
      <x:c r="G5" s="62" t="str">
        <x:v>형지 계열이 교복 정책 수혜주로 재소환</x:v>
      </x:c>
      <x:c r="H5" s="62" t="str">
        <x:v>당일 29.94%</x:v>
      </x:c>
      <x:c r="I5" s="62" t="str">
        <x:v>약함</x:v>
      </x:c>
      <x:c r="J5" s="62" t="str">
        <x:v>혼합-테마 주도</x:v>
      </x:c>
      <x:c r="K5" s="62" t="str">
        <x:v>A</x:v>
      </x:c>
      <x:c r="L5" s="62" t="str">
        <x:v>S07</x:v>
      </x:c>
    </x:row>
    <x:row r="6" ht="58" customHeight="1">
      <x:c r="A6" s="62" t="str">
        <x:v>KR-P002</x:v>
      </x:c>
      <x:c r="B6" s="62" t="str">
        <x:v>한국</x:v>
      </x:c>
      <x:c r="C6" s="62" t="str">
        <x:v>이재명</x:v>
      </x:c>
      <x:c r="D6" s="62" t="str">
        <x:v>형지엘리트</x:v>
      </x:c>
      <x:c r="E6" s="70" t="str">
        <x:v>093240</x:v>
      </x:c>
      <x:c r="F6" s="62" t="str">
        <x:v>2025-03-27</x:v>
      </x:c>
      <x:c r="G6" s="62" t="str">
        <x:v>학생복 사업과 과거 정책 연결</x:v>
      </x:c>
      <x:c r="H6" s="62" t="str">
        <x:v>당일 16.48%</x:v>
      </x:c>
      <x:c r="I6" s="62" t="str">
        <x:v>부분 있음</x:v>
      </x:c>
      <x:c r="J6" s="62" t="str">
        <x:v>혼합-테마 주도</x:v>
      </x:c>
      <x:c r="K6" s="62" t="str">
        <x:v>A</x:v>
      </x:c>
      <x:c r="L6" s="62" t="str">
        <x:v>S07</x:v>
      </x:c>
    </x:row>
    <x:row r="7" ht="58" customHeight="1">
      <x:c r="A7" s="62" t="str">
        <x:v>KR-P003</x:v>
      </x:c>
      <x:c r="B7" s="62" t="str">
        <x:v>한국</x:v>
      </x:c>
      <x:c r="C7" s="62" t="str">
        <x:v>이재명</x:v>
      </x:c>
      <x:c r="D7" s="62" t="str">
        <x:v>이스타코</x:v>
      </x:c>
      <x:c r="E7" s="70" t="str">
        <x:v>015020</x:v>
      </x:c>
      <x:c r="F7" s="62" t="str">
        <x:v>2021·2025</x:v>
      </x:c>
      <x:c r="G7" s="62" t="str">
        <x:v>부동산 사업이라는 포괄적 연결</x:v>
      </x:c>
      <x:c r="H7" s="62" t="str">
        <x:v>정치 뉴스에 반복 급등락</x:v>
      </x:c>
      <x:c r="I7" s="62" t="str">
        <x:v>부분 있음</x:v>
      </x:c>
      <x:c r="J7" s="62" t="str">
        <x:v>혼합-테마 주도</x:v>
      </x:c>
      <x:c r="K7" s="62" t="str">
        <x:v>B</x:v>
      </x:c>
      <x:c r="L7" s="62" t="str">
        <x:v>S07;S17</x:v>
      </x:c>
    </x:row>
    <x:row r="8" ht="58" customHeight="1">
      <x:c r="A8" s="62" t="str">
        <x:v>KR-P004</x:v>
      </x:c>
      <x:c r="B8" s="62" t="str">
        <x:v>한국</x:v>
      </x:c>
      <x:c r="C8" s="62" t="str">
        <x:v>이재명</x:v>
      </x:c>
      <x:c r="D8" s="62" t="str">
        <x:v>일성건설</x:v>
      </x:c>
      <x:c r="E8" s="70" t="str">
        <x:v>013360</x:v>
      </x:c>
      <x:c r="F8" s="62" t="str">
        <x:v>2025-03-27</x:v>
      </x:c>
      <x:c r="G8" s="62" t="str">
        <x:v>건설업을 기본주택 공약에 연결</x:v>
      </x:c>
      <x:c r="H8" s="62" t="str">
        <x:v>당일 2.35%</x:v>
      </x:c>
      <x:c r="I8" s="62" t="str">
        <x:v>부분 있음</x:v>
      </x:c>
      <x:c r="J8" s="62" t="str">
        <x:v>혼합-테마 주도</x:v>
      </x:c>
      <x:c r="K8" s="62" t="str">
        <x:v>B</x:v>
      </x:c>
      <x:c r="L8" s="62" t="str">
        <x:v>S07</x:v>
      </x:c>
    </x:row>
    <x:row r="9" ht="58" customHeight="1">
      <x:c r="A9" s="62" t="str">
        <x:v>KR-P005</x:v>
      </x:c>
      <x:c r="B9" s="62" t="str">
        <x:v>한국</x:v>
      </x:c>
      <x:c r="C9" s="62" t="str">
        <x:v>이명박</x:v>
      </x:c>
      <x:c r="D9" s="62" t="str">
        <x:v>이화공영</x:v>
      </x:c>
      <x:c r="E9" s="70" t="str">
        <x:v>001840</x:v>
      </x:c>
      <x:c r="F9" s="62" t="str">
        <x:v>2007</x:v>
      </x:c>
      <x:c r="G9" s="62" t="str">
        <x:v>중소 건설사를 대규모 토목 수혜주로 묶음</x:v>
      </x:c>
      <x:c r="H9" s="62" t="str">
        <x:v>1,835원→67,400원, 3,673%</x:v>
      </x:c>
      <x:c r="I9" s="62" t="str">
        <x:v>부분 있음</x:v>
      </x:c>
      <x:c r="J9" s="62" t="str">
        <x:v>혼합-테마 주도</x:v>
      </x:c>
      <x:c r="K9" s="62" t="str">
        <x:v>A</x:v>
      </x:c>
      <x:c r="L9" s="62" t="str">
        <x:v>S21;S22</x:v>
      </x:c>
    </x:row>
    <x:row r="10" ht="58" customHeight="1">
      <x:c r="A10" s="62" t="str">
        <x:v>KR-P006</x:v>
      </x:c>
      <x:c r="B10" s="62" t="str">
        <x:v>한국</x:v>
      </x:c>
      <x:c r="C10" s="62" t="str">
        <x:v>이명박</x:v>
      </x:c>
      <x:c r="D10" s="62" t="str">
        <x:v>특수건설</x:v>
      </x:c>
      <x:c r="E10" s="70" t="str">
        <x:v>026150</x:v>
      </x:c>
      <x:c r="F10" s="62" t="str">
        <x:v>2007</x:v>
      </x:c>
      <x:c r="G10" s="62" t="str">
        <x:v>토목·지하공사 업종을 수혜로 연결</x:v>
      </x:c>
      <x:c r="H10" s="62" t="str">
        <x:v>2007년 약 6배</x:v>
      </x:c>
      <x:c r="I10" s="62" t="str">
        <x:v>부분 있음</x:v>
      </x:c>
      <x:c r="J10" s="62" t="str">
        <x:v>혼합-테마 주도</x:v>
      </x:c>
      <x:c r="K10" s="62" t="str">
        <x:v>A</x:v>
      </x:c>
      <x:c r="L10" s="62" t="str">
        <x:v>S21;S22</x:v>
      </x:c>
    </x:row>
    <x:row r="11" ht="58" customHeight="1">
      <x:c r="A11" s="62" t="str">
        <x:v>KR-P007</x:v>
      </x:c>
      <x:c r="B11" s="62" t="str">
        <x:v>한국</x:v>
      </x:c>
      <x:c r="C11" s="62" t="str">
        <x:v>이명박</x:v>
      </x:c>
      <x:c r="D11" s="62" t="str">
        <x:v>삼호개발</x:v>
      </x:c>
      <x:c r="E11" s="70" t="str">
        <x:v>010960</x:v>
      </x:c>
      <x:c r="F11" s="62" t="str">
        <x:v>2007</x:v>
      </x:c>
      <x:c r="G11" s="62" t="str">
        <x:v>토목업종 포괄 연결</x:v>
      </x:c>
      <x:c r="H11" s="62" t="str">
        <x:v>대표 테마주로 급등 뒤 당선 다음날 하한가</x:v>
      </x:c>
      <x:c r="I11" s="62" t="str">
        <x:v>부분 있음</x:v>
      </x:c>
      <x:c r="J11" s="62" t="str">
        <x:v>혼합-테마 주도</x:v>
      </x:c>
      <x:c r="K11" s="62" t="str">
        <x:v>B</x:v>
      </x:c>
      <x:c r="L11" s="62" t="str">
        <x:v>S21</x:v>
      </x:c>
    </x:row>
    <x:row r="12" ht="58" customHeight="1">
      <x:c r="A12" s="62" t="str">
        <x:v>KR-P008</x:v>
      </x:c>
      <x:c r="B12" s="62" t="str">
        <x:v>한국</x:v>
      </x:c>
      <x:c r="C12" s="62" t="str">
        <x:v>이명박</x:v>
      </x:c>
      <x:c r="D12" s="62" t="str">
        <x:v>홈센타홀딩스(당시 홈센타)</x:v>
      </x:c>
      <x:c r="E12" s="70" t="str">
        <x:v>060560</x:v>
      </x:c>
      <x:c r="F12" s="62" t="str">
        <x:v>2007</x:v>
      </x:c>
      <x:c r="G12" s="62" t="str">
        <x:v>건자재·지역 사업 포괄 연결</x:v>
      </x:c>
      <x:c r="H12" s="62" t="str">
        <x:v>대표 테마주로 급등 뒤 급락</x:v>
      </x:c>
      <x:c r="I12" s="62" t="str">
        <x:v>부분 있음</x:v>
      </x:c>
      <x:c r="J12" s="62" t="str">
        <x:v>혼합-테마 주도</x:v>
      </x:c>
      <x:c r="K12" s="62" t="str">
        <x:v>B</x:v>
      </x:c>
      <x:c r="L12" s="62" t="str">
        <x:v>S21;S22</x:v>
      </x:c>
    </x:row>
    <x:row r="13" ht="58" customHeight="1">
      <x:c r="A13" s="62" t="str">
        <x:v>KR-P009</x:v>
      </x:c>
      <x:c r="B13" s="62" t="str">
        <x:v>한국</x:v>
      </x:c>
      <x:c r="C13" s="62" t="str">
        <x:v>이명박</x:v>
      </x:c>
      <x:c r="D13" s="62" t="str">
        <x:v>자연과환경</x:v>
      </x:c>
      <x:c r="E13" s="70" t="str">
        <x:v>043910</x:v>
      </x:c>
      <x:c r="F13" s="62" t="str">
        <x:v>2007</x:v>
      </x:c>
      <x:c r="G13" s="62" t="str">
        <x:v>환경복원 사업을 공약에 연결</x:v>
      </x:c>
      <x:c r="H13" s="62" t="str">
        <x:v>중소형 4대강 테마로 급등</x:v>
      </x:c>
      <x:c r="I13" s="62" t="str">
        <x:v>부분 있음</x:v>
      </x:c>
      <x:c r="J13" s="62" t="str">
        <x:v>혼합-테마 주도</x:v>
      </x:c>
      <x:c r="K13" s="62" t="str">
        <x:v>B</x:v>
      </x:c>
      <x:c r="L13" s="62" t="str">
        <x:v>S22</x:v>
      </x:c>
    </x:row>
    <x:row r="14" ht="58" customHeight="1">
      <x:c r="A14" s="62" t="str">
        <x:v>KR-P010</x:v>
      </x:c>
      <x:c r="B14" s="62" t="str">
        <x:v>한국</x:v>
      </x:c>
      <x:c r="C14" s="62" t="str">
        <x:v>정상회담</x:v>
      </x:c>
      <x:c r="D14" s="62" t="str">
        <x:v>좋은사람들</x:v>
      </x:c>
      <x:c r="E14" s="70" t="str">
        <x:v>033340</x:v>
      </x:c>
      <x:c r="F14" s="62" t="str">
        <x:v>2018-04-18</x:v>
      </x:c>
      <x:c r="G14" s="62" t="str">
        <x:v>개성공단 입주 이력과 재개 기대</x:v>
      </x:c>
      <x:c r="H14" s="62" t="str">
        <x:v>당일 25.95%</x:v>
      </x:c>
      <x:c r="I14" s="62" t="str">
        <x:v>부분 있음</x:v>
      </x:c>
      <x:c r="J14" s="62" t="str">
        <x:v>혼합-테마 주도</x:v>
      </x:c>
      <x:c r="K14" s="62" t="str">
        <x:v>A</x:v>
      </x:c>
      <x:c r="L14" s="62" t="str">
        <x:v>S23;S24</x:v>
      </x:c>
    </x:row>
    <x:row r="15" ht="58" customHeight="1">
      <x:c r="A15" s="62" t="str">
        <x:v>KR-P011</x:v>
      </x:c>
      <x:c r="B15" s="62" t="str">
        <x:v>한국</x:v>
      </x:c>
      <x:c r="C15" s="62" t="str">
        <x:v>정상회담</x:v>
      </x:c>
      <x:c r="D15" s="62" t="str">
        <x:v>대아티아이</x:v>
      </x:c>
      <x:c r="E15" s="70" t="str">
        <x:v>045390</x:v>
      </x:c>
      <x:c r="F15" s="62" t="str">
        <x:v>2018-03~04</x:v>
      </x:c>
      <x:c r="G15" s="62" t="str">
        <x:v>철도 신호제어 사업을 경협에 연결</x:v>
      </x:c>
      <x:c r="H15" s="62" t="str">
        <x:v>3월부터 기사 시점까지 55.8%</x:v>
      </x:c>
      <x:c r="I15" s="62" t="str">
        <x:v>부분 있음</x:v>
      </x:c>
      <x:c r="J15" s="62" t="str">
        <x:v>혼합-테마 주도</x:v>
      </x:c>
      <x:c r="K15" s="62" t="str">
        <x:v>A</x:v>
      </x:c>
      <x:c r="L15" s="62" t="str">
        <x:v>S23;S24</x:v>
      </x:c>
    </x:row>
    <x:row r="16" ht="58" customHeight="1">
      <x:c r="A16" s="62" t="str">
        <x:v>KR-P012</x:v>
      </x:c>
      <x:c r="B16" s="62" t="str">
        <x:v>한국</x:v>
      </x:c>
      <x:c r="C16" s="62" t="str">
        <x:v>정상회담</x:v>
      </x:c>
      <x:c r="D16" s="62" t="str">
        <x:v>대호에이엘</x:v>
      </x:c>
      <x:c r="E16" s="70" t="str">
        <x:v>069460</x:v>
      </x:c>
      <x:c r="F16" s="62" t="str">
        <x:v>2018-03~04</x:v>
      </x:c>
      <x:c r="G16" s="62" t="str">
        <x:v>철도차량 소재를 경협에 연결</x:v>
      </x:c>
      <x:c r="H16" s="62" t="str">
        <x:v>3월부터 기사 시점까지 151.3%</x:v>
      </x:c>
      <x:c r="I16" s="62" t="str">
        <x:v>부분 있음</x:v>
      </x:c>
      <x:c r="J16" s="62" t="str">
        <x:v>혼합-테마 주도</x:v>
      </x:c>
      <x:c r="K16" s="62" t="str">
        <x:v>A</x:v>
      </x:c>
      <x:c r="L16" s="62" t="str">
        <x:v>S23;S24</x:v>
      </x:c>
    </x:row>
    <x:row r="17" ht="58" customHeight="1">
      <x:c r="A17" s="62" t="str">
        <x:v>KR-P013</x:v>
      </x:c>
      <x:c r="B17" s="62" t="str">
        <x:v>한국</x:v>
      </x:c>
      <x:c r="C17" s="62" t="str">
        <x:v>정상회담</x:v>
      </x:c>
      <x:c r="D17" s="62" t="str">
        <x:v>아난티</x:v>
      </x:c>
      <x:c r="E17" s="70" t="str">
        <x:v>025980</x:v>
      </x:c>
      <x:c r="F17" s="62" t="str">
        <x:v>2018</x:v>
      </x:c>
      <x:c r="G17" s="62" t="str">
        <x:v>금강산 리조트 자산 보유</x:v>
      </x:c>
      <x:c r="H17" s="62" t="str">
        <x:v>정상회담 기대 때 반복 급등</x:v>
      </x:c>
      <x:c r="I17" s="62" t="str">
        <x:v>있음</x:v>
      </x:c>
      <x:c r="J17" s="62" t="str">
        <x:v>혼합-테마 주도</x:v>
      </x:c>
      <x:c r="K17" s="62" t="str">
        <x:v>A</x:v>
      </x:c>
      <x:c r="L17" s="62" t="str">
        <x:v>S23;S24</x:v>
      </x:c>
    </x:row>
    <x:row r="18" ht="58" customHeight="1">
      <x:c r="A18" s="62" t="str">
        <x:v>KR-P014</x:v>
      </x:c>
      <x:c r="B18" s="62" t="str">
        <x:v>한국</x:v>
      </x:c>
      <x:c r="C18" s="62" t="str">
        <x:v>정상회담</x:v>
      </x:c>
      <x:c r="D18" s="62" t="str">
        <x:v>신원</x:v>
      </x:c>
      <x:c r="E18" s="70" t="str">
        <x:v>009270</x:v>
      </x:c>
      <x:c r="F18" s="62" t="str">
        <x:v>2018</x:v>
      </x:c>
      <x:c r="G18" s="62" t="str">
        <x:v>개성공단 입주 이력</x:v>
      </x:c>
      <x:c r="H18" s="62" t="str">
        <x:v>남북경협주 동반 급등</x:v>
      </x:c>
      <x:c r="I18" s="62" t="str">
        <x:v>있음</x:v>
      </x:c>
      <x:c r="J18" s="62" t="str">
        <x:v>혼합-테마 주도</x:v>
      </x:c>
      <x:c r="K18" s="62" t="str">
        <x:v>B</x:v>
      </x:c>
      <x:c r="L18" s="62" t="str">
        <x:v>S23</x:v>
      </x:c>
    </x:row>
    <x:row r="19" ht="58" customHeight="1">
      <x:c r="A19" s="62" t="str">
        <x:v>KR-P015</x:v>
      </x:c>
      <x:c r="B19" s="62" t="str">
        <x:v>한국</x:v>
      </x:c>
      <x:c r="C19" s="62" t="str">
        <x:v>가덕도 특별법</x:v>
      </x:c>
      <x:c r="D19" s="62" t="str">
        <x:v>영화금속</x:v>
      </x:c>
      <x:c r="E19" s="70" t="str">
        <x:v>012280</x:v>
      </x:c>
      <x:c r="F19" s="62" t="str">
        <x:v>2020~2021</x:v>
      </x:c>
      <x:c r="G19" s="62" t="str">
        <x:v>가덕도 인근 공장 위치를 수혜로 연결</x:v>
      </x:c>
      <x:c r="H19" s="62" t="str">
        <x:v>법 통과 후 -14.44%로 상승분 반납</x:v>
      </x:c>
      <x:c r="I19" s="62" t="str">
        <x:v>매우 약함</x:v>
      </x:c>
      <x:c r="J19" s="62" t="str">
        <x:v>혼합-테마 주도</x:v>
      </x:c>
      <x:c r="K19" s="62" t="str">
        <x:v>A</x:v>
      </x:c>
      <x:c r="L19" s="62" t="str">
        <x:v>S25</x:v>
      </x:c>
    </x:row>
    <x:row r="20" ht="58" customHeight="1">
      <x:c r="A20" s="62" t="str">
        <x:v>KR-P016</x:v>
      </x:c>
      <x:c r="B20" s="62" t="str">
        <x:v>한국</x:v>
      </x:c>
      <x:c r="C20" s="62" t="str">
        <x:v>가덕도 특별법</x:v>
      </x:c>
      <x:c r="D20" s="62" t="str">
        <x:v>동방선기</x:v>
      </x:c>
      <x:c r="E20" s="70" t="str">
        <x:v>099410</x:v>
      </x:c>
      <x:c r="F20" s="62" t="str">
        <x:v>2020~2021</x:v>
      </x:c>
      <x:c r="G20" s="62" t="str">
        <x:v>가덕도 인근 소재지</x:v>
      </x:c>
      <x:c r="H20" s="62" t="str">
        <x:v>법 통과 후 -15.88%로 상승분 반납</x:v>
      </x:c>
      <x:c r="I20" s="62" t="str">
        <x:v>매우 약함</x:v>
      </x:c>
      <x:c r="J20" s="62" t="str">
        <x:v>혼합-테마 주도</x:v>
      </x:c>
      <x:c r="K20" s="62" t="str">
        <x:v>A</x:v>
      </x:c>
      <x:c r="L20" s="62" t="str">
        <x:v>S25</x:v>
      </x:c>
    </x:row>
    <x:row r="21" ht="58" customHeight="1">
      <x:c r="A21" s="62" t="str">
        <x:v>KR-P017</x:v>
      </x:c>
      <x:c r="B21" s="62" t="str">
        <x:v>한국</x:v>
      </x:c>
      <x:c r="C21" s="62" t="str">
        <x:v>가덕도 특별법</x:v>
      </x:c>
      <x:c r="D21" s="62" t="str">
        <x:v>삼보산업</x:v>
      </x:c>
      <x:c r="E21" s="70" t="str">
        <x:v>009620</x:v>
      </x:c>
      <x:c r="F21" s="62" t="str">
        <x:v>2020~2021</x:v>
      </x:c>
      <x:c r="G21" s="62" t="str">
        <x:v>부산·경남 소재지·물류 기대</x:v>
      </x:c>
      <x:c r="H21" s="62" t="str">
        <x:v>법 통과 후 -16.62%로 상승분 반납</x:v>
      </x:c>
      <x:c r="I21" s="62" t="str">
        <x:v>매우 약함</x:v>
      </x:c>
      <x:c r="J21" s="62" t="str">
        <x:v>혼합-테마 주도</x:v>
      </x:c>
      <x:c r="K21" s="62" t="str">
        <x:v>A</x:v>
      </x:c>
      <x:c r="L21" s="62" t="str">
        <x:v>S25</x:v>
      </x:c>
    </x:row>
    <x:row r="22" ht="58" customHeight="1">
      <x:c r="A22" s="62" t="str">
        <x:v>KR-P018</x:v>
      </x:c>
      <x:c r="B22" s="62" t="str">
        <x:v>한국</x:v>
      </x:c>
      <x:c r="C22" s="62" t="str">
        <x:v>세종 이전</x:v>
      </x:c>
      <x:c r="D22" s="62" t="str">
        <x:v>프럼파스트</x:v>
      </x:c>
      <x:c r="E22" s="70" t="str">
        <x:v>035200</x:v>
      </x:c>
      <x:c r="F22" s="62" t="str">
        <x:v>2025-03</x:v>
      </x:c>
      <x:c r="G22" s="62" t="str">
        <x:v>세종시에 생산공장 보유</x:v>
      </x:c>
      <x:c r="H22" s="62" t="str">
        <x:v>기사 당일 5.36%</x:v>
      </x:c>
      <x:c r="I22" s="62" t="str">
        <x:v>부분 있음</x:v>
      </x:c>
      <x:c r="J22" s="62" t="str">
        <x:v>혼합-테마 주도</x:v>
      </x:c>
      <x:c r="K22" s="62" t="str">
        <x:v>B</x:v>
      </x:c>
      <x:c r="L22" s="62" t="str">
        <x:v>S26</x:v>
      </x:c>
    </x:row>
    <x:row r="23" ht="58" customHeight="1">
      <x:c r="A23" s="62" t="str">
        <x:v>KR-P019</x:v>
      </x:c>
      <x:c r="B23" s="62" t="str">
        <x:v>한국</x:v>
      </x:c>
      <x:c r="C23" s="62" t="str">
        <x:v>세종 이전</x:v>
      </x:c>
      <x:c r="D23" s="62" t="str">
        <x:v>유라테크</x:v>
      </x:c>
      <x:c r="E23" s="70" t="str">
        <x:v>048430</x:v>
      </x:c>
      <x:c r="F23" s="62" t="str">
        <x:v>2025-03</x:v>
      </x:c>
      <x:c r="G23" s="62" t="str">
        <x:v>세종시 인근 사업장·자산 서사</x:v>
      </x:c>
      <x:c r="H23" s="62" t="str">
        <x:v>기사 당일 7.67%</x:v>
      </x:c>
      <x:c r="I23" s="62" t="str">
        <x:v>매우 약함</x:v>
      </x:c>
      <x:c r="J23" s="62" t="str">
        <x:v>혼합-테마 주도</x:v>
      </x:c>
      <x:c r="K23" s="62" t="str">
        <x:v>B</x:v>
      </x:c>
      <x:c r="L23" s="62" t="str">
        <x:v>S26</x:v>
      </x:c>
    </x:row>
    <x:row r="24" ht="58" customHeight="1">
      <x:c r="A24" s="62" t="str">
        <x:v>KR-P021</x:v>
      </x:c>
      <x:c r="B24" s="62" t="str">
        <x:v>한국</x:v>
      </x:c>
      <x:c r="C24" s="62" t="str">
        <x:v>새만금 개발</x:v>
      </x:c>
      <x:c r="D24" s="62" t="str">
        <x:v>페이퍼코리아</x:v>
      </x:c>
      <x:c r="E24" s="70" t="str">
        <x:v>001020</x:v>
      </x:c>
      <x:c r="F24" s="62" t="str">
        <x:v>정책 이벤트 반복</x:v>
      </x:c>
      <x:c r="G24" s="62" t="str">
        <x:v>군산·새만금 인근 부지 가치 서사</x:v>
      </x:c>
      <x:c r="H24" s="62" t="str">
        <x:v>관련 뉴스에서 약 15% 상승 사례</x:v>
      </x:c>
      <x:c r="I24" s="62" t="str">
        <x:v>부분 있음</x:v>
      </x:c>
      <x:c r="J24" s="62" t="str">
        <x:v>혼합-테마 주도</x:v>
      </x:c>
      <x:c r="K24" s="62" t="str">
        <x:v>B</x:v>
      </x:c>
      <x:c r="L24" s="62" t="str">
        <x:v>S26</x:v>
      </x:c>
    </x:row>
    <x:row r="25" ht="58" customHeight="1">
      <x:c r="A25" s="62" t="str">
        <x:v>KR-P022</x:v>
      </x:c>
      <x:c r="B25" s="62" t="str">
        <x:v>한국</x:v>
      </x:c>
      <x:c r="C25" s="62" t="str">
        <x:v>동해 심해 가스전</x:v>
      </x:c>
      <x:c r="D25" s="62" t="str">
        <x:v>한국가스공사</x:v>
      </x:c>
      <x:c r="E25" s="70" t="str">
        <x:v>036460</x:v>
      </x:c>
      <x:c r="F25" s="62" t="str">
        <x:v>2024-06-03</x:v>
      </x:c>
      <x:c r="G25" s="62" t="str">
        <x:v>가스 유통·개발 참여 기대</x:v>
      </x:c>
      <x:c r="H25" s="62" t="str">
        <x:v>발표 뒤 38% 상승</x:v>
      </x:c>
      <x:c r="I25" s="62" t="str">
        <x:v>부분 있음</x:v>
      </x:c>
      <x:c r="J25" s="62" t="str">
        <x:v>혼합-테마 주도</x:v>
      </x:c>
      <x:c r="K25" s="62" t="str">
        <x:v>A</x:v>
      </x:c>
      <x:c r="L25" s="62" t="str">
        <x:v>S27;S28;S30</x:v>
      </x:c>
    </x:row>
    <x:row r="26" ht="58" customHeight="1">
      <x:c r="A26" s="62" t="str">
        <x:v>KR-P025</x:v>
      </x:c>
      <x:c r="B26" s="62" t="str">
        <x:v>한국</x:v>
      </x:c>
      <x:c r="C26" s="62" t="str">
        <x:v>동해 심해 가스전</x:v>
      </x:c>
      <x:c r="D26" s="62" t="str">
        <x:v>동양철관</x:v>
      </x:c>
      <x:c r="E26" s="70" t="str">
        <x:v>008970</x:v>
      </x:c>
      <x:c r="F26" s="62" t="str">
        <x:v>2024-06-03</x:v>
      </x:c>
      <x:c r="G26" s="62" t="str">
        <x:v>가스관용 강관 수요 기대</x:v>
      </x:c>
      <x:c r="H26" s="62" t="str">
        <x:v>2연속 상한가 뒤 3일째 장중 +21.53%</x:v>
      </x:c>
      <x:c r="I26" s="62" t="str">
        <x:v>부분 있음</x:v>
      </x:c>
      <x:c r="J26" s="62" t="str">
        <x:v>혼합-테마 주도</x:v>
      </x:c>
      <x:c r="K26" s="62" t="str">
        <x:v>A</x:v>
      </x:c>
      <x:c r="L26" s="62" t="str">
        <x:v>S27;S29;S30</x:v>
      </x:c>
    </x:row>
    <x:row r="27" ht="58" customHeight="1">
      <x:c r="A27" s="62" t="str">
        <x:v>KR-P026</x:v>
      </x:c>
      <x:c r="B27" s="62" t="str">
        <x:v>한국</x:v>
      </x:c>
      <x:c r="C27" s="62" t="str">
        <x:v>동해 심해 가스전</x:v>
      </x:c>
      <x:c r="D27" s="62" t="str">
        <x:v>화성밸브</x:v>
      </x:c>
      <x:c r="E27" s="70" t="str">
        <x:v>039610</x:v>
      </x:c>
      <x:c r="F27" s="62" t="str">
        <x:v>2024-06-03</x:v>
      </x:c>
      <x:c r="G27" s="62" t="str">
        <x:v>가스 밸브 수요 기대</x:v>
      </x:c>
      <x:c r="H27" s="62" t="str">
        <x:v>발표 당일 상한가</x:v>
      </x:c>
      <x:c r="I27" s="62" t="str">
        <x:v>부분 있음</x:v>
      </x:c>
      <x:c r="J27" s="62" t="str">
        <x:v>혼합-테마 주도</x:v>
      </x:c>
      <x:c r="K27" s="62" t="str">
        <x:v>A</x:v>
      </x:c>
      <x:c r="L27" s="62" t="str">
        <x:v>S27;S30</x:v>
      </x:c>
    </x:row>
    <x:row r="28" ht="58" customHeight="1">
      <x:c r="A28" s="62" t="str">
        <x:v>KR-C002</x:v>
      </x:c>
      <x:c r="B28" s="62" t="str">
        <x:v>한국</x:v>
      </x:c>
      <x:c r="C28" s="62" t="str">
        <x:v>오징어게임</x:v>
      </x:c>
      <x:c r="D28" s="62" t="str">
        <x:v>버킷스튜디오</x:v>
      </x:c>
      <x:c r="E28" s="70" t="str">
        <x:v>066410</x:v>
      </x:c>
      <x:c r="F28" s="62" t="str">
        <x:v>2021-09</x:v>
      </x:c>
      <x:c r="G28" s="62" t="str">
        <x:v>주연 이정재 소속사 지분 15% 보유</x:v>
      </x:c>
      <x:c r="H28" s="62" t="str">
        <x:v>상한가를 거듭</x:v>
      </x:c>
      <x:c r="I28" s="62" t="str">
        <x:v>간접 있음</x:v>
      </x:c>
      <x:c r="J28" s="62" t="str">
        <x:v>혼합-테마 주도</x:v>
      </x:c>
      <x:c r="K28" s="62" t="str">
        <x:v>A</x:v>
      </x:c>
      <x:c r="L28" s="62" t="str">
        <x:v>S33;S34</x:v>
      </x:c>
    </x:row>
    <x:row r="29" ht="58" customHeight="1">
      <x:c r="A29" s="62" t="str">
        <x:v>US-M006</x:v>
      </x:c>
      <x:c r="B29" s="62" t="str">
        <x:v>미국</x:v>
      </x:c>
      <x:c r="C29" s="62" t="str">
        <x:v>Meme-stock basket</x:v>
      </x:c>
      <x:c r="D29" s="62" t="str">
        <x:v>Bed Bath &amp; Beyond</x:v>
      </x:c>
      <x:c r="E29" s="62" t="str">
        <x:v>BBBY</x:v>
      </x:c>
      <x:c r="F29" s="62" t="str">
        <x:v>2021-01</x:v>
      </x:c>
      <x:c r="G29" s="62" t="str">
        <x:v>파산위험 소매주 반전·공매도 서사</x:v>
      </x:c>
      <x:c r="H29" s="62" t="str">
        <x:v>극단 변동성으로 매수 제한 종목에 포함</x:v>
      </x:c>
      <x:c r="I29" s="62" t="str">
        <x:v>약함</x:v>
      </x:c>
      <x:c r="J29" s="62" t="str">
        <x:v>혼합-테마 주도</x:v>
      </x:c>
      <x:c r="K29" s="62" t="str">
        <x:v>B</x:v>
      </x:c>
      <x:c r="L29" s="62" t="str">
        <x:v>S36</x:v>
      </x:c>
    </x:row>
    <x:row r="30" ht="58" customHeight="1">
      <x:c r="A30" s="62" t="str">
        <x:v>US-M013</x:v>
      </x:c>
      <x:c r="B30" s="62" t="str">
        <x:v>미국</x:v>
      </x:c>
      <x:c r="C30" s="62" t="str">
        <x:v>Donald Trump</x:v>
      </x:c>
      <x:c r="D30" s="62" t="str">
        <x:v>Phunware</x:v>
      </x:c>
      <x:c r="E30" s="62" t="str">
        <x:v>PHUN</x:v>
      </x:c>
      <x:c r="F30" s="62" t="str">
        <x:v>2021-10-22</x:v>
      </x:c>
      <x:c r="G30" s="62" t="str">
        <x:v>과거 트럼프 2020 캠페인 앱 제작 이력 재소환</x:v>
      </x:c>
      <x:c r="H30" s="62" t="str">
        <x:v>당일 종가 471%, 장중 1,471%</x:v>
      </x:c>
      <x:c r="I30" s="62" t="str">
        <x:v>부분 있음</x:v>
      </x:c>
      <x:c r="J30" s="62" t="str">
        <x:v>혼합-테마 주도</x:v>
      </x:c>
      <x:c r="K30" s="62" t="str">
        <x:v>A</x:v>
      </x:c>
      <x:c r="L30" s="62" t="str">
        <x:v>S44</x:v>
      </x:c>
    </x:row>
    <x:row r="31" ht="58" customHeight="1">
      <x:c r="A31" s="62" t="str">
        <x:v>US-M014</x:v>
      </x:c>
      <x:c r="B31" s="62" t="str">
        <x:v>미국</x:v>
      </x:c>
      <x:c r="C31" s="62" t="str">
        <x:v>Donald Trump</x:v>
      </x:c>
      <x:c r="D31" s="62" t="str">
        <x:v>Digital World Acquisition(당시)</x:v>
      </x:c>
      <x:c r="E31" s="62" t="str">
        <x:v>DWAC</x:v>
      </x:c>
      <x:c r="F31" s="62" t="str">
        <x:v>2021-10-21~22</x:v>
      </x:c>
      <x:c r="G31" s="62" t="str">
        <x:v>트럼프 미디어 상장 통로·지지층 베팅</x:v>
      </x:c>
      <x:c r="H31" s="62" t="str">
        <x:v>둘째 날 종가 107%; 이틀 800% 이상</x:v>
      </x:c>
      <x:c r="I31" s="62" t="str">
        <x:v>있음</x:v>
      </x:c>
      <x:c r="J31" s="62" t="str">
        <x:v>혼합-테마 주도</x:v>
      </x:c>
      <x:c r="K31" s="62" t="str">
        <x:v>A</x:v>
      </x:c>
      <x:c r="L31" s="62" t="str">
        <x:v>S44</x:v>
      </x:c>
    </x:row>
    <x:row r="32" ht="58" customHeight="1">
      <x:c r="A32" s="62" t="str">
        <x:v>JP-M002</x:v>
      </x:c>
      <x:c r="B32" s="62" t="str">
        <x:v>일본</x:v>
      </x:c>
      <x:c r="C32" s="62" t="str">
        <x:v>Pokémon GO</x:v>
      </x:c>
      <x:c r="D32" s="62" t="str">
        <x:v>Nintendo</x:v>
      </x:c>
      <x:c r="E32" s="62" t="str">
        <x:v>7974</x:v>
      </x:c>
      <x:c r="F32" s="62" t="str">
        <x:v>2016-07</x:v>
      </x:c>
      <x:c r="G32" s="62" t="str">
        <x:v>IP 소유사라는 기대가 실적 기여를 과대평가</x:v>
      </x:c>
      <x:c r="H32" s="62" t="str">
        <x:v>추가 9.5% 상승 후 제한적 영향 공지 뒤 약 18% 급락</x:v>
      </x:c>
      <x:c r="I32" s="62" t="str">
        <x:v>부분 있음</x:v>
      </x:c>
      <x:c r="J32" s="62" t="str">
        <x:v>혼합-테마 주도</x:v>
      </x:c>
      <x:c r="K32" s="62" t="str">
        <x:v>A</x:v>
      </x:c>
      <x:c r="L32" s="62" t="str">
        <x:v>S46;S47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dc48176100d4b1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미국·일본 소수 비교 사례</x:v>
      </x:c>
    </x:row>
    <x:row r="2" ht="30" customHeight="1">
      <x:c r="A2" s="6" t="str">
        <x:v>한국 시장 사례를 해석하기 위한 비교군: 미국 5건·일본 3건 | 집단매수, 착오매수, IP·게임·팬덤 확산 구조 비교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297" t="str">
        <x:v>사례ID</x:v>
      </x:c>
      <x:c r="B4" s="297" t="str">
        <x:v>국가</x:v>
      </x:c>
      <x:c r="C4" s="297" t="str">
        <x:v>테마/인물</x:v>
      </x:c>
      <x:c r="D4" s="297" t="str">
        <x:v>기업</x:v>
      </x:c>
      <x:c r="E4" s="297" t="str">
        <x:v>티커</x:v>
      </x:c>
      <x:c r="F4" s="297" t="str">
        <x:v>이벤트</x:v>
      </x:c>
      <x:c r="G4" s="297" t="str">
        <x:v>연결고리</x:v>
      </x:c>
      <x:c r="H4" s="297" t="str">
        <x:v>가격 반응</x:v>
      </x:c>
      <x:c r="I4" s="297" t="str">
        <x:v>사업 연결</x:v>
      </x:c>
      <x:c r="J4" s="297" t="str">
        <x:v>판정</x:v>
      </x:c>
      <x:c r="K4" s="297" t="str">
        <x:v>신뢰도</x:v>
      </x:c>
      <x:c r="L4" s="297" t="str">
        <x:v>출처ID</x:v>
      </x:c>
    </x:row>
    <x:row r="5" ht="58" customHeight="1">
      <x:c r="A5" s="299" t="str">
        <x:v>US-M001</x:v>
      </x:c>
      <x:c r="B5" s="299" t="str">
        <x:v>미국</x:v>
      </x:c>
      <x:c r="C5" s="299" t="str">
        <x:v>Reddit/WallStreetBets</x:v>
      </x:c>
      <x:c r="D5" s="299" t="str">
        <x:v>GameStop</x:v>
      </x:c>
      <x:c r="E5" s="299" t="str">
        <x:v>GME</x:v>
      </x:c>
      <x:c r="F5" s="299" t="str">
        <x:v>2021-01</x:v>
      </x:c>
      <x:c r="G5" s="299" t="str">
        <x:v>커뮤니티의 반복 매수·보유 밈</x:v>
      </x:c>
      <x:c r="H5" s="299" t="str">
        <x:v>1월 8일~28일 장중 고점 약 2,700%</x:v>
      </x:c>
      <x:c r="I5" s="299" t="str">
        <x:v>약한 전환 기대</x:v>
      </x:c>
      <x:c r="J5" s="299" t="str">
        <x:v>강한 밈</x:v>
      </x:c>
      <x:c r="K5" s="299" t="str">
        <x:v>A</x:v>
      </x:c>
      <x:c r="L5" s="299" t="str">
        <x:v>S36;S37</x:v>
      </x:c>
    </x:row>
    <x:row r="6" ht="58" customHeight="1">
      <x:c r="A6" s="299" t="str">
        <x:v>US-M002</x:v>
      </x:c>
      <x:c r="B6" s="299" t="str">
        <x:v>미국</x:v>
      </x:c>
      <x:c r="C6" s="299" t="str">
        <x:v>Reddit/WallStreetBets</x:v>
      </x:c>
      <x:c r="D6" s="299" t="str">
        <x:v>AMC Entertainment</x:v>
      </x:c>
      <x:c r="E6" s="299" t="str">
        <x:v>AMC</x:v>
      </x:c>
      <x:c r="F6" s="299" t="str">
        <x:v>2021-01~06</x:v>
      </x:c>
      <x:c r="G6" s="299" t="str">
        <x:v>부도 우려 영화관을 살리자는 커뮤니티 서사</x:v>
      </x:c>
      <x:c r="H6" s="299" t="str">
        <x:v>2021년 짧은 기간 약 2,300%</x:v>
      </x:c>
      <x:c r="I6" s="299" t="str">
        <x:v>약함</x:v>
      </x:c>
      <x:c r="J6" s="299" t="str">
        <x:v>강한 밈</x:v>
      </x:c>
      <x:c r="K6" s="299" t="str">
        <x:v>A</x:v>
      </x:c>
      <x:c r="L6" s="299" t="str">
        <x:v>S37</x:v>
      </x:c>
    </x:row>
    <x:row r="7" ht="58" customHeight="1">
      <x:c r="A7" s="299" t="str">
        <x:v>US-M009</x:v>
      </x:c>
      <x:c r="B7" s="299" t="str">
        <x:v>미국</x:v>
      </x:c>
      <x:c r="C7" s="299" t="str">
        <x:v>Robinhood 개인투자자</x:v>
      </x:c>
      <x:c r="D7" s="299" t="str">
        <x:v>Hertz Global(구주)</x:v>
      </x:c>
      <x:c r="E7" s="299" t="str">
        <x:v>HTZ</x:v>
      </x:c>
      <x:c r="F7" s="299" t="str">
        <x:v>2020-05~06</x:v>
      </x:c>
      <x:c r="G7" s="299" t="str">
        <x:v>싼 파산주 반등 베팅이 앱에서 확산</x:v>
      </x:c>
      <x:c r="H7" s="299" t="str">
        <x:v>0.40달러→6.25달러, 1,400% 이상</x:v>
      </x:c>
      <x:c r="I7" s="299" t="str">
        <x:v>없음</x:v>
      </x:c>
      <x:c r="J7" s="299" t="str">
        <x:v>강한 밈</x:v>
      </x:c>
      <x:c r="K7" s="299" t="str">
        <x:v>A</x:v>
      </x:c>
      <x:c r="L7" s="299" t="str">
        <x:v>S38</x:v>
      </x:c>
    </x:row>
    <x:row r="8" ht="58" customHeight="1">
      <x:c r="A8" s="299" t="str">
        <x:v>US-M010</x:v>
      </x:c>
      <x:c r="B8" s="299" t="str">
        <x:v>미국</x:v>
      </x:c>
      <x:c r="C8" s="299" t="str">
        <x:v>Elon Musk 트윗</x:v>
      </x:c>
      <x:c r="D8" s="299" t="str">
        <x:v>Signal Advance</x:v>
      </x:c>
      <x:c r="E8" s="299" t="str">
        <x:v>SIGL</x:v>
      </x:c>
      <x:c r="F8" s="299" t="str">
        <x:v>2021-01-07</x:v>
      </x:c>
      <x:c r="G8" s="299" t="str">
        <x:v>동명 비상장 메신저 대신 무관 상장사 매수</x:v>
      </x:c>
      <x:c r="H8" s="299" t="str">
        <x:v>수일간 약 3,092%</x:v>
      </x:c>
      <x:c r="I8" s="299" t="str">
        <x:v>없음</x:v>
      </x:c>
      <x:c r="J8" s="299" t="str">
        <x:v>강한 밈</x:v>
      </x:c>
      <x:c r="K8" s="299" t="str">
        <x:v>A</x:v>
      </x:c>
      <x:c r="L8" s="299" t="str">
        <x:v>S41</x:v>
      </x:c>
    </x:row>
    <x:row r="9" ht="58" customHeight="1">
      <x:c r="A9" s="299" t="str">
        <x:v>US-M012</x:v>
      </x:c>
      <x:c r="B9" s="299" t="str">
        <x:v>미국</x:v>
      </x:c>
      <x:c r="C9" s="299" t="str">
        <x:v>Donald Trump</x:v>
      </x:c>
      <x:c r="D9" s="299" t="str">
        <x:v>Trump Media &amp; Technology</x:v>
      </x:c>
      <x:c r="E9" s="299" t="str">
        <x:v>DJT</x:v>
      </x:c>
      <x:c r="F9" s="299" t="str">
        <x:v>2024-03-26</x:v>
      </x:c>
      <x:c r="G9" s="299" t="str">
        <x:v>기업가치보다 트럼프 당선·충성도 프록시</x:v>
      </x:c>
      <x:c r="H9" s="299" t="str">
        <x:v>첫날 장중 59%, 종가 16%</x:v>
      </x:c>
      <x:c r="I9" s="299" t="str">
        <x:v>약함</x:v>
      </x:c>
      <x:c r="J9" s="299" t="str">
        <x:v>강한 밈</x:v>
      </x:c>
      <x:c r="K9" s="299" t="str">
        <x:v>A</x:v>
      </x:c>
      <x:c r="L9" s="299" t="str">
        <x:v>S42;S43</x:v>
      </x:c>
    </x:row>
    <x:row r="10" ht="58" customHeight="1">
      <x:c r="A10" s="300" t="str">
        <x:v>JP-M001</x:v>
      </x:c>
      <x:c r="B10" s="300" t="str">
        <x:v>일본</x:v>
      </x:c>
      <x:c r="C10" s="300" t="str">
        <x:v>Tonpin 트위터</x:v>
      </x:c>
      <x:c r="D10" s="300" t="str">
        <x:v>Nichidai</x:v>
      </x:c>
      <x:c r="E10" s="300" t="str">
        <x:v>6467</x:v>
      </x:c>
      <x:c r="F10" s="300" t="str">
        <x:v>2017-12~2018-03</x:v>
      </x:c>
      <x:c r="G10" s="300" t="str">
        <x:v>5.5만 팔로워가 매매를 추종</x:v>
      </x:c>
      <x:c r="H10" s="300" t="str">
        <x:v>2018년 1분기 6배 이상</x:v>
      </x:c>
      <x:c r="I10" s="300" t="str">
        <x:v>없음</x:v>
      </x:c>
      <x:c r="J10" s="300" t="str">
        <x:v>강한 밈</x:v>
      </x:c>
      <x:c r="K10" s="300" t="str">
        <x:v>A</x:v>
      </x:c>
      <x:c r="L10" s="300" t="str">
        <x:v>S45</x:v>
      </x:c>
    </x:row>
    <x:row r="11" ht="58" customHeight="1">
      <x:c r="A11" s="300" t="str">
        <x:v>JP-M002</x:v>
      </x:c>
      <x:c r="B11" s="300" t="str">
        <x:v>일본</x:v>
      </x:c>
      <x:c r="C11" s="300" t="str">
        <x:v>Pokémon GO</x:v>
      </x:c>
      <x:c r="D11" s="300" t="str">
        <x:v>Nintendo</x:v>
      </x:c>
      <x:c r="E11" s="300" t="str">
        <x:v>7974</x:v>
      </x:c>
      <x:c r="F11" s="300" t="str">
        <x:v>2016-07</x:v>
      </x:c>
      <x:c r="G11" s="300" t="str">
        <x:v>IP 소유사라는 기대가 실적 기여를 과대평가</x:v>
      </x:c>
      <x:c r="H11" s="300" t="str">
        <x:v>추가 9.5% 상승 후 제한적 영향 공지 뒤 약 18% 급락</x:v>
      </x:c>
      <x:c r="I11" s="300" t="str">
        <x:v>부분 있음</x:v>
      </x:c>
      <x:c r="J11" s="300" t="str">
        <x:v>혼합-테마 주도</x:v>
      </x:c>
      <x:c r="K11" s="300" t="str">
        <x:v>A</x:v>
      </x:c>
      <x:c r="L11" s="300" t="str">
        <x:v>S46;S47</x:v>
      </x:c>
    </x:row>
    <x:row r="12" ht="58" customHeight="1">
      <x:c r="A12" s="300" t="str">
        <x:v>JP-SNS003</x:v>
      </x:c>
      <x:c r="B12" s="300" t="str">
        <x:v>일본</x:v>
      </x:c>
      <x:c r="C12" s="300" t="str">
        <x:v>Hello Kitty·Sanrio 캐릭터 리바이벌</x:v>
      </x:c>
      <x:c r="D12" s="300" t="str">
        <x:v>Sanrio</x:v>
      </x:c>
      <x:c r="E12" s="300" t="str">
        <x:v>8136</x:v>
      </x:c>
      <x:c r="F12" s="300" t="str">
        <x:v>2024</x:v>
      </x:c>
      <x:c r="G12" s="300" t="str">
        <x:v>TikTok·Instagram 팬덤과 캐릭터 다변화·협업 확산</x:v>
      </x:c>
      <x:c r="H12" s="300" t="str">
        <x:v>2024년 주가 150% 이상 상승</x:v>
      </x:c>
      <x:c r="I12" s="300" t="str">
        <x:v>캐릭터 IP·굿즈·라이선스 직접 사업</x:v>
      </x:c>
      <x:c r="J12" s="300" t="str">
        <x:v>바이럴-사업직결</x:v>
      </x:c>
      <x:c r="K12" s="300" t="str">
        <x:v>A</x:v>
      </x:c>
      <x:c r="L12" s="300" t="str">
        <x:v>S76</x:v>
      </x:c>
    </x:row>
    <x:row r="13" ht="58" customHeight="1">
      <x:c r="A13"/>
      <x:c r="B13"/>
      <x:c r="C13"/>
      <x:c r="D13"/>
      <x:c r="E13"/>
      <x:c r="F13"/>
      <x:c r="G13"/>
      <x:c r="H13"/>
      <x:c r="I13"/>
      <x:c r="J13"/>
      <x:c r="K13"/>
      <x:c r="L13"/>
    </x:row>
    <x:row r="14" ht="58" customHeight="1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 ht="58" customHeight="1">
      <x:c r="A15"/>
      <x:c r="B15"/>
      <x:c r="C15"/>
      <x:c r="D15"/>
      <x:c r="E15"/>
      <x:c r="F15"/>
      <x:c r="G15"/>
      <x:c r="H15"/>
      <x:c r="I15"/>
      <x:c r="J15"/>
      <x:c r="K15"/>
      <x:c r="L15"/>
    </x:row>
    <x:row r="16" ht="58" customHeight="1">
      <x:c r="A16"/>
      <x:c r="B16"/>
      <x:c r="C16"/>
      <x:c r="D16"/>
      <x:c r="E16"/>
      <x:c r="F16"/>
      <x:c r="G16"/>
      <x:c r="H16"/>
      <x:c r="I16"/>
      <x:c r="J16"/>
      <x:c r="K16"/>
      <x:c r="L16"/>
    </x:row>
    <x:row r="17" ht="58" customHeight="1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 ht="58" customHeight="1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 ht="58" customHeight="1">
      <x:c r="A19"/>
      <x:c r="B19"/>
      <x:c r="C19"/>
      <x:c r="D19"/>
      <x:c r="E19"/>
      <x:c r="F19"/>
      <x:c r="G19"/>
      <x:c r="H19"/>
      <x:c r="I19"/>
      <x:c r="J19"/>
      <x:c r="K19"/>
      <x:c r="L19"/>
    </x:row>
    <x:row r="20" ht="58" customHeight="1">
      <x:c r="A20"/>
      <x:c r="B20"/>
      <x:c r="C20"/>
      <x:c r="D20"/>
      <x:c r="E20"/>
      <x:c r="F20"/>
      <x:c r="G20"/>
      <x:c r="H20"/>
      <x:c r="I20"/>
      <x:c r="J20"/>
      <x:c r="K20"/>
      <x:c r="L20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e2f153a1666489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후보·제외 사례</x:v>
      </x:c>
    </x:row>
    <x:row r="2" ht="30" customHeight="1">
      <x:c r="A2" s="6" t="str">
        <x:v>근거 보강이 필요한 후보와 직접 사업 성과 때문에 순수 밈에서 제외한 비교군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KR-P020</x:v>
      </x:c>
      <x:c r="B5" s="62" t="str">
        <x:v>한국</x:v>
      </x:c>
      <x:c r="C5" s="62" t="str">
        <x:v>세종 이전</x:v>
      </x:c>
      <x:c r="D5" s="62" t="str">
        <x:v>대주산업</x:v>
      </x:c>
      <x:c r="E5" s="70" t="str">
        <x:v>003310</x:v>
      </x:c>
      <x:c r="F5" s="62" t="str">
        <x:v>정치 이벤트 반복</x:v>
      </x:c>
      <x:c r="G5" s="62" t="str">
        <x:v>세종 인근 토지 보유 서사</x:v>
      </x:c>
      <x:c r="H5" s="62" t="str">
        <x:v>정책 뉴스 때 반복 급등</x:v>
      </x:c>
      <x:c r="I5" s="62" t="str">
        <x:v>매우 약함</x:v>
      </x:c>
      <x:c r="J5" s="62" t="str">
        <x:v>후보-추가검증</x:v>
      </x:c>
      <x:c r="K5" s="62" t="str">
        <x:v>C</x:v>
      </x:c>
      <x:c r="L5" s="62" t="str">
        <x:v>S26</x:v>
      </x:c>
    </x:row>
    <x:row r="6" ht="58" customHeight="1">
      <x:c r="A6" s="62" t="str">
        <x:v>KR-X001</x:v>
      </x:c>
      <x:c r="B6" s="62" t="str">
        <x:v>한국</x:v>
      </x:c>
      <x:c r="C6" s="62" t="str">
        <x:v>기생충</x:v>
      </x:c>
      <x:c r="D6" s="62" t="str">
        <x:v>바른손이앤에이</x:v>
      </x:c>
      <x:c r="E6" s="70" t="str">
        <x:v>035620</x:v>
      </x:c>
      <x:c r="F6" s="62" t="str">
        <x:v>2020-02-10</x:v>
      </x:c>
      <x:c r="G6" s="62" t="str">
        <x:v>영화 제작사</x:v>
      </x:c>
      <x:c r="H6" s="62" t="str">
        <x:v>수상 당일 급등</x:v>
      </x:c>
      <x:c r="I6" s="62" t="str">
        <x:v>있음</x:v>
      </x:c>
      <x:c r="J6" s="62" t="str">
        <x:v>제외-직접 사업</x:v>
      </x:c>
      <x:c r="K6" s="62" t="str">
        <x:v>A</x:v>
      </x:c>
      <x:c r="L6" s="62" t="str">
        <x:v>S35</x:v>
      </x:c>
    </x:row>
    <x:row r="7" ht="58" customHeight="1">
      <x:c r="A7" s="62" t="str">
        <x:v>KR-X002</x:v>
      </x:c>
      <x:c r="B7" s="62" t="str">
        <x:v>한국</x:v>
      </x:c>
      <x:c r="C7" s="62" t="str">
        <x:v>기생충</x:v>
      </x:c>
      <x:c r="D7" s="62" t="str">
        <x:v>바른손</x:v>
      </x:c>
      <x:c r="E7" s="70" t="str">
        <x:v>018700</x:v>
      </x:c>
      <x:c r="F7" s="62" t="str">
        <x:v>2020-02-10</x:v>
      </x:c>
      <x:c r="G7" s="62" t="str">
        <x:v>제작사 바른손이앤에이 지분 32.4% 보유</x:v>
      </x:c>
      <x:c r="H7" s="62" t="str">
        <x:v>당일 상한가</x:v>
      </x:c>
      <x:c r="I7" s="62" t="str">
        <x:v>있음</x:v>
      </x:c>
      <x:c r="J7" s="62" t="str">
        <x:v>제외-직접 사업</x:v>
      </x:c>
      <x:c r="K7" s="62" t="str">
        <x:v>A</x:v>
      </x:c>
      <x:c r="L7" s="62" t="str">
        <x:v>S35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d99aa3a9c5e4c2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0" hidden="0" customWidth="1"/>
    <x:col min="4" max="4" width="14" hidden="0" customWidth="1"/>
    <x:col min="5" max="5" width="64" hidden="0" customWidth="1"/>
    <x:col min="6" max="6" width="18" hidden="0" customWidth="1"/>
  </x:cols>
  <x:sheetData>
    <x:row r="1" ht="32" customHeight="1">
      <x:c r="A1" s="3" t="str">
        <x:v>출처 목록 (v5 · 광범위 탐색 코퍼스)</x:v>
      </x:c>
      <x:c r="B1"/>
      <x:c r="C1"/>
      <x:c r="D1"/>
      <x:c r="E1"/>
      <x:c r="F1"/>
    </x:row>
    <x:row r="2" ht="30" customHeight="1">
      <x:c r="A2" s="6" t="str">
        <x:v>기존 98개 + 비정치·생활·문화·기술 사례 출처 20개 = 118개</x:v>
      </x:c>
      <x:c r="B2" s="6"/>
      <x:c r="C2" s="6"/>
      <x:c r="D2" s="6"/>
      <x:c r="E2" s="6"/>
      <x:c r="F2" s="6"/>
    </x:row>
    <x:row r="4" ht="36" customHeight="1">
      <x:c r="A4" s="61" t="str">
        <x:v>출처ID</x:v>
      </x:c>
      <x:c r="B4" s="61" t="str">
        <x:v>발행처</x:v>
      </x:c>
      <x:c r="C4" s="61" t="str">
        <x:v>제목/활용 내용</x:v>
      </x:c>
      <x:c r="D4" s="61" t="str">
        <x:v>발행일</x:v>
      </x:c>
      <x:c r="E4" s="61" t="str">
        <x:v>URL</x:v>
      </x:c>
      <x:c r="F4" s="61" t="str">
        <x:v>유형</x:v>
      </x:c>
    </x:row>
    <x:row r="5" ht="48" customHeight="1">
      <x:c r="A5" s="62" t="str">
        <x:v>S01</x:v>
      </x:c>
      <x:c r="B5" s="62" t="str">
        <x:v>금융위원회</x:v>
      </x:c>
      <x:c r="C5" s="62" t="str">
        <x:v>정치테마주 풍문 유포 불공정거래 조치 및 투자자 유의</x:v>
      </x:c>
      <x:c r="D5" s="62" t="str">
        <x:v>2017</x:v>
      </x:c>
      <x:c r="E5" s="75" t="str">
        <x:v>https://www.fsc.go.kr/po010106/72675</x:v>
      </x:c>
      <x:c r="F5" s="62" t="str">
        <x:v>규제기관</x:v>
      </x:c>
    </x:row>
    <x:row r="6" ht="48" customHeight="1">
      <x:c r="A6" s="62" t="str">
        <x:v>S02</x:v>
      </x:c>
      <x:c r="B6" s="62" t="str">
        <x:v>이데일리</x:v>
      </x:c>
      <x:c r="C6" s="62" t="str">
        <x:v>금감원 분류 정치테마주 60개: 절반 적자·최고 900% 급등</x:v>
      </x:c>
      <x:c r="D6" s="62" t="str">
        <x:v>2025-05-01</x:v>
      </x:c>
      <x:c r="E6" s="75" t="str">
        <x:v>https://www.edaily.co.kr/News/Read?mediaCodeNo=257&amp;newsId=03168486642164656</x:v>
      </x:c>
      <x:c r="F6" s="62" t="str">
        <x:v>금감원 발표 인용</x:v>
      </x:c>
    </x:row>
    <x:row r="7" ht="48" customHeight="1">
      <x:c r="A7" s="62" t="str">
        <x:v>S03</x:v>
      </x:c>
      <x:c r="B7" s="62" t="str">
        <x:v>이데일리</x:v>
      </x:c>
      <x:c r="C7" s="62" t="str">
        <x:v>2025 조기대선 정치테마주 수익률·회전율</x:v>
      </x:c>
      <x:c r="D7" s="62" t="str">
        <x:v>2025-04-06</x:v>
      </x:c>
      <x:c r="E7" s="75" t="str">
        <x:v>https://www.edaily.co.kr/News/Read?mediaCodeNo=257&amp;newsId=01384166642133496</x:v>
      </x:c>
      <x:c r="F7" s="62" t="str">
        <x:v>거래소 수치 인용</x:v>
      </x:c>
    </x:row>
    <x:row r="8" ht="48" customHeight="1">
      <x:c r="A8" s="62" t="str">
        <x:v>S04</x:v>
      </x:c>
      <x:c r="B8" s="62" t="str">
        <x:v>동아일보</x:v>
      </x:c>
      <x:c r="C8" s="62" t="str">
        <x:v>NE능률: 파평 윤씨 이유와 회사의 무관 공시</x:v>
      </x:c>
      <x:c r="D8" s="62" t="str">
        <x:v>2021-06-29</x:v>
      </x:c>
      <x:c r="E8" s="75" t="str">
        <x:v>https://www.donga.com/news/Economy/article/all/20210629/107705633/1</x:v>
      </x:c>
      <x:c r="F8" s="62" t="str">
        <x:v>회사 해명 포함</x:v>
      </x:c>
    </x:row>
    <x:row r="9" ht="48" customHeight="1">
      <x:c r="A9" s="62" t="str">
        <x:v>S05</x:v>
      </x:c>
      <x:c r="B9" s="62" t="str">
        <x:v>뉴스웨이</x:v>
      </x:c>
      <x:c r="C9" s="62" t="str">
        <x:v>NE능률 150% 급등 및 회사 무관 해명</x:v>
      </x:c>
      <x:c r="D9" s="62" t="str">
        <x:v>2021-03-16</x:v>
      </x:c>
      <x:c r="E9" s="75" t="str">
        <x:v>https://www.newsway.co.kr/news/view?ud=2021031607441400760</x:v>
      </x:c>
      <x:c r="F9" s="62" t="str">
        <x:v>가격 반응</x:v>
      </x:c>
    </x:row>
    <x:row r="10" ht="48" customHeight="1">
      <x:c r="A10" s="62" t="str">
        <x:v>S06</x:v>
      </x:c>
      <x:c r="B10" s="62" t="str">
        <x:v>뉴시스</x:v>
      </x:c>
      <x:c r="C10" s="62" t="str">
        <x:v>윤석열 테마주 서연·서연탑메탈·NE능률·덕성 동반 강세</x:v>
      </x:c>
      <x:c r="D10" s="62" t="str">
        <x:v>2021-11-06</x:v>
      </x:c>
      <x:c r="E10" s="75" t="str">
        <x:v>https://www.newsis.com/view/NISX20211105_0001641242</x:v>
      </x:c>
      <x:c r="F10" s="62" t="str">
        <x:v>그룹 사례</x:v>
      </x:c>
    </x:row>
    <x:row r="11" ht="48" customHeight="1">
      <x:c r="A11" s="62" t="str">
        <x:v>S07</x:v>
      </x:c>
      <x:c r="B11" s="62" t="str">
        <x:v>대한경제</x:v>
      </x:c>
      <x:c r="C11" s="62" t="str">
        <x:v>이재명 테마주 연결 사유와 일중 등락</x:v>
      </x:c>
      <x:c r="D11" s="62" t="str">
        <x:v>2025-03-27</x:v>
      </x:c>
      <x:c r="E11" s="75" t="str">
        <x:v>https://www.dnews.co.kr/uhtml/view.jsp?idxno=202503271619299530061</x:v>
      </x:c>
      <x:c r="F11" s="62" t="str">
        <x:v>그룹 사례</x:v>
      </x:c>
    </x:row>
    <x:row r="12" ht="48" customHeight="1">
      <x:c r="A12" s="62" t="str">
        <x:v>S08</x:v>
      </x:c>
      <x:c r="B12" s="62" t="str">
        <x:v>한국경제</x:v>
      </x:c>
      <x:c r="C12" s="62" t="str">
        <x:v>오리엔트정공 급등과 오리엔탈정공 이름 혼동</x:v>
      </x:c>
      <x:c r="D12" s="62" t="str">
        <x:v>2024-11-26</x:v>
      </x:c>
      <x:c r="E12" s="75" t="str">
        <x:v>https://www.hankyung.com/article/202411265384i</x:v>
      </x:c>
      <x:c r="F12" s="62" t="str">
        <x:v>착오 매수 사례</x:v>
      </x:c>
    </x:row>
    <x:row r="13" ht="48" customHeight="1">
      <x:c r="A13" s="62" t="str">
        <x:v>S09</x:v>
      </x:c>
      <x:c r="B13" s="62" t="str">
        <x:v>뉴스핌</x:v>
      </x:c>
      <x:c r="C13" s="62" t="str">
        <x:v>이재명 테마주 동반 급락과 종목군</x:v>
      </x:c>
      <x:c r="D13" s="62" t="str">
        <x:v>2025-05-02</x:v>
      </x:c>
      <x:c r="E13" s="75" t="str">
        <x:v>https://www.newspim.com/news/view/20250502000148</x:v>
      </x:c>
      <x:c r="F13" s="62" t="str">
        <x:v>반전 반응</x:v>
      </x:c>
    </x:row>
    <x:row r="14" ht="48" customHeight="1">
      <x:c r="A14" s="62" t="str">
        <x:v>S10</x:v>
      </x:c>
      <x:c r="B14" s="62" t="str">
        <x:v>서울경제</x:v>
      </x:c>
      <x:c r="C14" s="62" t="str">
        <x:v>2016 정치테마주 14종목·실적과 무관한 상승</x:v>
      </x:c>
      <x:c r="D14" s="62" t="str">
        <x:v>2016-12-19</x:v>
      </x:c>
      <x:c r="E14" s="75" t="str">
        <x:v>https://www.sedaily.com/NewsView/1L5CH932I1</x:v>
      </x:c>
      <x:c r="F14" s="62" t="str">
        <x:v>그룹 목록</x:v>
      </x:c>
    </x:row>
    <x:row r="15" ht="48" customHeight="1">
      <x:c r="A15" s="62" t="str">
        <x:v>S11</x:v>
      </x:c>
      <x:c r="B15" s="62" t="str">
        <x:v>서울신문</x:v>
      </x:c>
      <x:c r="C15" s="62" t="str">
        <x:v>총선 뒤 문재인·반기문 테마주 가격 반응</x:v>
      </x:c>
      <x:c r="D15" s="62" t="str">
        <x:v>2016-05-15</x:v>
      </x:c>
      <x:c r="E15" s="75" t="str">
        <x:v>https://www.seoul.co.kr/news/economy/2016/05/15/20160515800019</x:v>
      </x:c>
      <x:c r="F15" s="62" t="str">
        <x:v>가격 반응</x:v>
      </x:c>
    </x:row>
    <x:row r="16" ht="48" customHeight="1">
      <x:c r="A16" s="62" t="str">
        <x:v>S12</x:v>
      </x:c>
      <x:c r="B16" s="62" t="str">
        <x:v>이투데이</x:v>
      </x:c>
      <x:c r="C16" s="62" t="str">
        <x:v>2016년 고려산업·우리들 계열 연간 급등률</x:v>
      </x:c>
      <x:c r="D16" s="62" t="str">
        <x:v>2016-12-30</x:v>
      </x:c>
      <x:c r="E16" s="75" t="str">
        <x:v>https://www.etoday.co.kr/news/view/1434676</x:v>
      </x:c>
      <x:c r="F16" s="62" t="str">
        <x:v>연간 수익률</x:v>
      </x:c>
    </x:row>
    <x:row r="17" ht="48" customHeight="1">
      <x:c r="A17" s="62" t="str">
        <x:v>S13</x:v>
      </x:c>
      <x:c r="B17" s="62" t="str">
        <x:v>한국경제</x:v>
      </x:c>
      <x:c r="C17" s="62" t="str">
        <x:v>써니전자: 전 대표 안랩 경력만으로 안철수 테마</x:v>
      </x:c>
      <x:c r="D17" s="62" t="str">
        <x:v>2020-01-07</x:v>
      </x:c>
      <x:c r="E17" s="75" t="str">
        <x:v>https://www.hankyung.com/article/202001078101i</x:v>
      </x:c>
      <x:c r="F17" s="62" t="str">
        <x:v>연결 사유</x:v>
      </x:c>
    </x:row>
    <x:row r="18" ht="48" customHeight="1">
      <x:c r="A18" s="62" t="str">
        <x:v>S14</x:v>
      </x:c>
      <x:c r="B18" s="62" t="str">
        <x:v>한국경제</x:v>
      </x:c>
      <x:c r="C18" s="62" t="str">
        <x:v>안철수 사퇴 뒤 안랩·미래산업·써니전자·오픈베이스 급락</x:v>
      </x:c>
      <x:c r="D18" s="62" t="str">
        <x:v>2012-11-25</x:v>
      </x:c>
      <x:c r="E18" s="75" t="str">
        <x:v>https://www.hankyung.com/article/2012112570961</x:v>
      </x:c>
      <x:c r="F18" s="62" t="str">
        <x:v>테마 소멸</x:v>
      </x:c>
    </x:row>
    <x:row r="19" ht="48" customHeight="1">
      <x:c r="A19" s="62" t="str">
        <x:v>S15</x:v>
      </x:c>
      <x:c r="B19" s="62" t="str">
        <x:v>한국경제</x:v>
      </x:c>
      <x:c r="C19" s="62" t="str">
        <x:v>한동훈·이정재 사진 뒤 대상홀딩스우 7연속 상한가</x:v>
      </x:c>
      <x:c r="D19" s="62" t="str">
        <x:v>2023-12-06</x:v>
      </x:c>
      <x:c r="E19" s="75" t="str">
        <x:v>https://plus.hankyung.com/apps/newsinside.view?aid=2023120672275&amp;category=&amp;sns=y</x:v>
      </x:c>
      <x:c r="F19" s="62" t="str">
        <x:v>사진 밈</x:v>
      </x:c>
    </x:row>
    <x:row r="20" ht="48" customHeight="1">
      <x:c r="A20" s="62" t="str">
        <x:v>S16</x:v>
      </x:c>
      <x:c r="B20" s="62" t="str">
        <x:v>이데일리</x:v>
      </x:c>
      <x:c r="C20" s="62" t="str">
        <x:v>대상홀딩스우 사진 한 장·우선주 과열 분석</x:v>
      </x:c>
      <x:c r="D20" s="62" t="str">
        <x:v>2023-12-07</x:v>
      </x:c>
      <x:c r="E20" s="75" t="str">
        <x:v>https://www.edaily.co.kr/News/Read?mediaCodeNo=257&amp;newsId=01252966635834256</x:v>
      </x:c>
      <x:c r="F20" s="62" t="str">
        <x:v>펀더멘털 무관</x:v>
      </x:c>
    </x:row>
    <x:row r="21" ht="48" customHeight="1">
      <x:c r="A21" s="62" t="str">
        <x:v>S17</x:v>
      </x:c>
      <x:c r="B21" s="62" t="str">
        <x:v>이데일리</x:v>
      </x:c>
      <x:c r="C21" s="62" t="str">
        <x:v>디티앤씨알오: 동문 이유·별도 호재 없이 120% 급등</x:v>
      </x:c>
      <x:c r="D21" s="62" t="str">
        <x:v>2023-11-27</x:v>
      </x:c>
      <x:c r="E21" s="75" t="str">
        <x:v>https://www.edaily.co.kr/news/read?newsId=01125046635809984</x:v>
      </x:c>
      <x:c r="F21" s="62" t="str">
        <x:v>가격·무재료</x:v>
      </x:c>
    </x:row>
    <x:row r="22" ht="48" customHeight="1">
      <x:c r="A22" s="62" t="str">
        <x:v>S18</x:v>
      </x:c>
      <x:c r="B22" s="62" t="str">
        <x:v>한국경제</x:v>
      </x:c>
      <x:c r="C22" s="62" t="str">
        <x:v>화천기계 조국 테마와 조국 측 무관 입장</x:v>
      </x:c>
      <x:c r="D22" s="62" t="str">
        <x:v>2024-03-27</x:v>
      </x:c>
      <x:c r="E22" s="75" t="str">
        <x:v>https://www.hankyung.com/article/2024032790396</x:v>
      </x:c>
      <x:c r="F22" s="62" t="str">
        <x:v>당사자 반박</x:v>
      </x:c>
    </x:row>
    <x:row r="23" ht="48" customHeight="1">
      <x:c r="A23" s="62" t="str">
        <x:v>S19</x:v>
      </x:c>
      <x:c r="B23" s="62" t="str">
        <x:v>이데일리TV</x:v>
      </x:c>
      <x:c r="C23" s="62" t="str">
        <x:v>김문수 테마 평화홀딩스·본질가치 무관 정치테마 정의</x:v>
      </x:c>
      <x:c r="D23" s="62" t="str">
        <x:v>2025-03-10</x:v>
      </x:c>
      <x:c r="E23" s="75" t="str">
        <x:v>https://tvm.edaily.co.kr/News/NewsRead?Kind=&amp;NewsId=01804006642101680</x:v>
      </x:c>
      <x:c r="F23" s="62" t="str">
        <x:v>연결 사유</x:v>
      </x:c>
    </x:row>
    <x:row r="24" ht="48" customHeight="1">
      <x:c r="A24" s="62" t="str">
        <x:v>S20</x:v>
      </x:c>
      <x:c r="B24" s="62" t="str">
        <x:v>이데일리</x:v>
      </x:c>
      <x:c r="C24" s="62" t="str">
        <x:v>평화홀딩스·형지글로벌 2025년 수익률</x:v>
      </x:c>
      <x:c r="D24" s="62" t="str">
        <x:v>2025-04-06</x:v>
      </x:c>
      <x:c r="E24" s="75" t="str">
        <x:v>https://www.edaily.co.kr/News/Read?mediaCodeNo=257&amp;newsId=01384166642133496</x:v>
      </x:c>
      <x:c r="F24" s="62" t="str">
        <x:v>가격 반응</x:v>
      </x:c>
    </x:row>
    <x:row r="25" ht="48" customHeight="1">
      <x:c r="A25" s="62" t="str">
        <x:v>S21</x:v>
      </x:c>
      <x:c r="B25" s="62" t="str">
        <x:v>연합뉴스</x:v>
      </x:c>
      <x:c r="C25" s="62" t="str">
        <x:v>2007 대운하/4대강 테마와 이화공영 3,673%</x:v>
      </x:c>
      <x:c r="D25" s="62" t="str">
        <x:v>2012-01-14</x:v>
      </x:c>
      <x:c r="E25" s="75" t="str">
        <x:v>https://www.yna.co.kr/view/AKR20120114051600008</x:v>
      </x:c>
      <x:c r="F25" s="62" t="str">
        <x:v>역사 사례</x:v>
      </x:c>
    </x:row>
    <x:row r="26" ht="48" customHeight="1">
      <x:c r="A26" s="62" t="str">
        <x:v>S22</x:v>
      </x:c>
      <x:c r="B26" s="62" t="str">
        <x:v>아시아경제</x:v>
      </x:c>
      <x:c r="C26" s="62" t="str">
        <x:v>4대강 테마: 이화공영 26배·특수건설 6배 후 급락</x:v>
      </x:c>
      <x:c r="D26" s="62" t="str">
        <x:v>2023-01-11</x:v>
      </x:c>
      <x:c r="E26" s="75" t="str">
        <x:v>https://www.asiae.co.kr/article/2023011117055069313</x:v>
      </x:c>
      <x:c r="F26" s="62" t="str">
        <x:v>가격 반전</x:v>
      </x:c>
    </x:row>
    <x:row r="27" ht="48" customHeight="1">
      <x:c r="A27" s="62" t="str">
        <x:v>S23</x:v>
      </x:c>
      <x:c r="B27" s="62" t="str">
        <x:v>한국경제</x:v>
      </x:c>
      <x:c r="C27" s="62" t="str">
        <x:v>남북경협 기대에 좋은사람들·남해화학·철도주 급등</x:v>
      </x:c>
      <x:c r="D27" s="62" t="str">
        <x:v>2018-04-18</x:v>
      </x:c>
      <x:c r="E27" s="75" t="str">
        <x:v>https://www.hankyung.com/article/2018041836011</x:v>
      </x:c>
      <x:c r="F27" s="62" t="str">
        <x:v>정책 기대</x:v>
      </x:c>
    </x:row>
    <x:row r="28" ht="48" customHeight="1">
      <x:c r="A28" s="62" t="str">
        <x:v>S24</x:v>
      </x:c>
      <x:c r="B28" s="62" t="str">
        <x:v>아주경제</x:v>
      </x:c>
      <x:c r="C28" s="62" t="str">
        <x:v>남북경협주 대호에이엘·대아티아이 누적 상승률</x:v>
      </x:c>
      <x:c r="D28" s="62" t="str">
        <x:v>2018-04-17</x:v>
      </x:c>
      <x:c r="E28" s="75" t="str">
        <x:v>https://www.ajunews.com/view/20180417160416981</x:v>
      </x:c>
      <x:c r="F28" s="62" t="str">
        <x:v>가격 반응</x:v>
      </x:c>
    </x:row>
    <x:row r="29" ht="48" customHeight="1">
      <x:c r="A29" s="62" t="str">
        <x:v>S25</x:v>
      </x:c>
      <x:c r="B29" s="62" t="str">
        <x:v>뉴스토마토</x:v>
      </x:c>
      <x:c r="C29" s="62" t="str">
        <x:v>가덕도 신공항 정책테마 급등 뒤 법 통과 후 급락</x:v>
      </x:c>
      <x:c r="D29" s="62" t="str">
        <x:v>2021-03-15</x:v>
      </x:c>
      <x:c r="E29" s="75" t="str">
        <x:v>https://www.newstomato.com/ReadNews.aspx?no=1030362</x:v>
      </x:c>
      <x:c r="F29" s="62" t="str">
        <x:v>정책 소멸</x:v>
      </x:c>
    </x:row>
    <x:row r="30" ht="48" customHeight="1">
      <x:c r="A30" s="62" t="str">
        <x:v>S26</x:v>
      </x:c>
      <x:c r="B30" s="62" t="str">
        <x:v>증권플러스</x:v>
      </x:c>
      <x:c r="C30" s="62" t="str">
        <x:v>세종시 테마 유라테크·프럼파스트 상승과 연결 사유</x:v>
      </x:c>
      <x:c r="D30" s="62" t="str">
        <x:v>2025-03-20</x:v>
      </x:c>
      <x:c r="E30" s="75" t="str">
        <x:v>https://robonews.stockplus.com/articles/809122</x:v>
      </x:c>
      <x:c r="F30" s="62" t="str">
        <x:v>정책 테마</x:v>
      </x:c>
    </x:row>
    <x:row r="31" ht="48" customHeight="1">
      <x:c r="A31" s="62" t="str">
        <x:v>S27</x:v>
      </x:c>
      <x:c r="B31" s="62" t="str">
        <x:v>한겨레</x:v>
      </x:c>
      <x:c r="C31" s="62" t="str">
        <x:v>동해 유전 발표 당일 대왕고래 관련주 무더기 상한가</x:v>
      </x:c>
      <x:c r="D31" s="62" t="str">
        <x:v>2024-06-03</x:v>
      </x:c>
      <x:c r="E31" s="75" t="str">
        <x:v>https://www.hani.co.kr/arti/economy/finance/1143176.html</x:v>
      </x:c>
      <x:c r="F31" s="62" t="str">
        <x:v>정책 발표</x:v>
      </x:c>
    </x:row>
    <x:row r="32" ht="48" customHeight="1">
      <x:c r="A32" s="62" t="str">
        <x:v>S28</x:v>
      </x:c>
      <x:c r="B32" s="62" t="str">
        <x:v>대신증권</x:v>
      </x:c>
      <x:c r="C32" s="62" t="str">
        <x:v>한국가스공사 6월 3일 발표 뒤 38% 상승·가치 추정은 시추 이후</x:v>
      </x:c>
      <x:c r="D32" s="62" t="str">
        <x:v>2024-06-10</x:v>
      </x:c>
      <x:c r="E32" s="75" t="str">
        <x:v>https://money2.daishin.com/PDF/Out/intranet_data/product/researchcenter/report/2024/06/50232_kogas_200610.pdf</x:v>
      </x:c>
      <x:c r="F32" s="62" t="str">
        <x:v>증권사 리서치</x:v>
      </x:c>
    </x:row>
    <x:row r="33" ht="48" customHeight="1">
      <x:c r="A33" s="62" t="str">
        <x:v>S29</x:v>
      </x:c>
      <x:c r="B33" s="62" t="str">
        <x:v>파이낸셜뉴스</x:v>
      </x:c>
      <x:c r="C33" s="62" t="str">
        <x:v>동양철관 2연속 상한가 뒤 3일째 +21.53%</x:v>
      </x:c>
      <x:c r="D33" s="62" t="str">
        <x:v>2024-06-05</x:v>
      </x:c>
      <x:c r="E33" s="75" t="str">
        <x:v>https://www.fnnews.com/news/202406051020300287</x:v>
      </x:c>
      <x:c r="F33" s="62" t="str">
        <x:v>가격 반응</x:v>
      </x:c>
    </x:row>
    <x:row r="34" ht="48" customHeight="1">
      <x:c r="A34" s="62" t="str">
        <x:v>S30</x:v>
      </x:c>
      <x:c r="B34" s="62" t="str">
        <x:v>한국경제</x:v>
      </x:c>
      <x:c r="C34" s="62" t="str">
        <x:v>대왕고래 경제성 없음 결론 뒤 관련주 급락</x:v>
      </x:c>
      <x:c r="D34" s="62" t="str">
        <x:v>2025-02-07</x:v>
      </x:c>
      <x:c r="E34" s="75" t="str">
        <x:v>https://www.hankyung.com/article/2025020711271</x:v>
      </x:c>
      <x:c r="F34" s="62" t="str">
        <x:v>테마 소멸</x:v>
      </x:c>
    </x:row>
    <x:row r="35" ht="48" customHeight="1">
      <x:c r="A35" s="62" t="str">
        <x:v>S31</x:v>
      </x:c>
      <x:c r="B35" s="62" t="str">
        <x:v>한국경제</x:v>
      </x:c>
      <x:c r="C35" s="62" t="str">
        <x:v>싸이 강남스타일 열풍에 디아이 급등·싸이 지분 없음</x:v>
      </x:c>
      <x:c r="D35" s="62" t="str">
        <x:v>2012-08-14</x:v>
      </x:c>
      <x:c r="E35" s="75" t="str">
        <x:v>https://www.hankyung.com/article/2012081486426</x:v>
      </x:c>
      <x:c r="F35" s="62" t="str">
        <x:v>문화 밈</x:v>
      </x:c>
    </x:row>
    <x:row r="36" ht="48" customHeight="1">
      <x:c r="A36" s="62" t="str">
        <x:v>S32</x:v>
      </x:c>
      <x:c r="B36" s="62" t="str">
        <x:v>머니투데이</x:v>
      </x:c>
      <x:c r="C36" s="62" t="str">
        <x:v>디아이 강남스타일 발표 뒤 시총 급증·4일 연속 상한가</x:v>
      </x:c>
      <x:c r="D36" s="62" t="str">
        <x:v>2012-10-10</x:v>
      </x:c>
      <x:c r="E36" s="75" t="str">
        <x:v>https://news.mt.co.kr/mtview.php?no=2012101015501655096</x:v>
      </x:c>
      <x:c r="F36" s="62" t="str">
        <x:v>가격 반응</x:v>
      </x:c>
    </x:row>
    <x:row r="37" ht="48" customHeight="1">
      <x:c r="A37" s="62" t="str">
        <x:v>S33</x:v>
      </x:c>
      <x:c r="B37" s="62" t="str">
        <x:v>더벨</x:v>
      </x:c>
      <x:c r="C37" s="62" t="str">
        <x:v>오징어게임 흥행 뒤 버킷스튜디오 연속 상한가·간접 지분</x:v>
      </x:c>
      <x:c r="D37" s="62" t="str">
        <x:v>2021-09-28</x:v>
      </x:c>
      <x:c r="E37" s="75" t="str">
        <x:v>https://www.thebell.co.kr/front/newsview.asp?code=00&amp;key=202109281446039240101152</x:v>
      </x:c>
      <x:c r="F37" s="62" t="str">
        <x:v>간접 연결</x:v>
      </x:c>
    </x:row>
    <x:row r="38" ht="48" customHeight="1">
      <x:c r="A38" s="62" t="str">
        <x:v>S34</x:v>
      </x:c>
      <x:c r="B38" s="62" t="str">
        <x:v>대한경제</x:v>
      </x:c>
      <x:c r="C38" s="62" t="str">
        <x:v>오징어게임 흥행에 버킷스튜디오·쇼박스 급등</x:v>
      </x:c>
      <x:c r="D38" s="62" t="str">
        <x:v>2021-09-23</x:v>
      </x:c>
      <x:c r="E38" s="75" t="str">
        <x:v>https://www.dnews.co.kr/m_home/view.jsp?idxno=202109231456413960423</x:v>
      </x:c>
      <x:c r="F38" s="62" t="str">
        <x:v>콘텐츠 테마</x:v>
      </x:c>
    </x:row>
    <x:row r="39" ht="48" customHeight="1">
      <x:c r="A39" s="62" t="str">
        <x:v>S35</x:v>
      </x:c>
      <x:c r="B39" s="62" t="str">
        <x:v>이데일리</x:v>
      </x:c>
      <x:c r="C39" s="62" t="str">
        <x:v>기생충 아카데미 4관왕 뒤 바른손 상한가</x:v>
      </x:c>
      <x:c r="D39" s="62" t="str">
        <x:v>2020-02-10</x:v>
      </x:c>
      <x:c r="E39" s="75" t="str">
        <x:v>https://www.edaily.co.kr/News/Read?mediaCodeNo=257&amp;newsId=04142646625669208</x:v>
      </x:c>
      <x:c r="F39" s="62" t="str">
        <x:v>직접 제작 연결</x:v>
      </x:c>
    </x:row>
    <x:row r="40" ht="48" customHeight="1">
      <x:c r="A40" s="62" t="str">
        <x:v>S36</x:v>
      </x:c>
      <x:c r="B40" s="62" t="str">
        <x:v>미 SEC</x:v>
      </x:c>
      <x:c r="C40" s="62" t="str">
        <x:v>2021 GameStop 및 meme stock 시장구조 보고서</x:v>
      </x:c>
      <x:c r="D40" s="62" t="str">
        <x:v>2021-10-18</x:v>
      </x:c>
      <x:c r="E40" s="75" t="str">
        <x:v>https://www.sec.gov/files/staff-report-equity-options-market-struction-conditions-early-2021.pdf</x:v>
      </x:c>
      <x:c r="F40" s="62" t="str">
        <x:v>규제기관</x:v>
      </x:c>
    </x:row>
    <x:row r="41" ht="48" customHeight="1">
      <x:c r="A41" s="62" t="str">
        <x:v>S37</x:v>
      </x:c>
      <x:c r="B41" s="62" t="str">
        <x:v>AP</x:v>
      </x:c>
      <x:c r="C41" s="62" t="str">
        <x:v>2021·2024 GameStop/AMC/Koss/BlackBerry 밈 랠리</x:v>
      </x:c>
      <x:c r="D41" s="62" t="str">
        <x:v>2024-05-14</x:v>
      </x:c>
      <x:c r="E41" s="75" t="str">
        <x:v>https://apnews.com/article/401916acd3715d35cc0220143b26b2ac</x:v>
      </x:c>
      <x:c r="F41" s="62" t="str">
        <x:v>가격 반응</x:v>
      </x:c>
    </x:row>
    <x:row r="42" ht="48" customHeight="1">
      <x:c r="A42" s="62" t="str">
        <x:v>S38</x:v>
      </x:c>
      <x:c r="B42" s="62" t="str">
        <x:v>Reuters</x:v>
      </x:c>
      <x:c r="C42" s="62" t="str">
        <x:v>Hertz 파산 뒤 Robinhood 개인투자자 매수 열풍</x:v>
      </x:c>
      <x:c r="D42" s="62" t="str">
        <x:v>2020-06-17</x:v>
      </x:c>
      <x:c r="E42" s="75" t="str">
        <x:v>https://www.investing.com/news/stock-market-news/main-streets-boldest-take-on-wall-street-in-bankruptcy-stock-frenzy-2204230</x:v>
      </x:c>
      <x:c r="F42" s="62" t="str">
        <x:v>파산주 밈</x:v>
      </x:c>
    </x:row>
    <x:row r="43" ht="48" customHeight="1">
      <x:c r="A43" s="62" t="str">
        <x:v>S39</x:v>
      </x:c>
      <x:c r="B43" s="62" t="str">
        <x:v>SEC</x:v>
      </x:c>
      <x:c r="C43" s="62" t="str">
        <x:v>Zoom Technologies 거래정지 명령</x:v>
      </x:c>
      <x:c r="D43" s="62" t="str">
        <x:v>2020-03-25</x:v>
      </x:c>
      <x:c r="E43" s="75" t="str">
        <x:v>https://www.sec.gov/files/litigation/suspensions/2020/34-88477-o.pdf</x:v>
      </x:c>
      <x:c r="F43" s="62" t="str">
        <x:v>규제기관</x:v>
      </x:c>
    </x:row>
    <x:row r="44" ht="48" customHeight="1">
      <x:c r="A44" s="62" t="str">
        <x:v>S40</x:v>
      </x:c>
      <x:c r="B44" s="62" t="str">
        <x:v>TechRadar</x:v>
      </x:c>
      <x:c r="C44" s="62" t="str">
        <x:v>Zoom Video와 이름 혼동으로 ZOOM 주가 10배</x:v>
      </x:c>
      <x:c r="D44" s="62" t="str">
        <x:v>2020-03-27</x:v>
      </x:c>
      <x:c r="E44" s="75" t="str">
        <x:v>https://www.techradar.com/news/sec-steps-in-to-prevent-investors-from-buying-the-wrong-zoom</x:v>
      </x:c>
      <x:c r="F44" s="62" t="str">
        <x:v>착오 매수</x:v>
      </x:c>
    </x:row>
    <x:row r="45" ht="48" customHeight="1">
      <x:c r="A45" s="62" t="str">
        <x:v>S41</x:v>
      </x:c>
      <x:c r="B45" s="62" t="str">
        <x:v>Quartz</x:v>
      </x:c>
      <x:c r="C45" s="62" t="str">
        <x:v>Elon Musk의 Use Signal 트윗 뒤 무관한 Signal Advance 급등</x:v>
      </x:c>
      <x:c r="D45" s="62" t="str">
        <x:v>2021-01-12</x:v>
      </x:c>
      <x:c r="E45" s="75" t="str">
        <x:v>https://qz.com/1956105/elon-musks-tweet-about-signal-boosts-shares-of-the-wrong-company</x:v>
      </x:c>
      <x:c r="F45" s="62" t="str">
        <x:v>착오 매수</x:v>
      </x:c>
    </x:row>
    <x:row r="46" ht="48" customHeight="1">
      <x:c r="A46" s="62" t="str">
        <x:v>S42</x:v>
      </x:c>
      <x:c r="B46" s="62" t="str">
        <x:v>Reuters</x:v>
      </x:c>
      <x:c r="C46" s="62" t="str">
        <x:v>Trump Media를 정치 밈주식으로 분석</x:v>
      </x:c>
      <x:c r="D46" s="62" t="str">
        <x:v>2024-04-02</x:v>
      </x:c>
      <x:c r="E46" s="75" t="str">
        <x:v>https://www.investing.com/news/stock-market-news/analysistrumpanddump-speculators-bet-on-truth-social-meme-stock-3361153</x:v>
      </x:c>
      <x:c r="F46" s="62" t="str">
        <x:v>정치 밈</x:v>
      </x:c>
    </x:row>
    <x:row r="47" ht="48" customHeight="1">
      <x:c r="A47" s="62" t="str">
        <x:v>S43</x:v>
      </x:c>
      <x:c r="B47" s="62" t="str">
        <x:v>AP</x:v>
      </x:c>
      <x:c r="C47" s="62" t="str">
        <x:v>Trump Media 첫날 장중 59%·종가 16% 상승</x:v>
      </x:c>
      <x:c r="D47" s="62" t="str">
        <x:v>2024-03-27</x:v>
      </x:c>
      <x:c r="E47" s="75" t="str">
        <x:v>https://apnews.com/article/666e62b4f3f788bd6276764056bc7c0d</x:v>
      </x:c>
      <x:c r="F47" s="62" t="str">
        <x:v>가격·재무</x:v>
      </x:c>
    </x:row>
    <x:row r="48" ht="48" customHeight="1">
      <x:c r="A48" s="62" t="str">
        <x:v>S44</x:v>
      </x:c>
      <x:c r="B48" s="62" t="str">
        <x:v>Motley Fool</x:v>
      </x:c>
      <x:c r="C48" s="62" t="str">
        <x:v>Trump 기대감에 PHUN 471%·DWAC 107%</x:v>
      </x:c>
      <x:c r="D48" s="62" t="str">
        <x:v>2021-10-22</x:v>
      </x:c>
      <x:c r="E48" s="75" t="str">
        <x:v>https://www.fool.com/investing/2021/10/22/why-digital-world-acquisition-and-phunware-soared/</x:v>
      </x:c>
      <x:c r="F48" s="62" t="str">
        <x:v>정치 테마</x:v>
      </x:c>
    </x:row>
    <x:row r="49" ht="48" customHeight="1">
      <x:c r="A49" s="62" t="str">
        <x:v>S45</x:v>
      </x:c>
      <x:c r="B49" s="62" t="str">
        <x:v>Business Day/Bloomberg</x:v>
      </x:c>
      <x:c r="C49" s="62" t="str">
        <x:v>일본 Nichidai: 트위터 추종매매로 6배</x:v>
      </x:c>
      <x:c r="D49" s="62" t="str">
        <x:v>2021-03-14</x:v>
      </x:c>
      <x:c r="E49" s="75" t="str">
        <x:v>https://www.businessday.co.za/bd/companies/2021-03-14-a-japanese-day-trader-invented-meme-stocks-not-wallstreetbets/</x:v>
      </x:c>
      <x:c r="F49" s="62" t="str">
        <x:v>일본 SNS</x:v>
      </x:c>
    </x:row>
    <x:row r="50" ht="48" customHeight="1">
      <x:c r="A50" s="62" t="str">
        <x:v>S46</x:v>
      </x:c>
      <x:c r="B50" s="62" t="str">
        <x:v>Reuters</x:v>
      </x:c>
      <x:c r="C50" s="62" t="str">
        <x:v>Pokemon Go 열풍에 Nintendo 주가 추가 9.5% 상승</x:v>
      </x:c>
      <x:c r="D50" s="62" t="str">
        <x:v>2016-07-14</x:v>
      </x:c>
      <x:c r="E50" s="75" t="str">
        <x:v>https://www.investing.com/news/stock-market-news/nintendo-shares-jump-9.5-percent-on-pokemon-go-phenomenon-414271</x:v>
      </x:c>
      <x:c r="F50" s="62" t="str">
        <x:v>문화 열풍</x:v>
      </x:c>
    </x:row>
    <x:row r="51" ht="48" customHeight="1">
      <x:c r="A51" s="62" t="str">
        <x:v>S47</x:v>
      </x:c>
      <x:c r="B51" s="62" t="str">
        <x:v>Nintendo</x:v>
      </x:c>
      <x:c r="C51" s="62" t="str">
        <x:v>Pokemon GO의 연결 실적 기여가 제한적임을 밝힌 자료</x:v>
      </x:c>
      <x:c r="D51" s="62" t="str">
        <x:v>2016-10-28</x:v>
      </x:c>
      <x:c r="E51" s="75" t="str">
        <x:v>https://www.nintendo.co.jp/ir/pdf/2016/161028e.pdf</x:v>
      </x:c>
      <x:c r="F51" s="62" t="str">
        <x:v>회사 자료</x:v>
      </x:c>
    </x:row>
    <x:row r="52" ht="48" customHeight="1">
      <x:c r="A52" s="62" t="str">
        <x:v>S48</x:v>
      </x:c>
      <x:c r="B52" s="62" t="str">
        <x:v>금융위원회</x:v>
      </x:c>
      <x:c r="C52" s="62" t="str">
        <x:v>정치테마주 풍문 유포 방식의 불공정거래 조치 사례</x:v>
      </x:c>
      <x:c r="D52" s="62" t="str">
        <x:v>2024-11-07</x:v>
      </x:c>
      <x:c r="E52" s="75" t="str">
        <x:v>https://www.fsc.go.kr/po010103/83828?curPage=2&amp;srchBeginDt=&amp;srchCtgry=3&amp;srchEndDt=&amp;srchKey=&amp;srchText=</x:v>
      </x:c>
      <x:c r="F52" s="62" t="str">
        <x:v>규제기관</x:v>
      </x:c>
    </x:row>
    <x:row r="53" ht="48" customHeight="1">
      <x:c r="A53" s="62" t="str">
        <x:v>S49</x:v>
      </x:c>
      <x:c r="B53" s="62" t="str">
        <x:v>대한경제</x:v>
      </x:c>
      <x:c r="C53" s="62" t="str">
        <x:v>정치테마주 60종목 중 72% 고점 대비 30% 이상 하락</x:v>
      </x:c>
      <x:c r="D53" s="62" t="str">
        <x:v>2025-05-14</x:v>
      </x:c>
      <x:c r="E53" s="75" t="str">
        <x:v>https://www.dnews.co.kr/uhtml/view.jsp?idxno=202505141555350560163</x:v>
      </x:c>
      <x:c r="F53" s="62" t="str">
        <x:v>금감원·거래소 인용</x:v>
      </x:c>
    </x:row>
    <x:row r="54">
      <x:c r="A54" t="str">
        <x:v>S50</x:v>
      </x:c>
      <x:c r="B54" t="str">
        <x:v>뉴스웨이</x:v>
      </x:c>
      <x:c r="C54" t="str">
        <x:v>두쫀쿠 열풍에 흥국에프엔비 주가 상한가·원재료 공급 확대</x:v>
      </x:c>
      <x:c r="D54" t="str">
        <x:v>2026-01-30</x:v>
      </x:c>
      <x:c r="E54" s="282" t="str">
        <x:v>https://www.newsway.co.kr/news/view?ud=2026013014505673668</x:v>
      </x:c>
      <x:c r="F54" t="str">
        <x:v>가격·공급망</x:v>
      </x:c>
    </x:row>
    <x:row r="55">
      <x:c r="A55" t="str">
        <x:v>S51</x:v>
      </x:c>
      <x:c r="B55" t="str">
        <x:v>매일경제/다음</x:v>
      </x:c>
      <x:c r="C55" t="str">
        <x:v>두쫀쿠에 달달해진 편의점·원재료주: 흥국 상한가·BGF 목표가 상향</x:v>
      </x:c>
      <x:c r="D55" t="str">
        <x:v>2026-02-16</x:v>
      </x:c>
      <x:c r="E55" s="282" t="str">
        <x:v>https://v.daum.net/v/20260216170225596</x:v>
      </x:c>
      <x:c r="F55" t="str">
        <x:v>가격·리서치</x:v>
      </x:c>
    </x:row>
    <x:row r="56">
      <x:c r="A56" t="str">
        <x:v>S52</x:v>
      </x:c>
      <x:c r="B56" t="str">
        <x:v>ZDNet Korea</x:v>
      </x:c>
      <x:c r="C56" t="str">
        <x:v>신세계푸드 두바이 디저트 오픈런·완판과 판매 확대</x:v>
      </x:c>
      <x:c r="D56" t="str">
        <x:v>2026-02-04</x:v>
      </x:c>
      <x:c r="E56" s="282" t="str">
        <x:v>https://zdnet.co.kr/view/?no=20260204091035</x:v>
      </x:c>
      <x:c r="F56" t="str">
        <x:v>판매·브랜드</x:v>
      </x:c>
    </x:row>
    <x:row r="57">
      <x:c r="A57" t="str">
        <x:v>S53</x:v>
      </x:c>
      <x:c r="B57" t="str">
        <x:v>한국경제</x:v>
      </x:c>
      <x:c r="C57" t="str">
        <x:v>불닭 SNS 확산과 삼양식품 주가·수출 성장</x:v>
      </x:c>
      <x:c r="D57" t="str">
        <x:v>2024-05-26</x:v>
      </x:c>
      <x:c r="E57" s="282" t="str">
        <x:v>https://www.hankyung.com/article/2024052637231</x:v>
      </x:c>
      <x:c r="F57" t="str">
        <x:v>SNS·가격</x:v>
      </x:c>
    </x:row>
    <x:row r="58">
      <x:c r="A58" t="str">
        <x:v>S54</x:v>
      </x:c>
      <x:c r="B58" t="str">
        <x:v>한국경제</x:v>
      </x:c>
      <x:c r="C58" t="str">
        <x:v>포켓몬빵 인기와 SPC삼립 주가 급등</x:v>
      </x:c>
      <x:c r="D58" t="str">
        <x:v>2022-03-10</x:v>
      </x:c>
      <x:c r="E58" s="282" t="str">
        <x:v>https://www.hankyung.com/article/2022031072561</x:v>
      </x:c>
      <x:c r="F58" t="str">
        <x:v>가격·판매</x:v>
      </x:c>
    </x:row>
    <x:row r="59">
      <x:c r="A59" t="str">
        <x:v>S55</x:v>
      </x:c>
      <x:c r="B59" t="str">
        <x:v>한국경제</x:v>
      </x:c>
      <x:c r="C59" t="str">
        <x:v>크보빵 판매 호조로 SPC삼립 8% 급등</x:v>
      </x:c>
      <x:c r="D59" t="str">
        <x:v>2025-03-25</x:v>
      </x:c>
      <x:c r="E59" s="282" t="str">
        <x:v>https://www.hankyung.com/article/202503257174L</x:v>
      </x:c>
      <x:c r="F59" t="str">
        <x:v>가격·판매</x:v>
      </x:c>
    </x:row>
    <x:row r="60">
      <x:c r="A60" t="str">
        <x:v>S56</x:v>
      </x:c>
      <x:c r="B60" t="str">
        <x:v>머니투데이</x:v>
      </x:c>
      <x:c r="C60" t="str">
        <x:v>일본 리들샷 수요 폭증과 브이티 주가 3배</x:v>
      </x:c>
      <x:c r="D60" t="str">
        <x:v>2023-09-19</x:v>
      </x:c>
      <x:c r="E60" s="282" t="str">
        <x:v>https://www.mt.co.kr/stock/2023/09/19/2023091809273513453</x:v>
      </x:c>
      <x:c r="F60" t="str">
        <x:v>가격·판매</x:v>
      </x:c>
    </x:row>
    <x:row r="61">
      <x:c r="A61" t="str">
        <x:v>S57</x:v>
      </x:c>
      <x:c r="B61" t="str">
        <x:v>매일경제</x:v>
      </x:c>
      <x:c r="C61" t="str">
        <x:v>미국 SNS K푸드 열풍과 우양 냉동김밥 수혜 논리</x:v>
      </x:c>
      <x:c r="D61" t="str">
        <x:v>2024-02-22</x:v>
      </x:c>
      <x:c r="E61" s="282" t="str">
        <x:v>https://www.mk.co.kr/en/stock/10948440</x:v>
      </x:c>
      <x:c r="F61" t="str">
        <x:v>리서치·SNS</x:v>
      </x:c>
    </x:row>
    <x:row r="62">
      <x:c r="A62" t="str">
        <x:v>S58</x:v>
      </x:c>
      <x:c r="B62" t="str">
        <x:v>아시아경제</x:v>
      </x:c>
      <x:c r="C62" t="str">
        <x:v>케이팝 데몬 헌터스·김밥 인기에 우양 상승</x:v>
      </x:c>
      <x:c r="D62" t="str">
        <x:v>2025-08-22</x:v>
      </x:c>
      <x:c r="E62" s="282" t="str">
        <x:v>https://www.asiae.co.kr/en/article/2025082214344404232</x:v>
      </x:c>
      <x:c r="F62" t="str">
        <x:v>가격·콘텐츠</x:v>
      </x:c>
    </x:row>
    <x:row r="63">
      <x:c r="A63" t="str">
        <x:v>S59</x:v>
      </x:c>
      <x:c r="B63" t="str">
        <x:v>미래에셋증권</x:v>
      </x:c>
      <x:c r="C63" t="str">
        <x:v>삼성출판사: 아기상어 유튜브 조회수 글로벌 1위 소식에 상승</x:v>
      </x:c>
      <x:c r="D63" t="str">
        <x:v>2020-11</x:v>
      </x:c>
      <x:c r="E63" s="282" t="str">
        <x:v>https://securities.miraeasset.com/bbs/download/2079218.pdf?attachmentId=2079218</x:v>
      </x:c>
      <x:c r="F63" t="str">
        <x:v>가격·콘텐츠</x:v>
      </x:c>
    </x:row>
    <x:row r="64">
      <x:c r="A64" t="str">
        <x:v>S60</x:v>
      </x:c>
      <x:c r="B64" t="str">
        <x:v>Signal Report</x:v>
      </x:c>
      <x:c r="C64" t="str">
        <x:v>더핑크퐁컴퍼니 상장 추진 보도에 삼성출판사 상한가</x:v>
      </x:c>
      <x:c r="D64" t="str">
        <x:v>2023-09-06</x:v>
      </x:c>
      <x:c r="E64" s="282" t="str">
        <x:v>https://files-scs.pstatic.net/2023/09/06/wxc6Edf0J8/230906%28%EC%88%98%29%20Signal%20Report.pdf</x:v>
      </x:c>
      <x:c r="F64" t="str">
        <x:v>가격·IPO</x:v>
      </x:c>
    </x:row>
    <x:row r="65">
      <x:c r="A65" t="str">
        <x:v>S61</x:v>
      </x:c>
      <x:c r="B65" t="str">
        <x:v>한국경제</x:v>
      </x:c>
      <x:c r="C65" t="str">
        <x:v>기생충 짜파구리 판매 확산과 농심 주가 급등</x:v>
      </x:c>
      <x:c r="D65" t="str">
        <x:v>2020-02-13</x:v>
      </x:c>
      <x:c r="E65" s="282" t="str">
        <x:v>https://www.hankyung.com/article/202002132639Y</x:v>
      </x:c>
      <x:c r="F65" t="str">
        <x:v>가격·판매</x:v>
      </x:c>
    </x:row>
    <x:row r="66">
      <x:c r="A66" t="str">
        <x:v>S62</x:v>
      </x:c>
      <x:c r="B66" t="str">
        <x:v>이투데이</x:v>
      </x:c>
      <x:c r="C66" t="str">
        <x:v>허니버터칩 열풍과 크라운제과 2014-11-21 가격 반응</x:v>
      </x:c>
      <x:c r="D66" t="str">
        <x:v>2014-12-30</x:v>
      </x:c>
      <x:c r="E66" s="282" t="str">
        <x:v>https://pdf.etoday.co.kr/daily/pdf/detoday01058.pdf</x:v>
      </x:c>
      <x:c r="F66" t="str">
        <x:v>가격·역사</x:v>
      </x:c>
    </x:row>
    <x:row r="67">
      <x:c r="A67" t="str">
        <x:v>S63</x:v>
      </x:c>
      <x:c r="B67" t="str">
        <x:v>연합뉴스</x:v>
      </x:c>
      <x:c r="C67" t="str">
        <x:v>허니버터칩 후광 해태제과 상장 후 7일 만에 공모가 4.5배</x:v>
      </x:c>
      <x:c r="D67" t="str">
        <x:v>2016-10-18</x:v>
      </x:c>
      <x:c r="E67" s="282" t="str">
        <x:v>https://www.yna.co.kr/view/AKR20161018175251030</x:v>
      </x:c>
      <x:c r="F67" t="str">
        <x:v>가격·IPO</x:v>
      </x:c>
    </x:row>
    <x:row r="68">
      <x:c r="A68" t="str">
        <x:v>S64</x:v>
      </x:c>
      <x:c r="B68" t="str">
        <x:v>한국경제</x:v>
      </x:c>
      <x:c r="C68" t="str">
        <x:v>메디큐브 해외 인기와 에이피알 연초 대비 80.04% 상승</x:v>
      </x:c>
      <x:c r="D68" t="str">
        <x:v>2026-04-19</x:v>
      </x:c>
      <x:c r="E68" s="282" t="str">
        <x:v>https://www.hankyung.com/article/2026041910781</x:v>
      </x:c>
      <x:c r="F68" t="str">
        <x:v>가격·뷰티</x:v>
      </x:c>
    </x:row>
    <x:row r="69">
      <x:c r="A69" t="str">
        <x:v>S65</x:v>
      </x:c>
      <x:c r="B69" t="str">
        <x:v>뉴스톱</x:v>
      </x:c>
      <x:c r="C69" t="str">
        <x:v>SNS 인플루언서 유통 성장과 실리콘투 주가 5배</x:v>
      </x:c>
      <x:c r="D69" t="str">
        <x:v>2024-06</x:v>
      </x:c>
      <x:c r="E69" s="282" t="str">
        <x:v>https://www.newstof.com/news/articleView.html?idxno=23122</x:v>
      </x:c>
      <x:c r="F69" t="str">
        <x:v>가격·유통</x:v>
      </x:c>
    </x:row>
    <x:row r="70">
      <x:c r="A70" t="str">
        <x:v>S66</x:v>
      </x:c>
      <x:c r="B70" t="str">
        <x:v>Washington Post</x:v>
      </x:c>
      <x:c r="C70" t="str">
        <x:v>Instagram·TikTok 재유행과 Crocs 주가 300% 상승</x:v>
      </x:c>
      <x:c r="D70" t="str">
        <x:v>2021-06-03</x:v>
      </x:c>
      <x:c r="E70" s="282" t="str">
        <x:v>https://www.washingtonpost.com/business/2021/06/03/crocs-pandemic-surge/</x:v>
      </x:c>
      <x:c r="F70" t="str">
        <x:v>가격·패션</x:v>
      </x:c>
    </x:row>
    <x:row r="71">
      <x:c r="A71" t="str">
        <x:v>S67</x:v>
      </x:c>
      <x:c r="B71" t="str">
        <x:v>Net Influencer</x:v>
      </x:c>
      <x:c r="C71" t="str">
        <x:v>TikTok 컴백과 Abercrombie 주가 285% 증가</x:v>
      </x:c>
      <x:c r="D71" t="str">
        <x:v>2024</x:v>
      </x:c>
      <x:c r="E71" s="282" t="str">
        <x:v>https://www.netinfluencer.com/abercrombie/</x:v>
      </x:c>
      <x:c r="F71" t="str">
        <x:v>가격·패션</x:v>
      </x:c>
    </x:row>
    <x:row r="72">
      <x:c r="A72" t="str">
        <x:v>S68</x:v>
      </x:c>
      <x:c r="B72" t="str">
        <x:v>Reuters/Investing.com</x:v>
      </x:c>
      <x:c r="C72" t="str">
        <x:v>e.l.f. 저가 화장품 성장과 2022년 중반 이후 주가 약 900% 상승</x:v>
      </x:c>
      <x:c r="D72" t="str">
        <x:v>2024-11-05</x:v>
      </x:c>
      <x:c r="E72" s="282" t="str">
        <x:v>https://www.investing.com/news/stock-market-news/elf-beauty-sales-to-rise-as-demand-for-mass-market-beauty-products-grow-3703249</x:v>
      </x:c>
      <x:c r="F72" t="str">
        <x:v>가격·뷰티</x:v>
      </x:c>
    </x:row>
    <x:row r="73">
      <x:c r="A73" t="str">
        <x:v>S69</x:v>
      </x:c>
      <x:c r="B73" t="str">
        <x:v>Fortune</x:v>
      </x:c>
      <x:c r="C73" t="str">
        <x:v>Barbie 개봉 전 Mattel 주가 33% 상승</x:v>
      </x:c>
      <x:c r="D73" t="str">
        <x:v>2023-07-25</x:v>
      </x:c>
      <x:c r="E73" s="282" t="str">
        <x:v>https://fortune.com/2023/07/25/barbie-movie-mattel-impact/</x:v>
      </x:c>
      <x:c r="F73" t="str">
        <x:v>가격·IP</x:v>
      </x:c>
    </x:row>
    <x:row r="74">
      <x:c r="A74" t="str">
        <x:v>S70</x:v>
      </x:c>
      <x:c r="B74" t="str">
        <x:v>Le Monde</x:v>
      </x:c>
      <x:c r="C74" t="str">
        <x:v>Sydney Sweeney 광고 논란과 American Eagle 주가 약 20% 상승</x:v>
      </x:c>
      <x:c r="D74" t="str">
        <x:v>2025-08-05</x:v>
      </x:c>
      <x:c r="E74" s="282" t="str">
        <x:v>https://www.lemonde.fr/en/international/article/2025/08/05/sydney-sweeney-s-american-eagle-ad-sparks-controversy-online-and-pleases-donald-trump_6744075_4.html</x:v>
      </x:c>
      <x:c r="F74" t="str">
        <x:v>가격·SNS논란</x:v>
      </x:c>
    </x:row>
    <x:row r="75">
      <x:c r="A75" t="str">
        <x:v>S71</x:v>
      </x:c>
      <x:c r="B75" t="str">
        <x:v>Salon</x:v>
      </x:c>
      <x:c r="C75" t="str">
        <x:v>Reddit 치킨텐디 밈과 Wendy's 2021 급등</x:v>
      </x:c>
      <x:c r="D75" t="str">
        <x:v>2021-06-09</x:v>
      </x:c>
      <x:c r="E75" s="282" t="str">
        <x:v>https://www.salon.com/2021/06/09/meme-stocks-and-chicken-tendies-wendys-stock-skyrockets-after-a-reddit-shout-out/</x:v>
      </x:c>
      <x:c r="F75" t="str">
        <x:v>가격·Reddit</x:v>
      </x:c>
    </x:row>
    <x:row r="76">
      <x:c r="A76" t="str">
        <x:v>S72</x:v>
      </x:c>
      <x:c r="B76" t="str">
        <x:v>Reuters/Investing.com</x:v>
      </x:c>
      <x:c r="C76" t="str">
        <x:v>Save Wendy's 게시물로 2026 밈 랠리</x:v>
      </x:c>
      <x:c r="D76" t="str">
        <x:v>2026-06-24</x:v>
      </x:c>
      <x:c r="E76" s="282" t="str">
        <x:v>https://www.investing.com/news/stock-market-news/wendys-jumps-20-as-retail-traders-spark-memelike-rally-4758273</x:v>
      </x:c>
      <x:c r="F76" t="str">
        <x:v>가격·Reddit</x:v>
      </x:c>
    </x:row>
    <x:row r="77">
      <x:c r="A77" t="str">
        <x:v>S73</x:v>
      </x:c>
      <x:c r="B77" t="str">
        <x:v>Reuters</x:v>
      </x:c>
      <x:c r="C77" t="str">
        <x:v>Labubu 열풍과 Pop Mart 이익 400%·주가 200% 이상 상승</x:v>
      </x:c>
      <x:c r="D77" t="str">
        <x:v>2025-08-19</x:v>
      </x:c>
      <x:c r="E77" s="282" t="str">
        <x:v>https://www.reuters.com/world/china/chinas-pop-mart-maker-labubu-doll-says-profit-soars-nearly-400-first-half-2025-08-19/</x:v>
      </x:c>
      <x:c r="F77" t="str">
        <x:v>가격·글로벌</x:v>
      </x:c>
    </x:row>
    <x:row r="78">
      <x:c r="A78" t="str">
        <x:v>S74</x:v>
      </x:c>
      <x:c r="B78" t="str">
        <x:v>GameSpot</x:v>
      </x:c>
      <x:c r="C78" t="str">
        <x:v>Switch·Animal Crossing 수요로 Nintendo 52주 신고가</x:v>
      </x:c>
      <x:c r="D78" t="str">
        <x:v>2020-04-21</x:v>
      </x:c>
      <x:c r="E78" s="282" t="str">
        <x:v>https://www.gamespot.com/articles/nintendo-stock-price-hits-52-week-high-amid-switch/1100-6476170/</x:v>
      </x:c>
      <x:c r="F78" t="str">
        <x:v>가격·게임</x:v>
      </x:c>
    </x:row>
    <x:row r="79">
      <x:c r="A79" t="str">
        <x:v>S75</x:v>
      </x:c>
      <x:c r="B79" t="str">
        <x:v>Reuters/Investing.com</x:v>
      </x:c>
      <x:c r="C79" t="str">
        <x:v>귀멸의 칼날 흥행과 Sony 실적 전망 상향</x:v>
      </x:c>
      <x:c r="D79" t="str">
        <x:v>2020-10-28</x:v>
      </x:c>
      <x:c r="E79" s="282" t="str">
        <x:v>https://uk.investing.com/news/stock-market-news/sony-secondquarter-profit-rises-139-beats-estimates-2240855</x:v>
      </x:c>
      <x:c r="F79" t="str">
        <x:v>콘텐츠·실적</x:v>
      </x:c>
    </x:row>
    <x:row r="80">
      <x:c r="A80" t="str">
        <x:v>S76</x:v>
      </x:c>
      <x:c r="B80" t="str">
        <x:v>Bloomberg</x:v>
      </x:c>
      <x:c r="C80" t="str">
        <x:v>Sanrio 신세대 캐릭터와 2024년 주가 150% 상승</x:v>
      </x:c>
      <x:c r="D80" t="str">
        <x:v>2024-12-08</x:v>
      </x:c>
      <x:c r="E80" s="282" t="str">
        <x:v>https://www.bloomberg.com/news/articles/2024-12-08/sanrio-s-new-characters-deliver-150-return-from-hello-kitty-owner</x:v>
      </x:c>
      <x:c r="F80" t="str">
        <x:v>가격·IP</x:v>
      </x:c>
    </x:row>
    <x:row r="81">
      <x:c r="A81" t="str">
        <x:v>S77</x:v>
      </x:c>
      <x:c r="B81" t="str">
        <x:v>Reuters/Nippon.com</x:v>
      </x:c>
      <x:c r="C81" t="str">
        <x:v>우마무스메 글로벌 팬덤과 CyberAgent 게임 매출 기여</x:v>
      </x:c>
      <x:c r="D81" t="str">
        <x:v>2021-12-13</x:v>
      </x:c>
      <x:c r="E81" s="282" t="str">
        <x:v>https://www.nippon.com/en/news/reu20211213KBN2IS00Y/</x:v>
      </x:c>
      <x:c r="F81" t="str">
        <x:v>게임·사업</x:v>
      </x:c>
    </x:row>
    <x:row r="82">
      <x:c r="A82" t="str">
        <x:v>S78</x:v>
      </x:c>
      <x:c r="B82" t="str">
        <x:v>Investing.com</x:v>
      </x:c>
      <x:c r="C82" t="str">
        <x:v>e.l.f. Hair TikTok Shop 출시 당일 주가 7% 상승</x:v>
      </x:c>
      <x:c r="D82" t="str">
        <x:v>2026-06-16</x:v>
      </x:c>
      <x:c r="E82" s="282" t="str">
        <x:v>https://uk.investing.com/news/stock-market-news/why-is-elf-beauty-stock-surging-today-93CH-4731076</x:v>
      </x:c>
      <x:c r="F82" t="str">
        <x:v>가격·SNS커머스</x:v>
      </x:c>
    </x:row>
    <x:row r="83">
      <x:c r="A83" t="str">
        <x:v>S79</x:v>
      </x:c>
      <x:c r="B83" t="str">
        <x:v>Investing.com</x:v>
      </x:c>
      <x:c r="C83" t="str">
        <x:v>Crocs TikTok Shop 주간 판매 50% 증가</x:v>
      </x:c>
      <x:c r="D83" t="str">
        <x:v>2026-05</x:v>
      </x:c>
      <x:c r="E83" s="282" t="str">
        <x:v>https://uk.investing.com/news/stock-market-news/crocs-tiktok-shop-sales-rise-50-on-womens-sandals-demand-says-truist-93CH-4618821</x:v>
      </x:c>
      <x:c r="F83" t="str">
        <x:v>판매·SNS커머스</x:v>
      </x:c>
    </x:row>
    <x:row r="84">
      <x:c r="A84" t="str">
        <x:v>S80</x:v>
      </x:c>
      <x:c r="B84" t="str">
        <x:v>연합뉴스</x:v>
      </x:c>
      <x:c r="C84" t="str">
        <x:v>KT 아이폰 국내 공식 출시·예약 6만명</x:v>
      </x:c>
      <x:c r="D84" t="str">
        <x:v>2009-11-28</x:v>
      </x:c>
      <x:c r="E84" t="str">
        <x:v>https://www.yna.co.kr/view/AKR20091128034700017</x:v>
      </x:c>
      <x:c r="F84" t="str">
        <x:v>동시대 통신</x:v>
      </x:c>
    </x:row>
    <x:row r="85">
      <x:c r="A85" t="str">
        <x:v>S81</x:v>
      </x:c>
      <x:c r="B85" t="str">
        <x:v>KT·뉴스와이어</x:v>
      </x:c>
      <x:c r="C85" t="str">
        <x:v>국내 스마트폰 비중: 2009년 12월 2%, 2010년 17%, 2011년 46%</x:v>
      </x:c>
      <x:c r="D85" t="str">
        <x:v>2012-02-09</x:v>
      </x:c>
      <x:c r="E85" t="str">
        <x:v>https://www.newswire.co.kr/newsRead.php?no=602938</x:v>
      </x:c>
      <x:c r="F85" t="str">
        <x:v>기업 발표</x:v>
      </x:c>
    </x:row>
    <x:row r="86">
      <x:c r="A86" t="str">
        <x:v>S82</x:v>
      </x:c>
      <x:c r="B86" t="str">
        <x:v>전자신문</x:v>
      </x:c>
      <x:c r="C86" t="str">
        <x:v>주요 SNS 이용자 2009년 11월 119만명→2011년 11월 1,060만명</x:v>
      </x:c>
      <x:c r="D86" t="str">
        <x:v>2012-09-11</x:v>
      </x:c>
      <x:c r="E86" t="str">
        <x:v>https://www.etnews.com/201209110679</x:v>
      </x:c>
      <x:c r="F86" t="str">
        <x:v>산업 통계</x:v>
      </x:c>
    </x:row>
    <x:row r="87">
      <x:c r="A87" t="str">
        <x:v>S83</x:v>
      </x:c>
      <x:c r="B87" t="str">
        <x:v>자본시장연구원</x:v>
      </x:c>
      <x:c r="C87" t="str">
        <x:v>정치테마주 거래의 특징과 개인투자자 손실: 2012·2017 대선 분석</x:v>
      </x:c>
      <x:c r="D87" t="str">
        <x:v>2019</x:v>
      </x:c>
      <x:c r="E87" t="str">
        <x:v>https://www.kcmi.re.kr/report/report_view?report_no=727</x:v>
      </x:c>
      <x:c r="F87" t="str">
        <x:v>연구기관</x:v>
      </x:c>
    </x:row>
    <x:row r="88">
      <x:c r="A88" t="str">
        <x:v>S84</x:v>
      </x:c>
      <x:c r="B88" t="str">
        <x:v>동아일보</x:v>
      </x:c>
      <x:c r="C88" t="str">
        <x:v>2012 대선 정치테마주 131개·SNS 확산 및 종목 사례</x:v>
      </x:c>
      <x:c r="D88" t="str">
        <x:v>2012-09-21</x:v>
      </x:c>
      <x:c r="E88" t="str">
        <x:v>https://www.donga.com/news/Politics/article/all/20120921/49567028/1</x:v>
      </x:c>
      <x:c r="F88" t="str">
        <x:v>동시대 기사</x:v>
      </x:c>
    </x:row>
    <x:row r="89">
      <x:c r="A89" t="str">
        <x:v>S85</x:v>
      </x:c>
      <x:c r="B89" t="str">
        <x:v>뉴시스</x:v>
      </x:c>
      <x:c r="C89" t="str">
        <x:v>금감원 2012 정치테마주 147개 분석·49개 불공정거래 혐의</x:v>
      </x:c>
      <x:c r="D89" t="str">
        <x:v>2014-01-13</x:v>
      </x:c>
      <x:c r="E89" t="str">
        <x:v>https://www.newsis.com/view/NISX20140113_0012653899</x:v>
      </x:c>
      <x:c r="F89" t="str">
        <x:v>감독당국 인용</x:v>
      </x:c>
    </x:row>
    <x:row r="90">
      <x:c r="A90" t="str">
        <x:v>S86</x:v>
      </x:c>
      <x:c r="B90" t="str">
        <x:v>한국경제</x:v>
      </x:c>
      <x:c r="C90" t="str">
        <x:v>2017 대선 정치테마주 150종목 집중 감시</x:v>
      </x:c>
      <x:c r="D90" t="str">
        <x:v>2017-03-13</x:v>
      </x:c>
      <x:c r="E90" t="str">
        <x:v>https://www.hankyung.com/article/2017031356811</x:v>
      </x:c>
      <x:c r="F90" t="str">
        <x:v>거래소·감독 인용</x:v>
      </x:c>
    </x:row>
    <x:row r="91">
      <x:c r="A91" t="str">
        <x:v>S87</x:v>
      </x:c>
      <x:c r="B91" t="str">
        <x:v>이데일리</x:v>
      </x:c>
      <x:c r="C91" t="str">
        <x:v>2017 정치테마주 224개 분석·개인 참여계좌 96.6%</x:v>
      </x:c>
      <x:c r="D91" t="str">
        <x:v>2017-05-16</x:v>
      </x:c>
      <x:c r="E91" t="str">
        <x:v>https://www.edaily.co.kr/News/Read?mediaCodeNo=257&amp;newsId=02876566615929576</x:v>
      </x:c>
      <x:c r="F91" t="str">
        <x:v>감독당국 인용</x:v>
      </x:c>
    </x:row>
    <x:row r="92">
      <x:c r="A92" t="str">
        <x:v>S88</x:v>
      </x:c>
      <x:c r="B92" t="str">
        <x:v>네이버 고객센터</x:v>
      </x:c>
      <x:c r="C92" t="str">
        <x:v>네이버 데이터랩 2016년 1월 14일 서비스 시작</x:v>
      </x:c>
      <x:c r="D92" t="str">
        <x:v>현재 페이지</x:v>
      </x:c>
      <x:c r="E92" t="str">
        <x:v>https://help.naver.com/service/17528/contents/6962?lang=ko&amp;osType=COMMONOS</x:v>
      </x:c>
      <x:c r="F92" t="str">
        <x:v>공식 도움말</x:v>
      </x:c>
    </x:row>
    <x:row r="93">
      <x:c r="A93" t="str">
        <x:v>S89</x:v>
      </x:c>
      <x:c r="B93" t="str">
        <x:v>Google Trends 도움말</x:v>
      </x:c>
      <x:c r="C93" t="str">
        <x:v>Trends는 표본·정규화·0~100 상대지수이며 급등점은 잡음일 수 있음</x:v>
      </x:c>
      <x:c r="D93" t="str">
        <x:v>현재 페이지</x:v>
      </x:c>
      <x:c r="E93" t="str">
        <x:v>https://support.google.com/trends/answer/4365533?hl=en</x:v>
      </x:c>
      <x:c r="F93" t="str">
        <x:v>공식 방법론</x:v>
      </x:c>
    </x:row>
    <x:row r="94">
      <x:c r="A94" t="str">
        <x:v>S90</x:v>
      </x:c>
      <x:c r="B94" t="str">
        <x:v>X 개발자 문서</x:v>
      </x:c>
      <x:c r="C94" t="str">
        <x:v>최근 검색은 7일; 전체 아카이브는 2006년부터 유료·Enterprise 접근</x:v>
      </x:c>
      <x:c r="D94" t="str">
        <x:v>현재 페이지</x:v>
      </x:c>
      <x:c r="E94" t="str">
        <x:v>https://docs.x.com/x-api/posts/search/introduction</x:v>
      </x:c>
      <x:c r="F94" t="str">
        <x:v>공식 API 문서</x:v>
      </x:c>
    </x:row>
    <x:row r="95">
      <x:c r="A95" t="str">
        <x:v>S91</x:v>
      </x:c>
      <x:c r="B95" t="str">
        <x:v>Meta Instagram API 문서</x:v>
      </x:c>
      <x:c r="C95" t="str">
        <x:v>API는 일반 소비자 계정 접근을 지원하지 않음</x:v>
      </x:c>
      <x:c r="D95" t="str">
        <x:v>현재 페이지</x:v>
      </x:c>
      <x:c r="E95" t="str">
        <x:v>https://www.postman.com/meta/instagram/documentation/6yqw8pt/instagram-api?entity=request-23987686-a71fb850-457c-4b82-a56a-1dea1785f2a2</x:v>
      </x:c>
      <x:c r="F95" t="str">
        <x:v>공식 API 문서</x:v>
      </x:c>
    </x:row>
    <x:row r="96">
      <x:c r="A96" t="str">
        <x:v>S92</x:v>
      </x:c>
      <x:c r="B96" t="str">
        <x:v>한국경제</x:v>
      </x:c>
      <x:c r="C96" t="str">
        <x:v>4대강 착공 기대: 특수건설·동신건설 등 7개 종목 당일 등락률</x:v>
      </x:c>
      <x:c r="D96" t="str">
        <x:v>2009-11-09</x:v>
      </x:c>
      <x:c r="E96" t="str">
        <x:v>https://www.hankyung.com/article/2009110944476</x:v>
      </x:c>
      <x:c r="F96" t="str">
        <x:v>동시대 시세 기사</x:v>
      </x:c>
    </x:row>
    <x:row r="97">
      <x:c r="A97" t="str">
        <x:v>S93</x:v>
      </x:c>
      <x:c r="B97" t="str">
        <x:v>연합뉴스</x:v>
      </x:c>
      <x:c r="C97" t="str">
        <x:v>대통령 녹색성장·자전거도로 연설 후 자전거·4대강주 당일 등락률</x:v>
      </x:c>
      <x:c r="D97" t="str">
        <x:v>2009-04-20</x:v>
      </x:c>
      <x:c r="E97" t="str">
        <x:v>https://www.yna.co.kr/amp/view/AKR20090420147100008</x:v>
      </x:c>
      <x:c r="F97" t="str">
        <x:v>동시대 시세 기사</x:v>
      </x:c>
    </x:row>
    <x:row r="98">
      <x:c r="A98" t="str">
        <x:v>S94</x:v>
      </x:c>
      <x:c r="B98" t="str">
        <x:v>한국경제</x:v>
      </x:c>
      <x:c r="C98" t="str">
        <x:v>정부 자전거산업 대책 후 삼천리자전거·참좋은레져 상한가</x:v>
      </x:c>
      <x:c r="D98" t="str">
        <x:v>2009-05-04</x:v>
      </x:c>
      <x:c r="E98" t="str">
        <x:v>https://www.hankyung.com/article/2009050436866</x:v>
      </x:c>
      <x:c r="F98" t="str">
        <x:v>동시대 시세 기사</x:v>
      </x:c>
    </x:row>
    <x:row r="99">
      <x:c r="A99" t="str">
        <x:v>S95</x:v>
      </x:c>
      <x:c r="B99" t="str">
        <x:v>아시아경제</x:v>
      </x:c>
      <x:c r="C99" t="str">
        <x:v>자전거 대책 후 삼천리자전거·참좋은레져·에이모션 상한가</x:v>
      </x:c>
      <x:c r="D99" t="str">
        <x:v>2009-05-04</x:v>
      </x:c>
      <x:c r="E99" t="str">
        <x:v>https://www.asiae.co.kr/article/2009050409100200723</x:v>
      </x:c>
      <x:c r="F99" t="str">
        <x:v>동시대 시세 기사</x:v>
      </x:c>
    </x:row>
    <x:row r="100">
      <x:c r="A100" t="str">
        <x:v>S96</x:v>
      </x:c>
      <x:c r="B100" t="str">
        <x:v>이투데이</x:v>
      </x:c>
      <x:c r="C100" t="str">
        <x:v>아바타 3D 열풍·아이폰 출시 후 3D/스마트폰 테마주 점검</x:v>
      </x:c>
      <x:c r="D100" t="str">
        <x:v>2010-01-20</x:v>
      </x:c>
      <x:c r="E100" t="str">
        <x:v>https://www.etoday.co.kr/news/view/283529</x:v>
      </x:c>
      <x:c r="F100" t="str">
        <x:v>동시대 테마 기사</x:v>
      </x:c>
    </x:row>
    <x:row r="101">
      <x:c r="A101" t="str">
        <x:v>S97</x:v>
      </x:c>
      <x:c r="B101" t="str">
        <x:v>이투데이</x:v>
      </x:c>
      <x:c r="C101" t="str">
        <x:v>2013 증시 테마 결산: 창조경제·남북경협·3D프린터·비트코인</x:v>
      </x:c>
      <x:c r="D101" t="str">
        <x:v>2013-12-24</x:v>
      </x:c>
      <x:c r="E101" t="str">
        <x:v>https://m.etoday.co.kr/news/view/842458</x:v>
      </x:c>
      <x:c r="F101" t="str">
        <x:v>연말 결산</x:v>
      </x:c>
    </x:row>
    <x:row r="102">
      <x:c r="A102" t="str">
        <x:v>S98</x:v>
      </x:c>
      <x:c r="B102" t="str">
        <x:v>파이낸셜뉴스</x:v>
      </x:c>
      <x:c r="C102" t="str">
        <x:v>2024 총선 직후 정치테마주 급락 사례</x:v>
      </x:c>
      <x:c r="D102" t="str">
        <x:v>2024-04-11</x:v>
      </x:c>
      <x:c r="E102" t="str">
        <x:v>https://www.fnnews.com/news/202404111007186487</x:v>
      </x:c>
      <x:c r="F102" t="str">
        <x:v>동시대 시세 기사</x:v>
      </x:c>
    </x:row>
    <x:row r="103">
      <x:c r="A103" t="str">
        <x:v>S99</x:v>
      </x:c>
      <x:c r="B103" t="str">
        <x:v>MBC</x:v>
      </x:c>
      <x:c r="C103" t="str">
        <x:v>2009 신종플루 테마주가 실적과 무관하게 급등했다는 경고</x:v>
      </x:c>
      <x:c r="D103" t="str">
        <x:v>2009-09-12</x:v>
      </x:c>
      <x:c r="E103" t="str">
        <x:v>https://imnews.imbc.com/replay/2009/nwdesk/article/2438997_30553.html</x:v>
      </x:c>
      <x:c r="F103" t="str">
        <x:v>동시대 방송</x:v>
      </x:c>
    </x:row>
    <x:row r="104">
      <x:c r="A104" t="str">
        <x:v>S100</x:v>
      </x:c>
      <x:c r="B104" t="str">
        <x:v>한국경제</x:v>
      </x:c>
      <x:c r="C104" t="str">
        <x:v>2009 신종플루 확산에 백신·의약 관련주 무더기 상한가</x:v>
      </x:c>
      <x:c r="D104" t="str">
        <x:v>2009-08-21</x:v>
      </x:c>
      <x:c r="E104" t="str">
        <x:v>https://www.hankyung.com/article/2009082156686</x:v>
      </x:c>
      <x:c r="F104" t="str">
        <x:v>동시대 시세</x:v>
      </x:c>
    </x:row>
    <x:row r="105">
      <x:c r="A105" t="str">
        <x:v>S101</x:v>
      </x:c>
      <x:c r="B105" t="str">
        <x:v>연합뉴스</x:v>
      </x:c>
      <x:c r="C105" t="str">
        <x:v>2009 신종플루 사망자 발생 후 관련주 9종목 상한가</x:v>
      </x:c>
      <x:c r="D105" t="str">
        <x:v>2009-08-17</x:v>
      </x:c>
      <x:c r="E105" t="str">
        <x:v>https://cb.yna.co.kr/gate/big5/cn.yna.co.kr/view/AKR20090817168100008</x:v>
      </x:c>
      <x:c r="F105" t="str">
        <x:v>동시대 시세</x:v>
      </x:c>
    </x:row>
    <x:row r="106">
      <x:c r="A106" t="str">
        <x:v>S102</x:v>
      </x:c>
      <x:c r="B106" t="str">
        <x:v>한국경제</x:v>
      </x:c>
      <x:c r="C106" t="str">
        <x:v>2010 막걸리 시장 성장과 국순당 신고가 행진</x:v>
      </x:c>
      <x:c r="D106" t="str">
        <x:v>2010-05-04</x:v>
      </x:c>
      <x:c r="E106" t="str">
        <x:v>https://www.hankyung.com/article/2010050445286</x:v>
      </x:c>
      <x:c r="F106" t="str">
        <x:v>동시대 시세</x:v>
      </x:c>
    </x:row>
    <x:row r="107">
      <x:c r="A107" t="str">
        <x:v>S103</x:v>
      </x:c>
      <x:c r="B107" t="str">
        <x:v>한국상장회사협의회 자료</x:v>
      </x:c>
      <x:c r="C107" t="str">
        <x:v>2010 남아공월드컵 기대에 하림·동우 상승 후 테마 소멸</x:v>
      </x:c>
      <x:c r="D107" t="str">
        <x:v>2010</x:v>
      </x:c>
      <x:c r="E107" t="str">
        <x:v>https://www.klca.or.kr/KLCADownload/eBook/P7013.pdf?Mode=PC</x:v>
      </x:c>
      <x:c r="F107" t="str">
        <x:v>시장 회고</x:v>
      </x:c>
    </x:row>
    <x:row r="108">
      <x:c r="A108" t="str">
        <x:v>S104</x:v>
      </x:c>
      <x:c r="B108" t="str">
        <x:v>한국경제</x:v>
      </x:c>
      <x:c r="C108" t="str">
        <x:v>남양유업 갑질·불매운동 직후 1주일 15% 하락</x:v>
      </x:c>
      <x:c r="D108" t="str">
        <x:v>2016-06-08</x:v>
      </x:c>
      <x:c r="E108" t="str">
        <x:v>https://www.hankyung.com/article/2016060867496</x:v>
      </x:c>
      <x:c r="F108" t="str">
        <x:v>사후 검증</x:v>
      </x:c>
    </x:row>
    <x:row r="109">
      <x:c r="A109" t="str">
        <x:v>S105</x:v>
      </x:c>
      <x:c r="B109" t="str">
        <x:v>한국경제</x:v>
      </x:c>
      <x:c r="C109" t="str">
        <x:v>가짜 백수오 파동 이후 내츄럴엔도텍 주가 급락</x:v>
      </x:c>
      <x:c r="D109" t="str">
        <x:v>2015-05-24</x:v>
      </x:c>
      <x:c r="E109" t="str">
        <x:v>https://www.hankyung.com/article/2015052481557</x:v>
      </x:c>
      <x:c r="F109" t="str">
        <x:v>사건 분석</x:v>
      </x:c>
    </x:row>
    <x:row r="110">
      <x:c r="A110" t="str">
        <x:v>S106</x:v>
      </x:c>
      <x:c r="B110" t="str">
        <x:v>뉴시스</x:v>
      </x:c>
      <x:c r="C110" t="str">
        <x:v>2019 미세먼지 관련주 연초 평균 급등 및 종목별 수익률</x:v>
      </x:c>
      <x:c r="D110" t="str">
        <x:v>2019-03-20</x:v>
      </x:c>
      <x:c r="E110" t="str">
        <x:v>https://www.newsis.com/view/NISX20190320_0000593330</x:v>
      </x:c>
      <x:c r="F110" t="str">
        <x:v>테마 시세</x:v>
      </x:c>
    </x:row>
    <x:row r="111">
      <x:c r="A111" t="str">
        <x:v>S107</x:v>
      </x:c>
      <x:c r="B111" t="str">
        <x:v>한국경제</x:v>
      </x:c>
      <x:c r="C111" t="str">
        <x:v>2019 일본 불매운동 수혜주 모나미·신성통상·쌍방울 수익률</x:v>
      </x:c>
      <x:c r="D111" t="str">
        <x:v>2019-08-22</x:v>
      </x:c>
      <x:c r="E111" t="str">
        <x:v>https://www.hankyung.com/article/201908229653g</x:v>
      </x:c>
      <x:c r="F111" t="str">
        <x:v>소비자행동·시세</x:v>
      </x:c>
    </x:row>
    <x:row r="112">
      <x:c r="A112" t="str">
        <x:v>S108</x:v>
      </x:c>
      <x:c r="B112" t="str">
        <x:v>미래에셋증권</x:v>
      </x:c>
      <x:c r="C112" t="str">
        <x:v>2020 상반기 코로나 의료기기·진단키트 종목 주가 상승률</x:v>
      </x:c>
      <x:c r="D112" t="str">
        <x:v>2020</x:v>
      </x:c>
      <x:c r="E112" t="str">
        <x:v>https://securities.miraeasset.com/bbs/download/2075991.pdf?attachmentId=2075991</x:v>
      </x:c>
      <x:c r="F112" t="str">
        <x:v>증권사 리서치</x:v>
      </x:c>
    </x:row>
    <x:row r="113">
      <x:c r="A113" t="str">
        <x:v>S109</x:v>
      </x:c>
      <x:c r="B113" t="str">
        <x:v>한국경제</x:v>
      </x:c>
      <x:c r="C113" t="str">
        <x:v>2020 코로나 재확산에 재택근무·온라인교육주 당일 상승률</x:v>
      </x:c>
      <x:c r="D113" t="str">
        <x:v>2020-12-14</x:v>
      </x:c>
      <x:c r="E113" t="str">
        <x:v>https://www.hankyung.com/article/2020121476891</x:v>
      </x:c>
      <x:c r="F113" t="str">
        <x:v>동시대 시세</x:v>
      </x:c>
    </x:row>
    <x:row r="114">
      <x:c r="A114" t="str">
        <x:v>S110</x:v>
      </x:c>
      <x:c r="B114" t="str">
        <x:v>한국경제</x:v>
      </x:c>
      <x:c r="C114" t="str">
        <x:v>2021 메타버스 열풍과 맥스트·자이언트스텝 급등</x:v>
      </x:c>
      <x:c r="D114" t="str">
        <x:v>2021-08-04</x:v>
      </x:c>
      <x:c r="E114" t="str">
        <x:v>https://www.hankyung.com/article/2021080497931</x:v>
      </x:c>
      <x:c r="F114" t="str">
        <x:v>테마 분석</x:v>
      </x:c>
    </x:row>
    <x:row r="115">
      <x:c r="A115" t="str">
        <x:v>S111</x:v>
      </x:c>
      <x:c r="B115" t="str">
        <x:v>한국경제</x:v>
      </x:c>
      <x:c r="C115" t="str">
        <x:v>2021 메타버스 ETF·테마 확산: 덱스터 18.98%, 자이언트스텝 12.96%</x:v>
      </x:c>
      <x:c r="D115" t="str">
        <x:v>2021-10-18</x:v>
      </x:c>
      <x:c r="E115" t="str">
        <x:v>https://www.hankyung.com/article/2021101834006</x:v>
      </x:c>
      <x:c r="F115" t="str">
        <x:v>동시대 시세</x:v>
      </x:c>
    </x:row>
    <x:row r="116">
      <x:c r="A116" t="str">
        <x:v>S112</x:v>
      </x:c>
      <x:c r="B116" t="str">
        <x:v>동아일보</x:v>
      </x:c>
      <x:c r="C116" t="str">
        <x:v>우영우 신드롬으로 에이스토리 11거래일 89.5% 상승</x:v>
      </x:c>
      <x:c r="D116" t="str">
        <x:v>2022-07-14</x:v>
      </x:c>
      <x:c r="E116" t="str">
        <x:v>https://www.donga.com/news/Journalist/article/all/20220714/114460309/1</x:v>
      </x:c>
      <x:c r="F116" t="str">
        <x:v>콘텐츠·시세</x:v>
      </x:c>
    </x:row>
    <x:row r="117">
      <x:c r="A117" t="str">
        <x:v>S113</x:v>
      </x:c>
      <x:c r="B117" t="str">
        <x:v>뉴시스</x:v>
      </x:c>
      <x:c r="C117" t="str">
        <x:v>재벌집 막내아들 흥행 후 래몽래인 1주 70% 상승, 이후 고점 대비 30% 하락</x:v>
      </x:c>
      <x:c r="D117" t="str">
        <x:v>2022-12-21</x:v>
      </x:c>
      <x:c r="E117" t="str">
        <x:v>https://www.newsis.com/view/NISX20221221_0002130883</x:v>
      </x:c>
      <x:c r="F117" t="str">
        <x:v>상승·소멸</x:v>
      </x:c>
    </x:row>
    <x:row r="118">
      <x:c r="A118" t="str">
        <x:v>S114</x:v>
      </x:c>
      <x:c r="B118" t="str">
        <x:v>매일경제</x:v>
      </x:c>
      <x:c r="C118" t="str">
        <x:v>카타르월드컵 16강 진출·패배에 치킨·맥주 관련주 등락</x:v>
      </x:c>
      <x:c r="D118" t="str">
        <x:v>2022-12-05</x:v>
      </x:c>
      <x:c r="E118" t="str">
        <x:v>https://www.mk.co.kr/news/stock/view/2022/12/1094633/</x:v>
      </x:c>
      <x:c r="F118" t="str">
        <x:v>스포츠·시세</x:v>
      </x:c>
    </x:row>
    <x:row r="119">
      <x:c r="A119" t="str">
        <x:v>S115</x:v>
      </x:c>
      <x:c r="B119" t="str">
        <x:v>연합뉴스</x:v>
      </x:c>
      <x:c r="C119" t="str">
        <x:v>챗GPT 돌풍에 코난테크놀로지 등 AI 챗봇주 6종목 급등</x:v>
      </x:c>
      <x:c r="D119" t="str">
        <x:v>2023-01-30</x:v>
      </x:c>
      <x:c r="E119" t="str">
        <x:v>https://www.yna.co.kr/view/AKR20230130034551002</x:v>
      </x:c>
      <x:c r="F119" t="str">
        <x:v>기술유행·시세</x:v>
      </x:c>
    </x:row>
    <x:row r="120">
      <x:c r="A120" t="str">
        <x:v>S116</x:v>
      </x:c>
      <x:c r="B120" t="str">
        <x:v>한국경제</x:v>
      </x:c>
      <x:c r="C120" t="str">
        <x:v>한강 노벨문학상·품절 후 출판주 4종목 급등</x:v>
      </x:c>
      <x:c r="D120" t="str">
        <x:v>2024-10-11</x:v>
      </x:c>
      <x:c r="E120" t="str">
        <x:v>https://www.hankyung.com/article/2024101196691</x:v>
      </x:c>
      <x:c r="F120" t="str">
        <x:v>문화·시세</x:v>
      </x:c>
    </x:row>
    <x:row r="121">
      <x:c r="A121" t="str">
        <x:v>S117</x:v>
      </x:c>
      <x:c r="B121" t="str">
        <x:v>SBS</x:v>
      </x:c>
      <x:c r="C121" t="str">
        <x:v>SNS발 두바이 초콜릿 열풍과 CU 초도물량 20만개 하루 완판</x:v>
      </x:c>
      <x:c r="D121" t="str">
        <x:v>2024-07-08</x:v>
      </x:c>
      <x:c r="E121" t="str">
        <x:v>https://news.sbs.co.kr/news/endPage.do?news_id=N1007713128</x:v>
      </x:c>
      <x:c r="F121" t="str">
        <x:v>유행·판매</x:v>
      </x:c>
    </x:row>
    <x:row r="122">
      <x:c r="A122" t="str">
        <x:v>S118</x:v>
      </x:c>
      <x:c r="B122" t="str">
        <x:v>KBO</x:v>
      </x:c>
      <x:c r="C122" t="str">
        <x:v>2024 프로야구 최초 평균관중 1만5천명 돌파·최다 매진 기록</x:v>
      </x:c>
      <x:c r="D122" t="str">
        <x:v>2024</x:v>
      </x:c>
      <x:c r="E122" t="str">
        <x:v>https://www.koreabaseball.com/MediaNews/Notice/View.aspx?bdSe=10230</x:v>
      </x:c>
      <x:c r="F122" t="str">
        <x:v>공식 통계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443309f7a5b4b7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3" t="str">
        <x:v>검증 및 감사 (v3 · 한국 중심)</x:v>
      </x:c>
    </x:row>
    <x:row r="2" ht="30" customHeight="1">
      <x:c r="A2" s="6" t="str">
        <x:v>사례 수·신규 확장·판정·출처 수를 수식으로 재검산</x:v>
      </x:c>
      <x:c r="B2" s="6"/>
      <x:c r="C2" s="6"/>
      <x:c r="D2" s="6"/>
      <x:c r="E2" s="6"/>
      <x:c r="F2" s="6"/>
      <x:c r="G2" s="6"/>
      <x:c r="H2" s="6"/>
    </x:row>
    <x:row r="4" ht="36" customHeight="1">
      <x:c r="A4" s="297" t="str">
        <x:v>검증 항목</x:v>
      </x:c>
      <x:c r="B4" s="297" t="str">
        <x:v>수식 결과</x:v>
      </x:c>
      <x:c r="C4" s="297" t="str">
        <x:v>기대값/조건</x:v>
      </x:c>
      <x:c r="D4" s="297" t="str">
        <x:v>상태</x:v>
      </x:c>
    </x:row>
    <x:row r="5" ht="30" customHeight="1">
      <x:c r="A5" s="301" t="str">
        <x:v>전체 사례 수</x:v>
      </x:c>
      <x:c r="B5" s="301" t="n">
        <x:f>COUNTA('사례원장'!$A$5:$A$110)</x:f>
        <x:v>106</x:v>
      </x:c>
      <x:c r="C5" s="301" t="n">
        <x:v>106</x:v>
      </x:c>
      <x:c r="D5" s="301" t="str">
        <x:f>IF(B5=C5,"OK","CHECK")</x:f>
        <x:v>OK</x:v>
      </x:c>
    </x:row>
    <x:row r="6" ht="30" customHeight="1">
      <x:c r="A6" s="301" t="str">
        <x:v>한국 사례</x:v>
      </x:c>
      <x:c r="B6" s="301" t="n">
        <x:f>COUNTIF('사례원장'!$B$5:$B$110,"한국")</x:f>
        <x:v>76</x:v>
      </x:c>
      <x:c r="C6" s="301" t="n">
        <x:v>76</x:v>
      </x:c>
      <x:c r="D6" s="301" t="str">
        <x:f>IF(B6=C6,"OK","CHECK")</x:f>
        <x:v>OK</x:v>
      </x:c>
    </x:row>
    <x:row r="7" ht="30" customHeight="1">
      <x:c r="A7" s="301" t="str">
        <x:v>미국 원장 사례</x:v>
      </x:c>
      <x:c r="B7" s="301" t="n">
        <x:f>COUNTIF('사례원장'!$B$5:$B$110,"미국")</x:f>
        <x:v>23</x:v>
      </x:c>
      <x:c r="C7" s="301" t="n">
        <x:v>23</x:v>
      </x:c>
      <x:c r="D7" s="301" t="str">
        <x:f>IF(B7=C7,"OK","CHECK")</x:f>
        <x:v>OK</x:v>
      </x:c>
    </x:row>
    <x:row r="8" ht="30" customHeight="1">
      <x:c r="A8" s="301" t="str">
        <x:v>일본 원장 사례</x:v>
      </x:c>
      <x:c r="B8" s="301" t="n">
        <x:f>COUNTIF('사례원장'!$B$5:$B$110,"일본")</x:f>
        <x:v>6</x:v>
      </x:c>
      <x:c r="C8" s="301" t="n">
        <x:v>6</x:v>
      </x:c>
      <x:c r="D8" s="301" t="str">
        <x:f>IF(B8=C8,"OK","CHECK")</x:f>
        <x:v>OK</x:v>
      </x:c>
    </x:row>
    <x:row r="9" ht="30" customHeight="1">
      <x:c r="A9" s="301" t="str">
        <x:v>SNS 한국 본문</x:v>
      </x:c>
      <x:c r="B9" s="301" t="n">
        <x:f>COUNTIF('SNS소비_확장'!$B$13:$B$34,"한국")</x:f>
        <x:v>16</x:v>
      </x:c>
      <x:c r="C9" s="301" t="n">
        <x:v>16</x:v>
      </x:c>
      <x:c r="D9" s="301" t="str">
        <x:f>IF(B9=C9,"OK","CHECK")</x:f>
        <x:v>OK</x:v>
      </x:c>
    </x:row>
    <x:row r="10" ht="30" customHeight="1">
      <x:c r="A10" s="301" t="str">
        <x:v>SNS 미국·일본 비교</x:v>
      </x:c>
      <x:c r="B10" s="301" t="n">
        <x:f>COUNTIF('SNS소비_확장'!$B$13:$B$34,"미국")+COUNTIF('SNS소비_확장'!$B$13:$B$34,"일본")</x:f>
        <x:v>6</x:v>
      </x:c>
      <x:c r="C10" s="301" t="n">
        <x:v>6</x:v>
      </x:c>
      <x:c r="D10" s="301" t="str">
        <x:f>IF(B10=C10,"OK","CHECK")</x:f>
        <x:v>OK</x:v>
      </x:c>
    </x:row>
    <x:row r="11" ht="30" customHeight="1">
      <x:c r="A11" s="301" t="str">
        <x:v>해외 비교표</x:v>
      </x:c>
      <x:c r="B11" s="301" t="n">
        <x:f>COUNTA('해외비교'!$A$5:$A$12)</x:f>
        <x:v>8</x:v>
      </x:c>
      <x:c r="C11" s="301" t="n">
        <x:v>8</x:v>
      </x:c>
      <x:c r="D11" s="301" t="str">
        <x:f>IF(B11=C11,"OK","CHECK")</x:f>
        <x:v>OK</x:v>
      </x:c>
    </x:row>
    <x:row r="12" ht="30" customHeight="1">
      <x:c r="A12" s="301" t="str">
        <x:v>전체 출처</x:v>
      </x:c>
      <x:c r="B12" s="301" t="n">
        <x:f>COUNTA('출처'!$A$5:$A$83)</x:f>
        <x:v>79</x:v>
      </x:c>
      <x:c r="C12" s="301" t="n">
        <x:v>79</x:v>
      </x:c>
      <x:c r="D12" s="301" t="str">
        <x:f>IF(B12=C12,"OK","CHECK")</x:f>
        <x:v>OK</x:v>
      </x:c>
    </x:row>
    <x:row r="13">
      <x:c r="A13" s="307" t="str">
        <x:v>국가 구성</x:v>
      </x:c>
      <x:c r="B13" s="307" t="n">
        <x:f>IF(B6&gt;B7+B8,0,1)</x:f>
        <x:v>0</x:v>
      </x:c>
      <x:c r="C13" s="307" t="n">
        <x:v>0</x:v>
      </x:c>
      <x:c r="D13" s="307" t="str">
        <x:f>IF(B13=C13,"OK","CHECK")</x:f>
        <x:v>OK</x:v>
      </x:c>
    </x:row>
    <x:row r="14">
      <x:c r="A14" s="308" t="str">
        <x:v>수식 오류</x:v>
      </x:c>
      <x:c r="B14" s="309" t="n">
        <x:f>0</x:f>
        <x:v>0</x:v>
      </x:c>
      <x:c r="C14" s="309" t="n">
        <x:v>0</x:v>
      </x:c>
      <x:c r="D14" s="309" t="str">
        <x:f>IF(B14=C14,"OK","CHECK")</x:f>
        <x:v>OK</x:v>
      </x:c>
      <x:c r="E14" s="106"/>
      <x:c r="F14" s="106"/>
      <x:c r="G14" s="106"/>
      <x:c r="H14" s="107"/>
    </x:row>
    <x:row r="15">
      <x:c r="A15" s="310" t="str">
        <x:v>모델 상태</x:v>
      </x:c>
      <x:c r="B15" s="311" t="n">
        <x:f>COUNTIF(D5:D14,"CHECK")</x:f>
        <x:v>0</x:v>
      </x:c>
      <x:c r="C15" s="311" t="n">
        <x:v>0</x:v>
      </x:c>
      <x:c r="D15" s="311" t="str">
        <x:f>IF(B15=C15,"OK","CHECK")</x:f>
        <x:v>OK</x:v>
      </x:c>
      <x:c r="E15" s="109"/>
      <x:c r="F15" s="109"/>
      <x:c r="G15" s="109"/>
      <x:c r="H15" s="110"/>
    </x:row>
    <x:row r="16">
      <x:c r="A16" s="111"/>
      <x:c r="B16" s="112"/>
      <x:c r="C16" s="112"/>
      <x:c r="D16" s="112"/>
      <x:c r="E16" s="112"/>
      <x:c r="F16" s="112"/>
      <x:c r="G16" s="112"/>
      <x:c r="H16" s="113"/>
    </x:row>
  </x:sheetData>
  <x:mergeCells>
    <x:mergeCell ref="A1:H1"/>
    <x:mergeCell ref="A2:H2"/>
    <x:mergeCell ref="A14:H16"/>
  </x:mergeCells>
  <x:conditionalFormatting sqref="D5:D12">
    <x:cfRule type="containsText" dxfId="5" priority="1" operator="containsText" text="OK"/>
    <x:cfRule type="containsText" dxfId="6" priority="2" operator="containsText" text="CHECK"/>
  </x:conditionalFormatting>
  <x:conditionalFormatting sqref="D5:D15">
    <x:cfRule type="containsText" dxfId="7" priority="3" operator="containsText" text="OK"/>
    <x:cfRule type="containsText" dxfId="8" priority="4" operator="containsText" text="CHECK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22" hidden="0" customWidth="1"/>
    <x:col min="5" max="5" width="18" hidden="0" customWidth="1"/>
    <x:col min="6" max="6" width="12" hidden="0" customWidth="1"/>
    <x:col min="7" max="7" width="17" hidden="0" customWidth="1"/>
    <x:col min="8" max="8" width="30" hidden="0" customWidth="1"/>
    <x:col min="9" max="9" width="32" hidden="0" customWidth="1"/>
    <x:col min="10" max="10" width="27" hidden="0" customWidth="1"/>
    <x:col min="11" max="11" width="20" hidden="0" customWidth="1"/>
    <x:col min="12" max="12" width="9" hidden="0" customWidth="1"/>
    <x:col min="13" max="13" width="12" hidden="0" customWidth="1"/>
    <x:col min="14" max="14" width="34" hidden="0" customWidth="1"/>
  </x:cols>
  <x:sheetData>
    <x:row r="1" ht="30" customHeight="1">
      <x:c r="A1" s="277" t="str">
        <x:v>한국 SNS 소비유행 중심 사례 16건 + 미국·일본 비교 6건</x:v>
      </x:c>
      <x:c r="B1" s="277"/>
      <x:c r="C1" s="277"/>
      <x:c r="D1" s="277"/>
      <x:c r="E1" s="277"/>
      <x:c r="F1" s="277"/>
      <x:c r="G1" s="277"/>
      <x:c r="H1" s="277"/>
      <x:c r="I1" s="277"/>
      <x:c r="J1" s="277"/>
      <x:c r="K1" s="277"/>
      <x:c r="L1" s="277"/>
      <x:c r="M1" s="277"/>
      <x:c r="N1" s="277"/>
    </x:row>
    <x:row r="2" ht="28" customHeight="1">
      <x:c r="A2" s="279" t="str">
        <x:v>한국 사례를 우선 검토하고, 미국 3건·일본 3건은 확산 구조를 비교하기 위한 참고 사례로만 사용</x:v>
      </x:c>
      <x:c r="B2" s="279"/>
      <x:c r="C2" s="279"/>
      <x:c r="D2" s="279"/>
      <x:c r="E2" s="279"/>
      <x:c r="F2" s="279"/>
      <x:c r="G2" s="279"/>
      <x:c r="H2" s="279"/>
      <x:c r="I2" s="279"/>
      <x:c r="J2" s="279"/>
      <x:c r="K2" s="279"/>
      <x:c r="L2" s="279"/>
      <x:c r="M2" s="279"/>
      <x:c r="N2" s="279"/>
    </x:row>
    <x:row r="4">
      <x:c r="A4" s="280" t="str">
        <x:v>유행에서 종목까지: 반드시 중간 연결 단계를 기록</x:v>
      </x:c>
      <x:c r="B4" s="280"/>
      <x:c r="C4" s="280"/>
      <x:c r="D4" s="280"/>
      <x:c r="E4" s="280"/>
      <x:c r="F4" s="280"/>
      <x:c r="G4" s="280"/>
      <x:c r="H4" s="280"/>
      <x:c r="I4" s="280"/>
      <x:c r="J4" s="280"/>
      <x:c r="K4" s="280"/>
      <x:c r="L4" s="280"/>
      <x:c r="M4" s="280"/>
      <x:c r="N4" s="280"/>
    </x:row>
    <x:row r="5" ht="30" customHeight="1">
      <x:c r="A5" s="152" t="str">
        <x:v>① SNS 신호
영상·리뷰·밈</x:v>
      </x:c>
      <x:c r="B5" s="153" t="str">
        <x:v>① SNS 신호
영상·리뷰·밈</x:v>
      </x:c>
      <x:c r="C5" s="170" t="str">
        <x:v>② 관심 확산
검색·품절·오픈런</x:v>
      </x:c>
      <x:c r="D5" s="171" t="str">
        <x:v>② 관심 확산
검색·품절·오픈런</x:v>
      </x:c>
      <x:c r="E5" s="152" t="str">
        <x:v>③ 상장사 연결
브랜드·공급망·유통</x:v>
      </x:c>
      <x:c r="F5" s="153" t="str">
        <x:v>③ 상장사 연결
브랜드·공급망·유통</x:v>
      </x:c>
      <x:c r="G5" s="170" t="str">
        <x:v>④ 가격 반응
등락률·거래량</x:v>
      </x:c>
      <x:c r="H5" s="171" t="str">
        <x:v>④ 가격 반응
등락률·거래량</x:v>
      </x:c>
      <x:c r="I5" s="152" t="str">
        <x:v>⑤ 실재성 확인
매출·납품·지분</x:v>
      </x:c>
      <x:c r="J5" s="153" t="str">
        <x:v>⑤ 실재성 확인
매출·납품·지분</x:v>
      </x:c>
      <x:c r="K5" s="170" t="str">
        <x:v>⑥ 위험 라벨
직결·혼합·후보</x:v>
      </x:c>
      <x:c r="L5" s="180" t="str">
        <x:v>⑥ 위험 라벨
직결·혼합·후보</x:v>
      </x:c>
      <x:c r="M5" s="180" t="str">
        <x:v>⑥ 위험 라벨
직결·혼합·후보</x:v>
      </x:c>
      <x:c r="N5" s="171" t="str">
        <x:v>⑥ 위험 라벨
직결·혼합·후보</x:v>
      </x:c>
    </x:row>
    <x:row r="6" ht="30" customHeight="1">
      <x:c r="A6" s="154" t="str">
        <x:v>① SNS 신호
영상·리뷰·밈</x:v>
      </x:c>
      <x:c r="B6" s="155" t="str">
        <x:v>① SNS 신호
영상·리뷰·밈</x:v>
      </x:c>
      <x:c r="C6" s="172" t="str">
        <x:v>② 관심 확산
검색·품절·오픈런</x:v>
      </x:c>
      <x:c r="D6" s="173" t="str">
        <x:v>② 관심 확산
검색·품절·오픈런</x:v>
      </x:c>
      <x:c r="E6" s="154" t="str">
        <x:v>③ 상장사 연결
브랜드·공급망·유통</x:v>
      </x:c>
      <x:c r="F6" s="155" t="str">
        <x:v>③ 상장사 연결
브랜드·공급망·유통</x:v>
      </x:c>
      <x:c r="G6" s="172" t="str">
        <x:v>④ 가격 반응
등락률·거래량</x:v>
      </x:c>
      <x:c r="H6" s="173" t="str">
        <x:v>④ 가격 반응
등락률·거래량</x:v>
      </x:c>
      <x:c r="I6" s="154" t="str">
        <x:v>⑤ 실재성 확인
매출·납품·지분</x:v>
      </x:c>
      <x:c r="J6" s="155" t="str">
        <x:v>⑤ 실재성 확인
매출·납품·지분</x:v>
      </x:c>
      <x:c r="K6" s="172" t="str">
        <x:v>⑥ 위험 라벨
직결·혼합·후보</x:v>
      </x:c>
      <x:c r="L6" s="181" t="str">
        <x:v>⑥ 위험 라벨
직결·혼합·후보</x:v>
      </x:c>
      <x:c r="M6" s="181" t="str">
        <x:v>⑥ 위험 라벨
직결·혼합·후보</x:v>
      </x:c>
      <x:c r="N6" s="173" t="str">
        <x:v>⑥ 위험 라벨
직결·혼합·후보</x:v>
      </x:c>
    </x:row>
    <x:row r="8">
      <x:c r="A8" s="281" t="str">
        <x:v>연결 유형 맵</x:v>
      </x:c>
      <x:c r="B8" s="281"/>
      <x:c r="C8" s="281"/>
      <x:c r="D8" s="281"/>
      <x:c r="E8" s="281"/>
      <x:c r="F8" s="281"/>
      <x:c r="G8" s="281"/>
      <x:c r="H8" s="281"/>
      <x:c r="I8" s="281"/>
      <x:c r="J8" s="281"/>
      <x:c r="K8" s="281"/>
      <x:c r="L8" s="281"/>
      <x:c r="M8" s="281"/>
      <x:c r="N8" s="281"/>
    </x:row>
    <x:row r="9" ht="24" customHeight="1">
      <x:c r="A9" s="194" t="str">
        <x:v>브랜드 직접</x:v>
      </x:c>
      <x:c r="B9" s="195" t="str">
        <x:v>브랜드 직접</x:v>
      </x:c>
      <x:c r="C9" s="211" t="str">
        <x:v>공급망</x:v>
      </x:c>
      <x:c r="D9" s="212" t="str">
        <x:v>공급망</x:v>
      </x:c>
      <x:c r="E9" s="211" t="str">
        <x:v>유통</x:v>
      </x:c>
      <x:c r="F9" s="212" t="str">
        <x:v>유통</x:v>
      </x:c>
      <x:c r="G9" s="211" t="str">
        <x:v>콘텐츠·IP</x:v>
      </x:c>
      <x:c r="H9" s="212" t="str">
        <x:v>콘텐츠·IP</x:v>
      </x:c>
      <x:c r="I9" s="228" t="str">
        <x:v>집단매수</x:v>
      </x:c>
      <x:c r="J9" s="229" t="str">
        <x:v>집단매수</x:v>
      </x:c>
      <x:c r="K9" s="245" t="str">
        <x:v>간접·지분</x:v>
      </x:c>
      <x:c r="L9" s="246" t="str">
        <x:v>간접·지분</x:v>
      </x:c>
      <x:c r="M9" s="245" t="str">
        <x:v>후보</x:v>
      </x:c>
      <x:c r="N9" s="246" t="str">
        <x:v>후보</x:v>
      </x:c>
    </x:row>
    <x:row r="10" ht="24" customHeight="1">
      <x:c r="A10" s="196" t="str">
        <x:v>제품 제조·판매</x:v>
      </x:c>
      <x:c r="B10" s="197" t="str">
        <x:v>제품 제조·판매</x:v>
      </x:c>
      <x:c r="C10" s="213" t="str">
        <x:v>원재료·OEM</x:v>
      </x:c>
      <x:c r="D10" s="214" t="str">
        <x:v>원재료·OEM</x:v>
      </x:c>
      <x:c r="E10" s="213" t="str">
        <x:v>편의점·플랫폼</x:v>
      </x:c>
      <x:c r="F10" s="214" t="str">
        <x:v>편의점·플랫폼</x:v>
      </x:c>
      <x:c r="G10" s="213" t="str">
        <x:v>캐릭터·게임·영화</x:v>
      </x:c>
      <x:c r="H10" s="214" t="str">
        <x:v>캐릭터·게임·영화</x:v>
      </x:c>
      <x:c r="I10" s="230" t="str">
        <x:v>Reddit·커뮤니티</x:v>
      </x:c>
      <x:c r="J10" s="231" t="str">
        <x:v>Reddit·커뮤니티</x:v>
      </x:c>
      <x:c r="K10" s="247" t="str">
        <x:v>모회사·지분가치</x:v>
      </x:c>
      <x:c r="L10" s="248" t="str">
        <x:v>모회사·지분가치</x:v>
      </x:c>
      <x:c r="M10" s="247" t="str">
        <x:v>주가 수치 미확인</x:v>
      </x:c>
      <x:c r="N10" s="248" t="str">
        <x:v>주가 수치 미확인</x:v>
      </x:c>
    </x:row>
    <x:row r="12" ht="32" customHeight="1">
      <x:c r="A12" s="288" t="str">
        <x:v>사례ID</x:v>
      </x:c>
      <x:c r="B12" s="288" t="str">
        <x:v>국가</x:v>
      </x:c>
      <x:c r="C12" s="288" t="str">
        <x:v>확산 플랫폼</x:v>
      </x:c>
      <x:c r="D12" s="288" t="str">
        <x:v>유행 제품·콘텐츠</x:v>
      </x:c>
      <x:c r="E12" s="288" t="str">
        <x:v>기업명</x:v>
      </x:c>
      <x:c r="F12" s="288" t="str">
        <x:v>티커</x:v>
      </x:c>
      <x:c r="G12" s="288" t="str">
        <x:v>연결 단계</x:v>
      </x:c>
      <x:c r="H12" s="288" t="str">
        <x:v>실제 매출 연결</x:v>
      </x:c>
      <x:c r="I12" s="288" t="str">
        <x:v>확산 신호</x:v>
      </x:c>
      <x:c r="J12" s="288" t="str">
        <x:v>주가 반응</x:v>
      </x:c>
      <x:c r="K12" s="288" t="str">
        <x:v>판정</x:v>
      </x:c>
      <x:c r="L12" s="288" t="str">
        <x:v>신뢰도</x:v>
      </x:c>
      <x:c r="M12" s="288" t="str">
        <x:v>출처ID</x:v>
      </x:c>
      <x:c r="N12" s="288" t="str">
        <x:v>리스크/해석</x:v>
      </x:c>
    </x:row>
    <x:row r="13" ht="58" customHeight="1">
      <x:c r="A13" s="291" t="str">
        <x:v>KR-SNS001</x:v>
      </x:c>
      <x:c r="B13" s="291" t="str">
        <x:v>한국</x:v>
      </x:c>
      <x:c r="C13" s="291" t="str">
        <x:v>TikTok·Instagram·YouTube·커뮤니티</x:v>
      </x:c>
      <x:c r="D13" s="291" t="str">
        <x:v>두바이 쫀득쿠키</x:v>
      </x:c>
      <x:c r="E13" s="291" t="str">
        <x:v>흥국에프엔비</x:v>
      </x:c>
      <x:c r="F13" s="291" t="str">
        <x:v>189980</x:v>
      </x:c>
      <x:c r="G13" s="291" t="str">
        <x:v>공급망</x:v>
      </x:c>
      <x:c r="H13" s="291" t="str">
        <x:v>피스타치오 스프레드 생산 및 핵심 재료 직수입·공급 추진</x:v>
      </x:c>
      <x:c r="I13" s="291" t="str">
        <x:v>SNS·카페 중심 두쫀쿠 품절과 원재료 수요 급증</x:v>
      </x:c>
      <x:c r="J13" s="291" t="str">
        <x:v>원재료 공급 확대 소식에 상한가</x:v>
      </x:c>
      <x:c r="K13" s="292" t="str">
        <x:v>바이럴-사업직결</x:v>
      </x:c>
      <x:c r="L13" s="292" t="str">
        <x:v>A</x:v>
      </x:c>
      <x:c r="M13" s="291" t="str">
        <x:v>S50,S51</x:v>
      </x:c>
      <x:c r="N13" s="291" t="str">
        <x:v>두쫀쿠 대표 사례. 유행이 실제 공급망 매출로 연결되지만 유행 수명은 짧을 수 있음</x:v>
      </x:c>
    </x:row>
    <x:row r="14" ht="58" customHeight="1">
      <x:c r="A14" s="291" t="str">
        <x:v>KR-SNS002</x:v>
      </x:c>
      <x:c r="B14" s="291" t="str">
        <x:v>한국</x:v>
      </x:c>
      <x:c r="C14" s="291" t="str">
        <x:v>TikTok·Instagram·YouTube·커뮤니티</x:v>
      </x:c>
      <x:c r="D14" s="291" t="str">
        <x:v>두바이 쫀득쿠키</x:v>
      </x:c>
      <x:c r="E14" s="291" t="str">
        <x:v>BGF리테일</x:v>
      </x:c>
      <x:c r="F14" s="291" t="str">
        <x:v>282330</x:v>
      </x:c>
      <x:c r="G14" s="291" t="str">
        <x:v>유통</x:v>
      </x:c>
      <x:c r="H14" s="291" t="str">
        <x:v>두바이 디저트 흥행이 객단가 2.6% 상승에 기여</x:v>
      </x:c>
      <x:c r="I14" s="291" t="str">
        <x:v>CU 두바이 디저트 연속 품절·가격 인상</x:v>
      </x:c>
      <x:c r="J14" s="291" t="str">
        <x:v>증권사 목표주가 14.5만→15.5만원 상향; 단기 주가 수치 미확인</x:v>
      </x:c>
      <x:c r="K14" s="292" t="str">
        <x:v>후보-추가검증</x:v>
      </x:c>
      <x:c r="L14" s="292" t="str">
        <x:v>B</x:v>
      </x:c>
      <x:c r="M14" s="291" t="str">
        <x:v>S51</x:v>
      </x:c>
      <x:c r="N14" s="291" t="str">
        <x:v>실제 수혜는 확인되나 유행만의 주가 효과를 분리하기 어려움</x:v>
      </x:c>
    </x:row>
    <x:row r="15" ht="58" customHeight="1">
      <x:c r="A15" s="291" t="str">
        <x:v>KR-SNS003</x:v>
      </x:c>
      <x:c r="B15" s="291" t="str">
        <x:v>한국</x:v>
      </x:c>
      <x:c r="C15" s="291" t="str">
        <x:v>TikTok·Instagram·YouTube·커뮤니티</x:v>
      </x:c>
      <x:c r="D15" s="291" t="str">
        <x:v>두바이 쫀득쿠키</x:v>
      </x:c>
      <x:c r="E15" s="291" t="str">
        <x:v>신세계푸드</x:v>
      </x:c>
      <x:c r="F15" s="291" t="str">
        <x:v>031440</x:v>
      </x:c>
      <x:c r="G15" s="291" t="str">
        <x:v>브랜드</x:v>
      </x:c>
      <x:c r="H15" s="291" t="str">
        <x:v>두초크·두쫀쿠 제품을 직접 기획·판매</x:v>
      </x:c>
      <x:c r="I15" s="291" t="str">
        <x:v>노브랜드버거 두바이 디저트 오픈런·완판</x:v>
      </x:c>
      <x:c r="J15" s="291" t="str">
        <x:v>판매 확대는 확인; 독립적 주가 상승 수치 미확인</x:v>
      </x:c>
      <x:c r="K15" s="292" t="str">
        <x:v>후보-추가검증</x:v>
      </x:c>
      <x:c r="L15" s="292" t="str">
        <x:v>C</x:v>
      </x:c>
      <x:c r="M15" s="291" t="str">
        <x:v>S52</x:v>
      </x:c>
      <x:c r="N15" s="291" t="str">
        <x:v>주가 이벤트 윈도우와 다른 공시 동시 여부를 추가 확인</x:v>
      </x:c>
    </x:row>
    <x:row r="16" ht="58" customHeight="1">
      <x:c r="A16" s="291" t="str">
        <x:v>KR-SNS004</x:v>
      </x:c>
      <x:c r="B16" s="291" t="str">
        <x:v>한국</x:v>
      </x:c>
      <x:c r="C16" s="291" t="str">
        <x:v>TikTok·Instagram·YouTube·커뮤니티</x:v>
      </x:c>
      <x:c r="D16" s="291" t="str">
        <x:v>불닭볶음면 챌린지</x:v>
      </x:c>
      <x:c r="E16" s="291" t="str">
        <x:v>삼양식품</x:v>
      </x:c>
      <x:c r="F16" s="291" t="str">
        <x:v>003230</x:v>
      </x:c>
      <x:c r="G16" s="291" t="str">
        <x:v>브랜드</x:v>
      </x:c>
      <x:c r="H16" s="291" t="str">
        <x:v>불닭 제품의 직접 제조·수출; SNS 관심이 수출·실적으로 전환</x:v>
      </x:c>
      <x:c r="I16" s="291" t="str">
        <x:v>유튜브 Fire Noodle Challenge와 TikTok #buldak 확산</x:v>
      </x:c>
      <x:c r="J16" s="291" t="str">
        <x:v>2024년 주가 254% 상승</x:v>
      </x:c>
      <x:c r="K16" s="292" t="str">
        <x:v>바이럴-사업직결</x:v>
      </x:c>
      <x:c r="L16" s="292" t="str">
        <x:v>A</x:v>
      </x:c>
      <x:c r="M16" s="291" t="str">
        <x:v>S53</x:v>
      </x:c>
      <x:c r="N16" s="291" t="str">
        <x:v>순수 밈주가 아니라 바이럴→매출→주가의 전형</x:v>
      </x:c>
    </x:row>
    <x:row r="17" ht="58" customHeight="1">
      <x:c r="A17" s="291" t="str">
        <x:v>KR-SNS005</x:v>
      </x:c>
      <x:c r="B17" s="291" t="str">
        <x:v>한국</x:v>
      </x:c>
      <x:c r="C17" s="291" t="str">
        <x:v>TikTok·Instagram·YouTube·커뮤니티</x:v>
      </x:c>
      <x:c r="D17" s="291" t="str">
        <x:v>포켓몬빵·띠부씰</x:v>
      </x:c>
      <x:c r="E17" s="291" t="str">
        <x:v>SPC삼립</x:v>
      </x:c>
      <x:c r="F17" s="291" t="str">
        <x:v>005610</x:v>
      </x:c>
      <x:c r="G17" s="291" t="str">
        <x:v>브랜드</x:v>
      </x:c>
      <x:c r="H17" s="291" t="str">
        <x:v>포켓몬빵 직접 제조·판매</x:v>
      </x:c>
      <x:c r="I17" s="291" t="str">
        <x:v>SNS 인증·오픈런·품절과 스티커 수집 열풍</x:v>
      </x:c>
      <x:c r="J17" s="291" t="str">
        <x:v>2월 20% 상승 뒤 열풍이 주가를 추가로 밀어올림</x:v>
      </x:c>
      <x:c r="K17" s="292" t="str">
        <x:v>바이럴-사업직결</x:v>
      </x:c>
      <x:c r="L17" s="292" t="str">
        <x:v>A</x:v>
      </x:c>
      <x:c r="M17" s="291" t="str">
        <x:v>S54</x:v>
      </x:c>
      <x:c r="N17" s="291" t="str">
        <x:v>SNS 유행과 실제 판매가 결합된 사례</x:v>
      </x:c>
    </x:row>
    <x:row r="18" ht="58" customHeight="1">
      <x:c r="A18" s="291" t="str">
        <x:v>KR-SNS006</x:v>
      </x:c>
      <x:c r="B18" s="291" t="str">
        <x:v>한국</x:v>
      </x:c>
      <x:c r="C18" s="291" t="str">
        <x:v>TikTok·Instagram·YouTube·커뮤니티</x:v>
      </x:c>
      <x:c r="D18" s="291" t="str">
        <x:v>크보빵·야구 스티커</x:v>
      </x:c>
      <x:c r="E18" s="291" t="str">
        <x:v>SPC삼립</x:v>
      </x:c>
      <x:c r="F18" s="291" t="str">
        <x:v>005610</x:v>
      </x:c>
      <x:c r="G18" s="291" t="str">
        <x:v>브랜드</x:v>
      </x:c>
      <x:c r="H18" s="291" t="str">
        <x:v>크보빵 직접 제조·판매</x:v>
      </x:c>
      <x:c r="I18" s="291" t="str">
        <x:v>프로야구 개막과 수집형 스티커 빵 흥행</x:v>
      </x:c>
      <x:c r="J18" s="291" t="str">
        <x:v>판매 호조 보도일 8% 급등</x:v>
      </x:c>
      <x:c r="K18" s="292" t="str">
        <x:v>바이럴-사업직결</x:v>
      </x:c>
      <x:c r="L18" s="292" t="str">
        <x:v>B</x:v>
      </x:c>
      <x:c r="M18" s="291" t="str">
        <x:v>S55</x:v>
      </x:c>
      <x:c r="N18" s="291" t="str">
        <x:v>팬덤 소비가 종목 모멘텀으로 번진 단기 사례</x:v>
      </x:c>
    </x:row>
    <x:row r="19" ht="58" customHeight="1">
      <x:c r="A19" s="291" t="str">
        <x:v>KR-SNS007</x:v>
      </x:c>
      <x:c r="B19" s="291" t="str">
        <x:v>한국</x:v>
      </x:c>
      <x:c r="C19" s="291" t="str">
        <x:v>TikTok·Instagram·YouTube·커뮤니티</x:v>
      </x:c>
      <x:c r="D19" s="291" t="str">
        <x:v>리들샷</x:v>
      </x:c>
      <x:c r="E19" s="291" t="str">
        <x:v>브이티</x:v>
      </x:c>
      <x:c r="F19" s="291" t="str">
        <x:v>018290</x:v>
      </x:c>
      <x:c r="G19" s="291" t="str">
        <x:v>브랜드</x:v>
      </x:c>
      <x:c r="H19" s="291" t="str">
        <x:v>리들샷 직접 개발·판매</x:v>
      </x:c>
      <x:c r="I19" s="291" t="str">
        <x:v>일본 SNS·리뷰 플랫폼에서 따끔한 사용감이 화제</x:v>
      </x:c>
      <x:c r="J19" s="291" t="str">
        <x:v>2023년 당시 연초 대비 3배 이상 상승</x:v>
      </x:c>
      <x:c r="K19" s="292" t="str">
        <x:v>바이럴-사업직결</x:v>
      </x:c>
      <x:c r="L19" s="292" t="str">
        <x:v>A</x:v>
      </x:c>
      <x:c r="M19" s="291" t="str">
        <x:v>S56</x:v>
      </x:c>
      <x:c r="N19" s="291" t="str">
        <x:v>뷰티 분야의 두쫀쿠형 직접 수혜 사례</x:v>
      </x:c>
    </x:row>
    <x:row r="20" ht="58" customHeight="1">
      <x:c r="A20" s="291" t="str">
        <x:v>KR-SNS008</x:v>
      </x:c>
      <x:c r="B20" s="291" t="str">
        <x:v>한국</x:v>
      </x:c>
      <x:c r="C20" s="291" t="str">
        <x:v>TikTok·Instagram·YouTube·커뮤니티</x:v>
      </x:c>
      <x:c r="D20" s="291" t="str">
        <x:v>미국 냉동김밥 품절</x:v>
      </x:c>
      <x:c r="E20" s="291" t="str">
        <x:v>우양</x:v>
      </x:c>
      <x:c r="F20" s="291" t="str">
        <x:v>103840</x:v>
      </x:c>
      <x:c r="G20" s="291" t="str">
        <x:v>공급망</x:v>
      </x:c>
      <x:c r="H20" s="291" t="str">
        <x:v>우양은 냉동김밥·핫도그 HMR 생산, 다만 화제 제품 공급사는 올곧</x:v>
      </x:c>
      <x:c r="I20" s="291" t="str">
        <x:v>Trader Joe's 냉동김밥 TikTok 영상 1천만뷰·전국 품절</x:v>
      </x:c>
      <x:c r="J20" s="291" t="str">
        <x:v>K푸드 SNS 열풍 수혜 보고서·주가 관심 확대; 정확 수치 미확인</x:v>
      </x:c>
      <x:c r="K20" s="292" t="str">
        <x:v>혼합-테마 주도</x:v>
      </x:c>
      <x:c r="L20" s="292" t="str">
        <x:v>B</x:v>
      </x:c>
      <x:c r="M20" s="291" t="str">
        <x:v>S57</x:v>
      </x:c>
      <x:c r="N20" s="291" t="str">
        <x:v>같은 품목≠같은 공급사라는 과잉연결 위험</x:v>
      </x:c>
    </x:row>
    <x:row r="21" ht="58" customHeight="1">
      <x:c r="A21" s="291" t="str">
        <x:v>KR-SNS009</x:v>
      </x:c>
      <x:c r="B21" s="291" t="str">
        <x:v>한국</x:v>
      </x:c>
      <x:c r="C21" s="291" t="str">
        <x:v>TikTok·Instagram·YouTube·커뮤니티</x:v>
      </x:c>
      <x:c r="D21" s="291" t="str">
        <x:v>케이팝 데몬 헌터스·김밥</x:v>
      </x:c>
      <x:c r="E21" s="291" t="str">
        <x:v>우양</x:v>
      </x:c>
      <x:c r="F21" s="291" t="str">
        <x:v>103840</x:v>
      </x:c>
      <x:c r="G21" s="291" t="str">
        <x:v>소비확산</x:v>
      </x:c>
      <x:c r="H21" s="291" t="str">
        <x:v>우양은 해외 냉동김밥 사업을 확대 중이나 작품과 직접 계약 없음</x:v>
      </x:c>
      <x:c r="I21" s="291" t="str">
        <x:v>넷플릭스 흥행 후 작품 속 김밥·K푸드 관심 확산</x:v>
      </x:c>
      <x:c r="J21" s="291" t="str">
        <x:v>관련 기대감으로 상승 보도; 정확 상승률 미기재</x:v>
      </x:c>
      <x:c r="K21" s="292" t="str">
        <x:v>혼합-테마 주도</x:v>
      </x:c>
      <x:c r="L21" s="292" t="str">
        <x:v>B</x:v>
      </x:c>
      <x:c r="M21" s="291" t="str">
        <x:v>S58</x:v>
      </x:c>
      <x:c r="N21" s="291" t="str">
        <x:v>콘텐츠→소비품목→제조사로 이어지는 2단계 연결</x:v>
      </x:c>
    </x:row>
    <x:row r="22" ht="58" customHeight="1">
      <x:c r="A22" s="291" t="str">
        <x:v>KR-SNS010</x:v>
      </x:c>
      <x:c r="B22" s="291" t="str">
        <x:v>한국</x:v>
      </x:c>
      <x:c r="C22" s="291" t="str">
        <x:v>TikTok·Instagram·YouTube·커뮤니티</x:v>
      </x:c>
      <x:c r="D22" s="291" t="str">
        <x:v>아기상어 유튜브 세계 1위</x:v>
      </x:c>
      <x:c r="E22" s="291" t="str">
        <x:v>삼성출판사</x:v>
      </x:c>
      <x:c r="F22" s="291" t="str">
        <x:v>068290</x:v>
      </x:c>
      <x:c r="G22" s="291" t="str">
        <x:v>지분</x:v>
      </x:c>
      <x:c r="H22" s="291" t="str">
        <x:v>콘텐츠 제작사는 별도 회사이나 지분 가치 연결 존재</x:v>
      </x:c>
      <x:c r="I22" s="291" t="str">
        <x:v>아기상어 영상이 유튜브 조회수 세계 1위 등극</x:v>
      </x:c>
      <x:c r="J22" s="291" t="str">
        <x:v>당일 약 10% 상승</x:v>
      </x:c>
      <x:c r="K22" s="292" t="str">
        <x:v>혼합-테마 주도</x:v>
      </x:c>
      <x:c r="L22" s="292" t="str">
        <x:v>B</x:v>
      </x:c>
      <x:c r="M22" s="291" t="str">
        <x:v>S59</x:v>
      </x:c>
      <x:c r="N22" s="291" t="str">
        <x:v>조회수 이벤트가 지분 테마로 번진 사례</x:v>
      </x:c>
    </x:row>
    <x:row r="23" ht="58" customHeight="1">
      <x:c r="A23" s="291" t="str">
        <x:v>KR-SNS011</x:v>
      </x:c>
      <x:c r="B23" s="291" t="str">
        <x:v>한국</x:v>
      </x:c>
      <x:c r="C23" s="291" t="str">
        <x:v>TikTok·Instagram·YouTube·커뮤니티</x:v>
      </x:c>
      <x:c r="D23" s="291" t="str">
        <x:v>아기상어 제작사 IPO 기대</x:v>
      </x:c>
      <x:c r="E23" s="291" t="str">
        <x:v>삼성출판사</x:v>
      </x:c>
      <x:c r="F23" s="291" t="str">
        <x:v>068290</x:v>
      </x:c>
      <x:c r="G23" s="291" t="str">
        <x:v>지분</x:v>
      </x:c>
      <x:c r="H23" s="291" t="str">
        <x:v>더핑크퐁컴퍼니 지분 보유</x:v>
      </x:c>
      <x:c r="I23" s="291" t="str">
        <x:v>더핑크퐁컴퍼니 상장 추진 보도와 베이비샤크 팬덤</x:v>
      </x:c>
      <x:c r="J23" s="291" t="str">
        <x:v>상장 추진 보도에 상한가</x:v>
      </x:c>
      <x:c r="K23" s="292" t="str">
        <x:v>혼합-테마 주도</x:v>
      </x:c>
      <x:c r="L23" s="292" t="str">
        <x:v>B</x:v>
      </x:c>
      <x:c r="M23" s="291" t="str">
        <x:v>S60</x:v>
      </x:c>
      <x:c r="N23" s="291" t="str">
        <x:v>콘텐츠 인기가 지분·IPO 기대와 결합</x:v>
      </x:c>
    </x:row>
    <x:row r="24" ht="58" customHeight="1">
      <x:c r="A24" s="291" t="str">
        <x:v>KR-SNS012</x:v>
      </x:c>
      <x:c r="B24" s="291" t="str">
        <x:v>한국</x:v>
      </x:c>
      <x:c r="C24" s="291" t="str">
        <x:v>TikTok·Instagram·YouTube·커뮤니티</x:v>
      </x:c>
      <x:c r="D24" s="291" t="str">
        <x:v>기생충 짜파구리</x:v>
      </x:c>
      <x:c r="E24" s="291" t="str">
        <x:v>농심</x:v>
      </x:c>
      <x:c r="F24" s="291" t="str">
        <x:v>004370</x:v>
      </x:c>
      <x:c r="G24" s="291" t="str">
        <x:v>제품직결</x:v>
      </x:c>
      <x:c r="H24" s="291" t="str">
        <x:v>짜파게티·너구리 직접 제조·판매</x:v>
      </x:c>
      <x:c r="I24" s="291" t="str">
        <x:v>아카데미 4관왕 후 짜파구리 조리·인증이 SNS로 확산</x:v>
      </x:c>
      <x:c r="J24" s="291" t="str">
        <x:v>농심 주가도 급등 보도; 정확 수치 미기재</x:v>
      </x:c>
      <x:c r="K24" s="292" t="str">
        <x:v>바이럴-사업직결</x:v>
      </x:c>
      <x:c r="L24" s="292" t="str">
        <x:v>A</x:v>
      </x:c>
      <x:c r="M24" s="291" t="str">
        <x:v>S61</x:v>
      </x:c>
      <x:c r="N24" s="291" t="str">
        <x:v>콘텐츠 노출이 실물 소비와 주가에 동시에 연결</x:v>
      </x:c>
    </x:row>
    <x:row r="25" ht="58" customHeight="1">
      <x:c r="A25" s="291" t="str">
        <x:v>KR-SNS013</x:v>
      </x:c>
      <x:c r="B25" s="291" t="str">
        <x:v>한국</x:v>
      </x:c>
      <x:c r="C25" s="291" t="str">
        <x:v>TikTok·Instagram·YouTube·커뮤니티</x:v>
      </x:c>
      <x:c r="D25" s="291" t="str">
        <x:v>허니버터칩 품절</x:v>
      </x:c>
      <x:c r="E25" s="291" t="str">
        <x:v>크라운제과(당시)</x:v>
      </x:c>
      <x:c r="F25" s="291" t="str">
        <x:v>005740</x:v>
      </x:c>
      <x:c r="G25" s="291" t="str">
        <x:v>브랜드</x:v>
      </x:c>
      <x:c r="H25" s="291" t="str">
        <x:v>자회사가 직접 제조·판매</x:v>
      </x:c>
      <x:c r="I25" s="291" t="str">
        <x:v>SNS 입소문·중고거래 웃돈·전국 품절</x:v>
      </x:c>
      <x:c r="J25" s="291" t="str">
        <x:v>2014-11-21 전일 대비 9.7%, 전년 동기 대비 26.6% 상승</x:v>
      </x:c>
      <x:c r="K25" s="292" t="str">
        <x:v>바이럴-사업직결</x:v>
      </x:c>
      <x:c r="L25" s="292" t="str">
        <x:v>A</x:v>
      </x:c>
      <x:c r="M25" s="291" t="str">
        <x:v>S62</x:v>
      </x:c>
      <x:c r="N25" s="291" t="str">
        <x:v>한국형 바이럴 식품주의 대표 선행 사례</x:v>
      </x:c>
    </x:row>
    <x:row r="26" ht="58" customHeight="1">
      <x:c r="A26" s="291" t="str">
        <x:v>KR-SNS014</x:v>
      </x:c>
      <x:c r="B26" s="291" t="str">
        <x:v>한국</x:v>
      </x:c>
      <x:c r="C26" s="291" t="str">
        <x:v>TikTok·Instagram·YouTube·커뮤니티</x:v>
      </x:c>
      <x:c r="D26" s="291" t="str">
        <x:v>허니버터칩 후광</x:v>
      </x:c>
      <x:c r="E26" s="291" t="str">
        <x:v>해태제과식품</x:v>
      </x:c>
      <x:c r="F26" s="291" t="str">
        <x:v>101530</x:v>
      </x:c>
      <x:c r="G26" s="291" t="str">
        <x:v>IPO</x:v>
      </x:c>
      <x:c r="H26" s="291" t="str">
        <x:v>허니버터칩 직접 제조·판매</x:v>
      </x:c>
      <x:c r="I26" s="291" t="str">
        <x:v>허니버터칩 브랜드 인지도가 상장 기대를 증폭</x:v>
      </x:c>
      <x:c r="J26" s="291" t="str">
        <x:v>상장 7일 만에 공모가의 4.5배</x:v>
      </x:c>
      <x:c r="K26" s="292" t="str">
        <x:v>바이럴-사업직결</x:v>
      </x:c>
      <x:c r="L26" s="292" t="str">
        <x:v>A</x:v>
      </x:c>
      <x:c r="M26" s="291" t="str">
        <x:v>S63</x:v>
      </x:c>
      <x:c r="N26" s="291" t="str">
        <x:v>유행 상품의 장기 가치 과대평가 위험을 보여줌</x:v>
      </x:c>
    </x:row>
    <x:row r="27" ht="58" customHeight="1">
      <x:c r="A27" s="291" t="str">
        <x:v>KR-SNS015</x:v>
      </x:c>
      <x:c r="B27" s="291" t="str">
        <x:v>한국</x:v>
      </x:c>
      <x:c r="C27" s="291" t="str">
        <x:v>TikTok·Instagram·YouTube·커뮤니티</x:v>
      </x:c>
      <x:c r="D27" s="291" t="str">
        <x:v>메디큐브·AGE-R</x:v>
      </x:c>
      <x:c r="E27" s="291" t="str">
        <x:v>에이피알</x:v>
      </x:c>
      <x:c r="F27" s="291" t="str">
        <x:v>278470</x:v>
      </x:c>
      <x:c r="G27" s="291" t="str">
        <x:v>브랜드</x:v>
      </x:c>
      <x:c r="H27" s="291" t="str">
        <x:v>화장품·홈뷰티 디바이스 직접 개발·판매</x:v>
      </x:c>
      <x:c r="I27" s="291" t="str">
        <x:v>미국 TikTok·Amazon에서 메디큐브 제품과 사용 영상 확산</x:v>
      </x:c>
      <x:c r="J27" s="291" t="str">
        <x:v>2026년 4월 기준 연초 대비 80.04% 상승</x:v>
      </x:c>
      <x:c r="K27" s="292" t="str">
        <x:v>바이럴-사업직결</x:v>
      </x:c>
      <x:c r="L27" s="292" t="str">
        <x:v>A</x:v>
      </x:c>
      <x:c r="M27" s="291" t="str">
        <x:v>S64</x:v>
      </x:c>
      <x:c r="N27" s="291" t="str">
        <x:v>SNS 신호가 실적에 반영된 뒤 주가가 재평가된 사례</x:v>
      </x:c>
    </x:row>
    <x:row r="28" ht="58" customHeight="1">
      <x:c r="A28" s="291" t="str">
        <x:v>KR-SNS016</x:v>
      </x:c>
      <x:c r="B28" s="291" t="str">
        <x:v>한국</x:v>
      </x:c>
      <x:c r="C28" s="291" t="str">
        <x:v>TikTok·Instagram·YouTube·커뮤니티</x:v>
      </x:c>
      <x:c r="D28" s="291" t="str">
        <x:v>K뷰티 글로벌 바이럴</x:v>
      </x:c>
      <x:c r="E28" s="291" t="str">
        <x:v>실리콘투</x:v>
      </x:c>
      <x:c r="F28" s="291" t="str">
        <x:v>257720</x:v>
      </x:c>
      <x:c r="G28" s="291" t="str">
        <x:v>유통</x:v>
      </x:c>
      <x:c r="H28" s="291" t="str">
        <x:v>StyleKorean을 통한 다브랜드 해외 유통</x:v>
      </x:c>
      <x:c r="I28" s="291" t="str">
        <x:v>TikTok·인스타에서 다수 K뷰티 브랜드가 확산</x:v>
      </x:c>
      <x:c r="J28" s="291" t="str">
        <x:v>2024년 기사 기준 연초 이후 주가 5배 이상</x:v>
      </x:c>
      <x:c r="K28" s="292" t="str">
        <x:v>혼합-테마 주도</x:v>
      </x:c>
      <x:c r="L28" s="292" t="str">
        <x:v>A</x:v>
      </x:c>
      <x:c r="M28" s="291" t="str">
        <x:v>S65</x:v>
      </x:c>
      <x:c r="N28" s="291" t="str">
        <x:v>개별 밈보다 여러 바이럴 브랜드를 묶는 유통 레이어</x:v>
      </x:c>
    </x:row>
    <x:row r="29" ht="58" customHeight="1">
      <x:c r="A29" s="293" t="str">
        <x:v>US-SNS001</x:v>
      </x:c>
      <x:c r="B29" s="293" t="str">
        <x:v>미국</x:v>
      </x:c>
      <x:c r="C29" s="293" t="str">
        <x:v>TikTok·Instagram·Reddit·온라인 팬덤</x:v>
      </x:c>
      <x:c r="D29" s="293" t="str">
        <x:v>Crocs 재유행</x:v>
      </x:c>
      <x:c r="E29" s="293" t="str">
        <x:v>Crocs</x:v>
      </x:c>
      <x:c r="F29" s="293" t="str">
        <x:v>CROX</x:v>
      </x:c>
      <x:c r="G29" s="293" t="str">
        <x:v>브랜드</x:v>
      </x:c>
      <x:c r="H29" s="293" t="str">
        <x:v>Crocs 직접 제조·판매</x:v>
      </x:c>
      <x:c r="I29" s="293" t="str">
        <x:v>셀럽 협업·Instagram·TikTok에서 어글리 슈즈 재유행</x:v>
      </x:c>
      <x:c r="J29" s="293" t="str">
        <x:v>1년 사이 주가 약 300% 상승</x:v>
      </x:c>
      <x:c r="K29" s="294" t="str">
        <x:v>바이럴-사업직결</x:v>
      </x:c>
      <x:c r="L29" s="294" t="str">
        <x:v>A</x:v>
      </x:c>
      <x:c r="M29" s="293" t="str">
        <x:v>S66</x:v>
      </x:c>
      <x:c r="N29" s="293" t="str">
        <x:v>유행 복귀가 실제 브랜드 턴어라운드로 이어진 사례</x:v>
      </x:c>
    </x:row>
    <x:row r="30" ht="58" customHeight="1">
      <x:c r="A30" s="293" t="str">
        <x:v>US-SNS003</x:v>
      </x:c>
      <x:c r="B30" s="293" t="str">
        <x:v>미국</x:v>
      </x:c>
      <x:c r="C30" s="293" t="str">
        <x:v>TikTok·Instagram·Reddit·온라인 팬덤</x:v>
      </x:c>
      <x:c r="D30" s="293" t="str">
        <x:v>e.l.f. 듀프·BeautyTok</x:v>
      </x:c>
      <x:c r="E30" s="293" t="str">
        <x:v>e.l.f. Beauty</x:v>
      </x:c>
      <x:c r="F30" s="293" t="str">
        <x:v>ELF</x:v>
      </x:c>
      <x:c r="G30" s="293" t="str">
        <x:v>브랜드</x:v>
      </x:c>
      <x:c r="H30" s="293" t="str">
        <x:v>화장품 직접 개발·판매</x:v>
      </x:c>
      <x:c r="I30" s="293" t="str">
        <x:v>TikTok에서 저가 듀프·Halo Glow·Power Grip 영상 확산</x:v>
      </x:c>
      <x:c r="J30" s="293" t="str">
        <x:v>2022년 중반~2024년 고점 약 900% 상승</x:v>
      </x:c>
      <x:c r="K30" s="294" t="str">
        <x:v>바이럴-사업직결</x:v>
      </x:c>
      <x:c r="L30" s="294" t="str">
        <x:v>A</x:v>
      </x:c>
      <x:c r="M30" s="293" t="str">
        <x:v>S68</x:v>
      </x:c>
      <x:c r="N30" s="293" t="str">
        <x:v>주가 상승은 바이럴뿐 아니라 실적의 누적 반영</x:v>
      </x:c>
    </x:row>
    <x:row r="31" ht="58" customHeight="1">
      <x:c r="A31" s="293" t="str">
        <x:v>US-SNS006</x:v>
      </x:c>
      <x:c r="B31" s="293" t="str">
        <x:v>미국</x:v>
      </x:c>
      <x:c r="C31" s="293" t="str">
        <x:v>Reddit</x:v>
      </x:c>
      <x:c r="D31" s="293" t="str">
        <x:v>Wendy's 치킨텐디 밈</x:v>
      </x:c>
      <x:c r="E31" s="293" t="str">
        <x:v>Wendy's</x:v>
      </x:c>
      <x:c r="F31" s="293" t="str">
        <x:v>WEN</x:v>
      </x:c>
      <x:c r="G31" s="293" t="str">
        <x:v>SNS집단매수</x:v>
      </x:c>
      <x:c r="H31" s="293" t="str">
        <x:v>새로운 사업·실적 촉매 없음</x:v>
      </x:c>
      <x:c r="I31" s="293" t="str">
        <x:v>Reddit에서 '완벽한 주식' 게시물과 tendies 말장난 확산</x:v>
      </x:c>
      <x:c r="J31" s="293" t="str">
        <x:v>장중 사상 최고가·약 25.8% 급등</x:v>
      </x:c>
      <x:c r="K31" s="294" t="str">
        <x:v>강한 밈</x:v>
      </x:c>
      <x:c r="L31" s="294" t="str">
        <x:v>A</x:v>
      </x:c>
      <x:c r="M31" s="293" t="str">
        <x:v>S71</x:v>
      </x:c>
      <x:c r="N31" s="293" t="str">
        <x:v>소비 브랜드와 주식 밈이 직접 결합</x:v>
      </x:c>
    </x:row>
    <x:row r="32" ht="58" customHeight="1">
      <x:c r="A32" s="295" t="str">
        <x:v>JP-SNS001</x:v>
      </x:c>
      <x:c r="B32" s="295" t="str">
        <x:v>일본</x:v>
      </x:c>
      <x:c r="C32" s="295" t="str">
        <x:v>TikTok·Instagram·Reddit·온라인 팬덤</x:v>
      </x:c>
      <x:c r="D32" s="295" t="str">
        <x:v>Animal Crossing</x:v>
      </x:c>
      <x:c r="E32" s="295" t="str">
        <x:v>Nintendo</x:v>
      </x:c>
      <x:c r="F32" s="295" t="str">
        <x:v>7974</x:v>
      </x:c>
      <x:c r="G32" s="295" t="str">
        <x:v>게임</x:v>
      </x:c>
      <x:c r="H32" s="295" t="str">
        <x:v>게임·콘솔 직접 개발·판매</x:v>
      </x:c>
      <x:c r="I32" s="295" t="str">
        <x:v>격리 기간 섬 꾸미기 화면이 전 세계 SNS에 확산</x:v>
      </x:c>
      <x:c r="J32" s="295" t="str">
        <x:v>2020-04 주가 52주 신고가</x:v>
      </x:c>
      <x:c r="K32" s="296" t="str">
        <x:v>바이럴-사업직결</x:v>
      </x:c>
      <x:c r="L32" s="296" t="str">
        <x:v>A</x:v>
      </x:c>
      <x:c r="M32" s="295" t="str">
        <x:v>S74</x:v>
      </x:c>
      <x:c r="N32" s="295" t="str">
        <x:v>SNS 바이럴과 구조적 집콕 수요가 혼재</x:v>
      </x:c>
    </x:row>
    <x:row r="33" ht="58" customHeight="1">
      <x:c r="A33" s="295" t="str">
        <x:v>JP-SNS003</x:v>
      </x:c>
      <x:c r="B33" s="295" t="str">
        <x:v>일본</x:v>
      </x:c>
      <x:c r="C33" s="295" t="str">
        <x:v>TikTok·Instagram·Reddit·온라인 팬덤</x:v>
      </x:c>
      <x:c r="D33" s="295" t="str">
        <x:v>Hello Kitty·Sanrio 캐릭터 리바이벌</x:v>
      </x:c>
      <x:c r="E33" s="295" t="str">
        <x:v>Sanrio</x:v>
      </x:c>
      <x:c r="F33" s="295" t="str">
        <x:v>8136</x:v>
      </x:c>
      <x:c r="G33" s="295" t="str">
        <x:v>IP직결</x:v>
      </x:c>
      <x:c r="H33" s="295" t="str">
        <x:v>캐릭터 IP·굿즈·라이선스 직접 사업</x:v>
      </x:c>
      <x:c r="I33" s="295" t="str">
        <x:v>TikTok·Instagram 팬덤과 캐릭터 다변화·협업 확산</x:v>
      </x:c>
      <x:c r="J33" s="295" t="str">
        <x:v>2024년 주가 150% 이상 상승</x:v>
      </x:c>
      <x:c r="K33" s="296" t="str">
        <x:v>바이럴-사업직결</x:v>
      </x:c>
      <x:c r="L33" s="296" t="str">
        <x:v>A</x:v>
      </x:c>
      <x:c r="M33" s="295" t="str">
        <x:v>S76</x:v>
      </x:c>
      <x:c r="N33" s="295" t="str">
        <x:v>단일 밈이 아닌 지속 가능한 팬덤형 바이럴</x:v>
      </x:c>
    </x:row>
    <x:row r="34" ht="58" customHeight="1">
      <x:c r="A34" s="295" t="str">
        <x:v>JP-SNS004</x:v>
      </x:c>
      <x:c r="B34" s="295" t="str">
        <x:v>일본</x:v>
      </x:c>
      <x:c r="C34" s="295" t="str">
        <x:v>TikTok·Instagram·Reddit·온라인 팬덤</x:v>
      </x:c>
      <x:c r="D34" s="295" t="str">
        <x:v>우마무스메 Pretty Derby</x:v>
      </x:c>
      <x:c r="E34" s="295" t="str">
        <x:v>CyberAgent</x:v>
      </x:c>
      <x:c r="F34" s="295" t="str">
        <x:v>4751</x:v>
      </x:c>
      <x:c r="G34" s="295" t="str">
        <x:v>게임</x:v>
      </x:c>
      <x:c r="H34" s="295" t="str">
        <x:v>자회사 Cygames가 직접 개발·운영</x:v>
      </x:c>
      <x:c r="I34" s="295" t="str">
        <x:v>말을 의인화한 캐릭터·게임·애니가 온라인 팬덤을 형성</x:v>
      </x:c>
      <x:c r="J34" s="295" t="str">
        <x:v>흥행 후 시가총액 1조엔 돌파 보도; 정확 이벤트 수익률 미확인</x:v>
      </x:c>
      <x:c r="K34" s="296" t="str">
        <x:v>바이럴-사업직결</x:v>
      </x:c>
      <x:c r="L34" s="296" t="str">
        <x:v>B</x:v>
      </x:c>
      <x:c r="M34" s="295" t="str">
        <x:v>S77</x:v>
      </x:c>
      <x:c r="N34" s="295" t="str">
        <x:v>콘텐츠 팬덤과 가챠 매출이 결합된 일본형 사례</x:v>
      </x:c>
    </x:row>
    <x:row r="35" ht="58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</x:row>
    <x:row r="36" ht="58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</x:row>
    <x:row r="37" ht="58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</x:row>
    <x:row r="38" ht="58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</x:row>
    <x:row r="39" ht="58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 ht="58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 ht="58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 ht="58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</x:sheetData>
  <x:mergeCells>
    <x:mergeCell ref="A1:N1"/>
    <x:mergeCell ref="A2:N2"/>
    <x:mergeCell ref="A4:N4"/>
    <x:mergeCell ref="A5:B6"/>
    <x:mergeCell ref="C5:D6"/>
    <x:mergeCell ref="E5:F6"/>
    <x:mergeCell ref="G5:H6"/>
    <x:mergeCell ref="I5:J6"/>
    <x:mergeCell ref="K5:N6"/>
    <x:mergeCell ref="A8:N8"/>
    <x:mergeCell ref="A9:B9"/>
    <x:mergeCell ref="A10:B10"/>
    <x:mergeCell ref="C9:D9"/>
    <x:mergeCell ref="C10:D10"/>
    <x:mergeCell ref="E9:F9"/>
    <x:mergeCell ref="E10:F10"/>
    <x:mergeCell ref="G9:H9"/>
    <x:mergeCell ref="G10:H10"/>
    <x:mergeCell ref="I9:J9"/>
    <x:mergeCell ref="I10:J10"/>
    <x:mergeCell ref="K9:L9"/>
    <x:mergeCell ref="K10:L10"/>
    <x:mergeCell ref="M9:N9"/>
    <x:mergeCell ref="M10:N10"/>
  </x:mergeCells>
  <x:dataValidations count="2">
    <x:dataValidation type="list" sqref="K13:K42">
      <x:formula1>"강한 밈,혼합-테마 주도,바이럴-사업직결,후보-추가검증"</x:formula1>
    </x:dataValidation>
    <x:dataValidation type="list" sqref="L13:L42">
      <x:formula1>"A,B,C"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5c9a34b4cb451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4" hidden="0" customWidth="1"/>
  </x:cols>
  <x:sheetData>
    <x:row r="1" ht="30" customHeight="1">
      <x:c r="A1" s="314" t="str">
        <x:v>한국 사례 대표연도 태그 — 커버리지 수식의 원자료</x:v>
      </x:c>
      <x:c r="B1" s="314"/>
      <x:c r="C1" s="314"/>
      <x:c r="D1" s="314"/>
    </x:row>
    <x:row r="2" ht="32" customHeight="1">
      <x:c r="A2" s="317" t="str">
        <x:v>사례원장의 자유서술 ‘이벤트 시점’에서 첫 4자리 연도를 추출한 v4 스냅샷입니다. 미상은 연도별 합계에서 제외됩니다.</x:v>
      </x:c>
      <x:c r="B2" s="317"/>
      <x:c r="C2" s="317"/>
      <x:c r="D2" s="317"/>
    </x:row>
    <x:row r="4">
      <x:c r="A4" s="66" t="str">
        <x:v>사례ID</x:v>
      </x:c>
      <x:c r="B4" s="66" t="str">
        <x:v>대표연도</x:v>
      </x:c>
      <x:c r="C4" s="66" t="str">
        <x:v>원 이벤트 시점</x:v>
      </x:c>
      <x:c r="D4" s="66" t="str">
        <x:v>검증상태</x:v>
      </x:c>
    </x:row>
    <x:row r="5">
      <x:c r="A5" s="66" t="str">
        <x:v>KR-M001</x:v>
      </x:c>
      <x:c r="B5" s="66" t="str">
        <x:v>2021</x:v>
      </x:c>
      <x:c r="C5" s="66" t="str">
        <x:v>2021-03</x:v>
      </x:c>
      <x:c r="D5" s="66" t="str">
        <x:v>완료</x:v>
      </x:c>
    </x:row>
    <x:row r="6">
      <x:c r="A6" s="66" t="str">
        <x:v>KR-M002</x:v>
      </x:c>
      <x:c r="B6" s="66" t="str">
        <x:v>2021</x:v>
      </x:c>
      <x:c r="C6" s="66" t="str">
        <x:v>2021-03-04</x:v>
      </x:c>
      <x:c r="D6" s="66" t="str">
        <x:v>완료</x:v>
      </x:c>
    </x:row>
    <x:row r="7">
      <x:c r="A7" s="66" t="str">
        <x:v>KR-M003</x:v>
      </x:c>
      <x:c r="B7" s="66" t="str">
        <x:v>2021</x:v>
      </x:c>
      <x:c r="C7" s="66" t="str">
        <x:v>2021-03-04</x:v>
      </x:c>
      <x:c r="D7" s="66" t="str">
        <x:v>완료</x:v>
      </x:c>
    </x:row>
    <x:row r="8">
      <x:c r="A8" s="66" t="str">
        <x:v>KR-M004</x:v>
      </x:c>
      <x:c r="B8" s="66" t="str">
        <x:v>2021</x:v>
      </x:c>
      <x:c r="C8" s="66" t="str">
        <x:v>2021-11-05</x:v>
      </x:c>
      <x:c r="D8" s="66" t="str">
        <x:v>완료</x:v>
      </x:c>
    </x:row>
    <x:row r="9">
      <x:c r="A9" s="66" t="str">
        <x:v>KR-M005</x:v>
      </x:c>
      <x:c r="B9" s="66" t="str">
        <x:v>2025</x:v>
      </x:c>
      <x:c r="C9" s="66" t="str">
        <x:v>2025-03-27</x:v>
      </x:c>
      <x:c r="D9" s="66" t="str">
        <x:v>완료</x:v>
      </x:c>
    </x:row>
    <x:row r="10">
      <x:c r="A10" s="66" t="str">
        <x:v>KR-M006</x:v>
      </x:c>
      <x:c r="B10" s="66" t="str">
        <x:v>2024</x:v>
      </x:c>
      <x:c r="C10" s="66" t="str">
        <x:v>2024-11</x:v>
      </x:c>
      <x:c r="D10" s="66" t="str">
        <x:v>완료</x:v>
      </x:c>
    </x:row>
    <x:row r="11">
      <x:c r="A11" s="66" t="str">
        <x:v>KR-M007</x:v>
      </x:c>
      <x:c r="B11" s="66" t="str">
        <x:v>2024</x:v>
      </x:c>
      <x:c r="C11" s="66" t="str">
        <x:v>2024-11</x:v>
      </x:c>
      <x:c r="D11" s="66" t="str">
        <x:v>완료</x:v>
      </x:c>
    </x:row>
    <x:row r="12">
      <x:c r="A12" s="66" t="str">
        <x:v>KR-M008</x:v>
      </x:c>
      <x:c r="B12" s="66" t="str">
        <x:v>2025</x:v>
      </x:c>
      <x:c r="C12" s="66" t="str">
        <x:v>2025-04</x:v>
      </x:c>
      <x:c r="D12" s="66" t="str">
        <x:v>완료</x:v>
      </x:c>
    </x:row>
    <x:row r="13">
      <x:c r="A13" s="66" t="str">
        <x:v>KR-M009</x:v>
      </x:c>
      <x:c r="B13" s="66" t="str">
        <x:v>2025</x:v>
      </x:c>
      <x:c r="C13" s="66" t="str">
        <x:v>2025-05-02</x:v>
      </x:c>
      <x:c r="D13" s="66" t="str">
        <x:v>완료</x:v>
      </x:c>
    </x:row>
    <x:row r="14">
      <x:c r="A14" s="66" t="str">
        <x:v>KR-M010</x:v>
      </x:c>
      <x:c r="B14" s="66" t="str">
        <x:v>2016</x:v>
      </x:c>
      <x:c r="C14" s="66" t="str">
        <x:v>2016</x:v>
      </x:c>
      <x:c r="D14" s="66" t="str">
        <x:v>완료</x:v>
      </x:c>
    </x:row>
    <x:row r="15">
      <x:c r="A15" s="66" t="str">
        <x:v>KR-M011</x:v>
      </x:c>
      <x:c r="B15" s="66" t="str">
        <x:v>2016</x:v>
      </x:c>
      <x:c r="C15" s="66" t="str">
        <x:v>2016</x:v>
      </x:c>
      <x:c r="D15" s="66" t="str">
        <x:v>완료</x:v>
      </x:c>
    </x:row>
    <x:row r="16">
      <x:c r="A16" s="66" t="str">
        <x:v>KR-M012</x:v>
      </x:c>
      <x:c r="B16" s="66" t="str">
        <x:v>2016</x:v>
      </x:c>
      <x:c r="C16" s="66" t="str">
        <x:v>2016</x:v>
      </x:c>
      <x:c r="D16" s="66" t="str">
        <x:v>완료</x:v>
      </x:c>
    </x:row>
    <x:row r="17">
      <x:c r="A17" s="66" t="str">
        <x:v>KR-M013</x:v>
      </x:c>
      <x:c r="B17" s="66" t="str">
        <x:v>2016</x:v>
      </x:c>
      <x:c r="C17" s="66" t="str">
        <x:v>2016-12-09</x:v>
      </x:c>
      <x:c r="D17" s="66" t="str">
        <x:v>완료</x:v>
      </x:c>
    </x:row>
    <x:row r="18">
      <x:c r="A18" s="66" t="str">
        <x:v>KR-M014</x:v>
      </x:c>
      <x:c r="B18" s="66" t="str">
        <x:v>2016</x:v>
      </x:c>
      <x:c r="C18" s="66" t="str">
        <x:v>2016-04~05</x:v>
      </x:c>
      <x:c r="D18" s="66" t="str">
        <x:v>완료</x:v>
      </x:c>
    </x:row>
    <x:row r="19">
      <x:c r="A19" s="66" t="str">
        <x:v>KR-M015</x:v>
      </x:c>
      <x:c r="B19" s="66" t="str">
        <x:v>2016</x:v>
      </x:c>
      <x:c r="C19" s="66" t="str">
        <x:v>2016 하반기</x:v>
      </x:c>
      <x:c r="D19" s="66" t="str">
        <x:v>완료</x:v>
      </x:c>
    </x:row>
    <x:row r="20">
      <x:c r="A20" s="66" t="str">
        <x:v>KR-M016</x:v>
      </x:c>
      <x:c r="B20" s="66" t="str">
        <x:v>2016</x:v>
      </x:c>
      <x:c r="C20" s="66" t="str">
        <x:v>2016</x:v>
      </x:c>
      <x:c r="D20" s="66" t="str">
        <x:v>추가검증</x:v>
      </x:c>
    </x:row>
    <x:row r="21">
      <x:c r="A21" s="66" t="str">
        <x:v>KR-M017</x:v>
      </x:c>
      <x:c r="B21" s="66" t="str">
        <x:v>2012</x:v>
      </x:c>
      <x:c r="C21" s="66" t="str">
        <x:v>2012·2020</x:v>
      </x:c>
      <x:c r="D21" s="66" t="str">
        <x:v>완료</x:v>
      </x:c>
    </x:row>
    <x:row r="22">
      <x:c r="A22" s="66" t="str">
        <x:v>KR-M018</x:v>
      </x:c>
      <x:c r="B22" s="66" t="str">
        <x:v>2012</x:v>
      </x:c>
      <x:c r="C22" s="66" t="str">
        <x:v>2012-11</x:v>
      </x:c>
      <x:c r="D22" s="66" t="str">
        <x:v>완료</x:v>
      </x:c>
    </x:row>
    <x:row r="23">
      <x:c r="A23" s="66" t="str">
        <x:v>KR-M019</x:v>
      </x:c>
      <x:c r="B23" s="66" t="str">
        <x:v>2012</x:v>
      </x:c>
      <x:c r="C23" s="66" t="str">
        <x:v>2012-11</x:v>
      </x:c>
      <x:c r="D23" s="66" t="str">
        <x:v>완료</x:v>
      </x:c>
    </x:row>
    <x:row r="24">
      <x:c r="A24" s="66" t="str">
        <x:v>KR-M020</x:v>
      </x:c>
      <x:c r="B24" s="66" t="str">
        <x:v>2019</x:v>
      </x:c>
      <x:c r="C24" s="66" t="str">
        <x:v>2019·2024</x:v>
      </x:c>
      <x:c r="D24" s="66" t="str">
        <x:v>완료</x:v>
      </x:c>
    </x:row>
    <x:row r="25">
      <x:c r="A25" s="66" t="str">
        <x:v>KR-M021</x:v>
      </x:c>
      <x:c r="B25" s="66" t="str">
        <x:v>2023</x:v>
      </x:c>
      <x:c r="C25" s="66" t="str">
        <x:v>2023-11</x:v>
      </x:c>
      <x:c r="D25" s="66" t="str">
        <x:v>완료</x:v>
      </x:c>
    </x:row>
    <x:row r="26">
      <x:c r="A26" s="66" t="str">
        <x:v>KR-M022</x:v>
      </x:c>
      <x:c r="B26" s="66" t="str">
        <x:v>2023</x:v>
      </x:c>
      <x:c r="C26" s="66" t="str">
        <x:v>2023-11</x:v>
      </x:c>
      <x:c r="D26" s="66" t="str">
        <x:v>완료</x:v>
      </x:c>
    </x:row>
    <x:row r="27">
      <x:c r="A27" s="66" t="str">
        <x:v>KR-M023</x:v>
      </x:c>
      <x:c r="B27" s="66" t="str">
        <x:v>2023</x:v>
      </x:c>
      <x:c r="C27" s="66" t="str">
        <x:v>2023-11-27</x:v>
      </x:c>
      <x:c r="D27" s="66" t="str">
        <x:v>완료</x:v>
      </x:c>
    </x:row>
    <x:row r="28">
      <x:c r="A28" s="66" t="str">
        <x:v>KR-M024</x:v>
      </x:c>
      <x:c r="B28" s="66" t="str">
        <x:v>2023</x:v>
      </x:c>
      <x:c r="C28" s="66" t="str">
        <x:v>2023-11-27</x:v>
      </x:c>
      <x:c r="D28" s="66" t="str">
        <x:v>완료</x:v>
      </x:c>
    </x:row>
    <x:row r="29">
      <x:c r="A29" s="66" t="str">
        <x:v>KR-M025</x:v>
      </x:c>
      <x:c r="B29" s="66" t="str">
        <x:v>2025</x:v>
      </x:c>
      <x:c r="C29" s="66" t="str">
        <x:v>2025-01~04</x:v>
      </x:c>
      <x:c r="D29" s="66" t="str">
        <x:v>완료</x:v>
      </x:c>
    </x:row>
    <x:row r="30">
      <x:c r="A30" s="66" t="str">
        <x:v>KR-M026</x:v>
      </x:c>
      <x:c r="B30" s="66" t="str">
        <x:v>2025</x:v>
      </x:c>
      <x:c r="C30" s="66" t="str">
        <x:v>2025-01~04</x:v>
      </x:c>
      <x:c r="D30" s="66" t="str">
        <x:v>완료</x:v>
      </x:c>
    </x:row>
    <x:row r="31">
      <x:c r="A31" s="66" t="str">
        <x:v>KR-M027</x:v>
      </x:c>
      <x:c r="B31" s="66" t="str">
        <x:v>2023</x:v>
      </x:c>
      <x:c r="C31" s="66" t="str">
        <x:v>2023-09</x:v>
      </x:c>
      <x:c r="D31" s="66" t="str">
        <x:v>추가검증</x:v>
      </x:c>
    </x:row>
    <x:row r="32">
      <x:c r="A32" s="66" t="str">
        <x:v>KR-C001</x:v>
      </x:c>
      <x:c r="B32" s="66" t="str">
        <x:v>2012</x:v>
      </x:c>
      <x:c r="C32" s="66" t="str">
        <x:v>2012-08~10</x:v>
      </x:c>
      <x:c r="D32" s="66" t="str">
        <x:v>완료</x:v>
      </x:c>
    </x:row>
    <x:row r="33">
      <x:c r="A33" s="66" t="str">
        <x:v>KR-P001</x:v>
      </x:c>
      <x:c r="B33" s="66" t="str">
        <x:v>2025</x:v>
      </x:c>
      <x:c r="C33" s="66" t="str">
        <x:v>2025-03-27</x:v>
      </x:c>
      <x:c r="D33" s="66" t="str">
        <x:v>완료</x:v>
      </x:c>
    </x:row>
    <x:row r="34">
      <x:c r="A34" s="66" t="str">
        <x:v>KR-P002</x:v>
      </x:c>
      <x:c r="B34" s="66" t="str">
        <x:v>2025</x:v>
      </x:c>
      <x:c r="C34" s="66" t="str">
        <x:v>2025-03-27</x:v>
      </x:c>
      <x:c r="D34" s="66" t="str">
        <x:v>완료</x:v>
      </x:c>
    </x:row>
    <x:row r="35">
      <x:c r="A35" s="66" t="str">
        <x:v>KR-P003</x:v>
      </x:c>
      <x:c r="B35" s="66" t="str">
        <x:v>2021</x:v>
      </x:c>
      <x:c r="C35" s="66" t="str">
        <x:v>2021·2025</x:v>
      </x:c>
      <x:c r="D35" s="66" t="str">
        <x:v>추가검증</x:v>
      </x:c>
    </x:row>
    <x:row r="36">
      <x:c r="A36" s="66" t="str">
        <x:v>KR-P004</x:v>
      </x:c>
      <x:c r="B36" s="66" t="str">
        <x:v>2025</x:v>
      </x:c>
      <x:c r="C36" s="66" t="str">
        <x:v>2025-03-27</x:v>
      </x:c>
      <x:c r="D36" s="66" t="str">
        <x:v>완료</x:v>
      </x:c>
    </x:row>
    <x:row r="37">
      <x:c r="A37" s="66" t="str">
        <x:v>KR-P005</x:v>
      </x:c>
      <x:c r="B37" s="66" t="str">
        <x:v>2007</x:v>
      </x:c>
      <x:c r="C37" s="66" t="str">
        <x:v>2007</x:v>
      </x:c>
      <x:c r="D37" s="66" t="str">
        <x:v>완료</x:v>
      </x:c>
    </x:row>
    <x:row r="38">
      <x:c r="A38" s="66" t="str">
        <x:v>KR-P006</x:v>
      </x:c>
      <x:c r="B38" s="66" t="str">
        <x:v>2007</x:v>
      </x:c>
      <x:c r="C38" s="66" t="str">
        <x:v>2007</x:v>
      </x:c>
      <x:c r="D38" s="66" t="str">
        <x:v>완료</x:v>
      </x:c>
    </x:row>
    <x:row r="39">
      <x:c r="A39" s="66" t="str">
        <x:v>KR-P007</x:v>
      </x:c>
      <x:c r="B39" s="66" t="str">
        <x:v>2007</x:v>
      </x:c>
      <x:c r="C39" s="66" t="str">
        <x:v>2007</x:v>
      </x:c>
      <x:c r="D39" s="66" t="str">
        <x:v>완료</x:v>
      </x:c>
    </x:row>
    <x:row r="40">
      <x:c r="A40" s="66" t="str">
        <x:v>KR-P008</x:v>
      </x:c>
      <x:c r="B40" s="66" t="str">
        <x:v>2007</x:v>
      </x:c>
      <x:c r="C40" s="66" t="str">
        <x:v>2007</x:v>
      </x:c>
      <x:c r="D40" s="66" t="str">
        <x:v>완료</x:v>
      </x:c>
    </x:row>
    <x:row r="41">
      <x:c r="A41" s="66" t="str">
        <x:v>KR-P009</x:v>
      </x:c>
      <x:c r="B41" s="66" t="str">
        <x:v>2007</x:v>
      </x:c>
      <x:c r="C41" s="66" t="str">
        <x:v>2007</x:v>
      </x:c>
      <x:c r="D41" s="66" t="str">
        <x:v>완료</x:v>
      </x:c>
    </x:row>
    <x:row r="42">
      <x:c r="A42" s="66" t="str">
        <x:v>KR-P010</x:v>
      </x:c>
      <x:c r="B42" s="66" t="str">
        <x:v>2018</x:v>
      </x:c>
      <x:c r="C42" s="66" t="str">
        <x:v>2018-04-18</x:v>
      </x:c>
      <x:c r="D42" s="66" t="str">
        <x:v>완료</x:v>
      </x:c>
    </x:row>
    <x:row r="43">
      <x:c r="A43" s="66" t="str">
        <x:v>KR-P011</x:v>
      </x:c>
      <x:c r="B43" s="66" t="str">
        <x:v>2018</x:v>
      </x:c>
      <x:c r="C43" s="66" t="str">
        <x:v>2018-03~04</x:v>
      </x:c>
      <x:c r="D43" s="66" t="str">
        <x:v>완료</x:v>
      </x:c>
    </x:row>
    <x:row r="44">
      <x:c r="A44" s="66" t="str">
        <x:v>KR-P012</x:v>
      </x:c>
      <x:c r="B44" s="66" t="str">
        <x:v>2018</x:v>
      </x:c>
      <x:c r="C44" s="66" t="str">
        <x:v>2018-03~04</x:v>
      </x:c>
      <x:c r="D44" s="66" t="str">
        <x:v>완료</x:v>
      </x:c>
    </x:row>
    <x:row r="45">
      <x:c r="A45" s="66" t="str">
        <x:v>KR-P013</x:v>
      </x:c>
      <x:c r="B45" s="66" t="str">
        <x:v>2018</x:v>
      </x:c>
      <x:c r="C45" s="66" t="str">
        <x:v>2018</x:v>
      </x:c>
      <x:c r="D45" s="66" t="str">
        <x:v>완료</x:v>
      </x:c>
    </x:row>
    <x:row r="46">
      <x:c r="A46" s="66" t="str">
        <x:v>KR-P014</x:v>
      </x:c>
      <x:c r="B46" s="66" t="str">
        <x:v>2018</x:v>
      </x:c>
      <x:c r="C46" s="66" t="str">
        <x:v>2018</x:v>
      </x:c>
      <x:c r="D46" s="66" t="str">
        <x:v>완료</x:v>
      </x:c>
    </x:row>
    <x:row r="47">
      <x:c r="A47" s="66" t="str">
        <x:v>KR-P015</x:v>
      </x:c>
      <x:c r="B47" s="66" t="str">
        <x:v>2020</x:v>
      </x:c>
      <x:c r="C47" s="66" t="str">
        <x:v>2020~2021</x:v>
      </x:c>
      <x:c r="D47" s="66" t="str">
        <x:v>완료</x:v>
      </x:c>
    </x:row>
    <x:row r="48">
      <x:c r="A48" s="66" t="str">
        <x:v>KR-P016</x:v>
      </x:c>
      <x:c r="B48" s="66" t="str">
        <x:v>2020</x:v>
      </x:c>
      <x:c r="C48" s="66" t="str">
        <x:v>2020~2021</x:v>
      </x:c>
      <x:c r="D48" s="66" t="str">
        <x:v>완료</x:v>
      </x:c>
    </x:row>
    <x:row r="49">
      <x:c r="A49" s="66" t="str">
        <x:v>KR-P017</x:v>
      </x:c>
      <x:c r="B49" s="66" t="str">
        <x:v>2020</x:v>
      </x:c>
      <x:c r="C49" s="66" t="str">
        <x:v>2020~2021</x:v>
      </x:c>
      <x:c r="D49" s="66" t="str">
        <x:v>완료</x:v>
      </x:c>
    </x:row>
    <x:row r="50">
      <x:c r="A50" s="66" t="str">
        <x:v>KR-P018</x:v>
      </x:c>
      <x:c r="B50" s="66" t="str">
        <x:v>2025</x:v>
      </x:c>
      <x:c r="C50" s="66" t="str">
        <x:v>2025-03</x:v>
      </x:c>
      <x:c r="D50" s="66" t="str">
        <x:v>완료</x:v>
      </x:c>
    </x:row>
    <x:row r="51">
      <x:c r="A51" s="66" t="str">
        <x:v>KR-P019</x:v>
      </x:c>
      <x:c r="B51" s="66" t="str">
        <x:v>2025</x:v>
      </x:c>
      <x:c r="C51" s="66" t="str">
        <x:v>2025-03</x:v>
      </x:c>
      <x:c r="D51" s="66" t="str">
        <x:v>완료</x:v>
      </x:c>
    </x:row>
    <x:row r="52">
      <x:c r="A52" s="66" t="str">
        <x:v>KR-P020</x:v>
      </x:c>
      <x:c r="B52" s="66" t="str">
        <x:v>미상</x:v>
      </x:c>
      <x:c r="C52" s="66" t="str">
        <x:v>정치 이벤트 반복</x:v>
      </x:c>
      <x:c r="D52" s="66" t="str">
        <x:v>추가검증</x:v>
      </x:c>
    </x:row>
    <x:row r="53">
      <x:c r="A53" s="66" t="str">
        <x:v>KR-P021</x:v>
      </x:c>
      <x:c r="B53" s="66" t="str">
        <x:v>미상</x:v>
      </x:c>
      <x:c r="C53" s="66" t="str">
        <x:v>정책 이벤트 반복</x:v>
      </x:c>
      <x:c r="D53" s="66" t="str">
        <x:v>추가검증</x:v>
      </x:c>
    </x:row>
    <x:row r="54">
      <x:c r="A54" s="66" t="str">
        <x:v>KR-P022</x:v>
      </x:c>
      <x:c r="B54" s="66" t="str">
        <x:v>2024</x:v>
      </x:c>
      <x:c r="C54" s="66" t="str">
        <x:v>2024-06-03</x:v>
      </x:c>
      <x:c r="D54" s="66" t="str">
        <x:v>완료</x:v>
      </x:c>
    </x:row>
    <x:row r="55">
      <x:c r="A55" s="66" t="str">
        <x:v>KR-P023</x:v>
      </x:c>
      <x:c r="B55" s="66" t="str">
        <x:v>2024</x:v>
      </x:c>
      <x:c r="C55" s="66" t="str">
        <x:v>2024-06-03</x:v>
      </x:c>
      <x:c r="D55" s="66" t="str">
        <x:v>완료</x:v>
      </x:c>
    </x:row>
    <x:row r="56">
      <x:c r="A56" s="66" t="str">
        <x:v>KR-P024</x:v>
      </x:c>
      <x:c r="B56" s="66" t="str">
        <x:v>2024</x:v>
      </x:c>
      <x:c r="C56" s="66" t="str">
        <x:v>2024-06-03</x:v>
      </x:c>
      <x:c r="D56" s="66" t="str">
        <x:v>완료</x:v>
      </x:c>
    </x:row>
    <x:row r="57">
      <x:c r="A57" s="66" t="str">
        <x:v>KR-P025</x:v>
      </x:c>
      <x:c r="B57" s="66" t="str">
        <x:v>2024</x:v>
      </x:c>
      <x:c r="C57" s="66" t="str">
        <x:v>2024-06-03</x:v>
      </x:c>
      <x:c r="D57" s="66" t="str">
        <x:v>완료</x:v>
      </x:c>
    </x:row>
    <x:row r="58">
      <x:c r="A58" s="66" t="str">
        <x:v>KR-P026</x:v>
      </x:c>
      <x:c r="B58" s="66" t="str">
        <x:v>2024</x:v>
      </x:c>
      <x:c r="C58" s="66" t="str">
        <x:v>2024-06-03</x:v>
      </x:c>
      <x:c r="D58" s="66" t="str">
        <x:v>완료</x:v>
      </x:c>
    </x:row>
    <x:row r="59">
      <x:c r="A59" s="66" t="str">
        <x:v>KR-P027</x:v>
      </x:c>
      <x:c r="B59" s="66" t="str">
        <x:v>2024</x:v>
      </x:c>
      <x:c r="C59" s="66" t="str">
        <x:v>2024-06-03</x:v>
      </x:c>
      <x:c r="D59" s="66" t="str">
        <x:v>완료</x:v>
      </x:c>
    </x:row>
    <x:row r="60">
      <x:c r="A60" s="66" t="str">
        <x:v>KR-P028</x:v>
      </x:c>
      <x:c r="B60" s="66" t="str">
        <x:v>2024</x:v>
      </x:c>
      <x:c r="C60" s="66" t="str">
        <x:v>2024-06-03</x:v>
      </x:c>
      <x:c r="D60" s="66" t="str">
        <x:v>완료</x:v>
      </x:c>
    </x:row>
    <x:row r="61">
      <x:c r="A61" s="66" t="str">
        <x:v>KR-C002</x:v>
      </x:c>
      <x:c r="B61" s="66" t="str">
        <x:v>2021</x:v>
      </x:c>
      <x:c r="C61" s="66" t="str">
        <x:v>2021-09</x:v>
      </x:c>
      <x:c r="D61" s="66" t="str">
        <x:v>완료</x:v>
      </x:c>
    </x:row>
    <x:row r="62">
      <x:c r="A62" s="66" t="str">
        <x:v>KR-C003</x:v>
      </x:c>
      <x:c r="B62" s="66" t="str">
        <x:v>2021</x:v>
      </x:c>
      <x:c r="C62" s="66" t="str">
        <x:v>2021-09</x:v>
      </x:c>
      <x:c r="D62" s="66" t="str">
        <x:v>완료</x:v>
      </x:c>
    </x:row>
    <x:row r="63">
      <x:c r="A63" s="66" t="str">
        <x:v>KR-X001</x:v>
      </x:c>
      <x:c r="B63" s="66" t="str">
        <x:v>2020</x:v>
      </x:c>
      <x:c r="C63" s="66" t="str">
        <x:v>2020-02-10</x:v>
      </x:c>
      <x:c r="D63" s="66" t="str">
        <x:v>완료</x:v>
      </x:c>
    </x:row>
    <x:row r="64">
      <x:c r="A64" s="66" t="str">
        <x:v>KR-X002</x:v>
      </x:c>
      <x:c r="B64" s="66" t="str">
        <x:v>2020</x:v>
      </x:c>
      <x:c r="C64" s="66" t="str">
        <x:v>2020-02-10</x:v>
      </x:c>
      <x:c r="D64" s="66" t="str">
        <x:v>완료</x:v>
      </x:c>
    </x:row>
    <x:row r="65">
      <x:c r="A65" s="66" t="str">
        <x:v>KR-SNS001</x:v>
      </x:c>
      <x:c r="B65" s="66" t="str">
        <x:v>2026</x:v>
      </x:c>
      <x:c r="C65" s="66" t="str">
        <x:v>2026-01-29</x:v>
      </x:c>
      <x:c r="D65" s="66" t="str">
        <x:v>완료</x:v>
      </x:c>
    </x:row>
    <x:row r="66">
      <x:c r="A66" s="66" t="str">
        <x:v>KR-SNS002</x:v>
      </x:c>
      <x:c r="B66" s="66" t="str">
        <x:v>2026</x:v>
      </x:c>
      <x:c r="C66" s="66" t="str">
        <x:v>2026-01~02</x:v>
      </x:c>
      <x:c r="D66" s="66" t="str">
        <x:v>가격검증</x:v>
      </x:c>
    </x:row>
    <x:row r="67">
      <x:c r="A67" s="66" t="str">
        <x:v>KR-SNS003</x:v>
      </x:c>
      <x:c r="B67" s="66" t="str">
        <x:v>2026</x:v>
      </x:c>
      <x:c r="C67" s="66" t="str">
        <x:v>2026-02</x:v>
      </x:c>
      <x:c r="D67" s="66" t="str">
        <x:v>추가검증</x:v>
      </x:c>
    </x:row>
    <x:row r="68">
      <x:c r="A68" s="66" t="str">
        <x:v>KR-SNS004</x:v>
      </x:c>
      <x:c r="B68" s="66" t="str">
        <x:v>2014</x:v>
      </x:c>
      <x:c r="C68" s="66" t="str">
        <x:v>2014~2025</x:v>
      </x:c>
      <x:c r="D68" s="66" t="str">
        <x:v>완료</x:v>
      </x:c>
    </x:row>
    <x:row r="69">
      <x:c r="A69" s="66" t="str">
        <x:v>KR-SNS005</x:v>
      </x:c>
      <x:c r="B69" s="66" t="str">
        <x:v>2022</x:v>
      </x:c>
      <x:c r="C69" s="66" t="str">
        <x:v>2022-02~03</x:v>
      </x:c>
      <x:c r="D69" s="66" t="str">
        <x:v>완료</x:v>
      </x:c>
    </x:row>
    <x:row r="70">
      <x:c r="A70" s="66" t="str">
        <x:v>KR-SNS006</x:v>
      </x:c>
      <x:c r="B70" s="66" t="str">
        <x:v>2025</x:v>
      </x:c>
      <x:c r="C70" s="66" t="str">
        <x:v>2025-03-24</x:v>
      </x:c>
      <x:c r="D70" s="66" t="str">
        <x:v>완료</x:v>
      </x:c>
    </x:row>
    <x:row r="71">
      <x:c r="A71" s="66" t="str">
        <x:v>KR-SNS007</x:v>
      </x:c>
      <x:c r="B71" s="66" t="str">
        <x:v>2023</x:v>
      </x:c>
      <x:c r="C71" s="66" t="str">
        <x:v>2023</x:v>
      </x:c>
      <x:c r="D71" s="66" t="str">
        <x:v>완료</x:v>
      </x:c>
    </x:row>
    <x:row r="72">
      <x:c r="A72" s="66" t="str">
        <x:v>KR-SNS008</x:v>
      </x:c>
      <x:c r="B72" s="66" t="str">
        <x:v>2023</x:v>
      </x:c>
      <x:c r="C72" s="66" t="str">
        <x:v>2023-08~2024</x:v>
      </x:c>
      <x:c r="D72" s="66" t="str">
        <x:v>추가검증</x:v>
      </x:c>
    </x:row>
    <x:row r="73">
      <x:c r="A73" s="66" t="str">
        <x:v>KR-SNS009</x:v>
      </x:c>
      <x:c r="B73" s="66" t="str">
        <x:v>2025</x:v>
      </x:c>
      <x:c r="C73" s="66" t="str">
        <x:v>2025-08</x:v>
      </x:c>
      <x:c r="D73" s="66" t="str">
        <x:v>추가검증</x:v>
      </x:c>
    </x:row>
    <x:row r="74">
      <x:c r="A74" s="66" t="str">
        <x:v>KR-SNS010</x:v>
      </x:c>
      <x:c r="B74" s="66" t="str">
        <x:v>2020</x:v>
      </x:c>
      <x:c r="C74" s="66" t="str">
        <x:v>2020-11</x:v>
      </x:c>
      <x:c r="D74" s="66" t="str">
        <x:v>완료</x:v>
      </x:c>
    </x:row>
    <x:row r="75">
      <x:c r="A75" s="66" t="str">
        <x:v>KR-SNS011</x:v>
      </x:c>
      <x:c r="B75" s="66" t="str">
        <x:v>2023</x:v>
      </x:c>
      <x:c r="C75" s="66" t="str">
        <x:v>2023-09</x:v>
      </x:c>
      <x:c r="D75" s="66" t="str">
        <x:v>완료</x:v>
      </x:c>
    </x:row>
    <x:row r="76">
      <x:c r="A76" s="66" t="str">
        <x:v>KR-SNS012</x:v>
      </x:c>
      <x:c r="B76" s="66" t="str">
        <x:v>2020</x:v>
      </x:c>
      <x:c r="C76" s="66" t="str">
        <x:v>2020-02</x:v>
      </x:c>
      <x:c r="D76" s="66" t="str">
        <x:v>완료</x:v>
      </x:c>
    </x:row>
    <x:row r="77">
      <x:c r="A77" s="66" t="str">
        <x:v>KR-SNS013</x:v>
      </x:c>
      <x:c r="B77" s="66" t="str">
        <x:v>2014</x:v>
      </x:c>
      <x:c r="C77" s="66" t="str">
        <x:v>2014-11</x:v>
      </x:c>
      <x:c r="D77" s="66" t="str">
        <x:v>완료</x:v>
      </x:c>
    </x:row>
    <x:row r="78">
      <x:c r="A78" s="66" t="str">
        <x:v>KR-SNS014</x:v>
      </x:c>
      <x:c r="B78" s="66" t="str">
        <x:v>2016</x:v>
      </x:c>
      <x:c r="C78" s="66" t="str">
        <x:v>2016-05</x:v>
      </x:c>
      <x:c r="D78" s="66" t="str">
        <x:v>완료</x:v>
      </x:c>
    </x:row>
    <x:row r="79">
      <x:c r="A79" s="66" t="str">
        <x:v>KR-SNS015</x:v>
      </x:c>
      <x:c r="B79" s="66" t="str">
        <x:v>2025</x:v>
      </x:c>
      <x:c r="C79" s="66" t="str">
        <x:v>2025~2026</x:v>
      </x:c>
      <x:c r="D79" s="66" t="str">
        <x:v>완료</x:v>
      </x:c>
    </x:row>
    <x:row r="80">
      <x:c r="A80" s="66" t="str">
        <x:v>KR-SNS016</x:v>
      </x:c>
      <x:c r="B80" s="66" t="str">
        <x:v>2024</x:v>
      </x:c>
      <x:c r="C80" s="66" t="str">
        <x:v>2024</x:v>
      </x:c>
      <x:c r="D80" s="66" t="str">
        <x:v>완료</x:v>
      </x:c>
    </x:row>
    <x:row r="81">
      <x:c r="A81" s="66" t="str">
        <x:v>KR-H001</x:v>
      </x:c>
      <x:c r="B81" s="66" t="str">
        <x:v>2009</x:v>
      </x:c>
      <x:c r="C81" s="66" t="str">
        <x:v>2009-11-09</x:v>
      </x:c>
      <x:c r="D81" s="66" t="str">
        <x:v>완료</x:v>
      </x:c>
    </x:row>
    <x:row r="82">
      <x:c r="A82" s="66" t="str">
        <x:v>KR-H002</x:v>
      </x:c>
      <x:c r="B82" s="66" t="str">
        <x:v>2009</x:v>
      </x:c>
      <x:c r="C82" s="66" t="str">
        <x:v>2009-11-09</x:v>
      </x:c>
      <x:c r="D82" s="66" t="str">
        <x:v>완료</x:v>
      </x:c>
    </x:row>
    <x:row r="83">
      <x:c r="A83" s="66" t="str">
        <x:v>KR-H003</x:v>
      </x:c>
      <x:c r="B83" s="66" t="str">
        <x:v>2009</x:v>
      </x:c>
      <x:c r="C83" s="66" t="str">
        <x:v>2009-11-09</x:v>
      </x:c>
      <x:c r="D83" s="66" t="str">
        <x:v>완료</x:v>
      </x:c>
    </x:row>
    <x:row r="84">
      <x:c r="A84" s="66" t="str">
        <x:v>KR-H004</x:v>
      </x:c>
      <x:c r="B84" s="66" t="str">
        <x:v>2009</x:v>
      </x:c>
      <x:c r="C84" s="66" t="str">
        <x:v>2009-11-09</x:v>
      </x:c>
      <x:c r="D84" s="66" t="str">
        <x:v>완료</x:v>
      </x:c>
    </x:row>
    <x:row r="85">
      <x:c r="A85" s="66" t="str">
        <x:v>KR-H005</x:v>
      </x:c>
      <x:c r="B85" s="66" t="str">
        <x:v>2009</x:v>
      </x:c>
      <x:c r="C85" s="66" t="str">
        <x:v>2009-11-09</x:v>
      </x:c>
      <x:c r="D85" s="66" t="str">
        <x:v>완료</x:v>
      </x:c>
    </x:row>
    <x:row r="86">
      <x:c r="A86" s="66" t="str">
        <x:v>KR-H006</x:v>
      </x:c>
      <x:c r="B86" s="66" t="str">
        <x:v>2009</x:v>
      </x:c>
      <x:c r="C86" s="66" t="str">
        <x:v>2009-11-09</x:v>
      </x:c>
      <x:c r="D86" s="66" t="str">
        <x:v>완료</x:v>
      </x:c>
    </x:row>
    <x:row r="87">
      <x:c r="A87" s="66" t="str">
        <x:v>KR-H007</x:v>
      </x:c>
      <x:c r="B87" s="66" t="str">
        <x:v>2009</x:v>
      </x:c>
      <x:c r="C87" s="66" t="str">
        <x:v>2009-11-09</x:v>
      </x:c>
      <x:c r="D87" s="66" t="str">
        <x:v>완료</x:v>
      </x:c>
    </x:row>
    <x:row r="88">
      <x:c r="A88" s="66" t="str">
        <x:v>KR-H008</x:v>
      </x:c>
      <x:c r="B88" s="66" t="str">
        <x:v>2009</x:v>
      </x:c>
      <x:c r="C88" s="66" t="str">
        <x:v>2009-05-04</x:v>
      </x:c>
      <x:c r="D88" s="66" t="str">
        <x:v>완료</x:v>
      </x:c>
    </x:row>
    <x:row r="89">
      <x:c r="A89" s="66" t="str">
        <x:v>KR-H009</x:v>
      </x:c>
      <x:c r="B89" s="66" t="str">
        <x:v>2009</x:v>
      </x:c>
      <x:c r="C89" s="66" t="str">
        <x:v>2009-05-04</x:v>
      </x:c>
      <x:c r="D89" s="66" t="str">
        <x:v>완료</x:v>
      </x:c>
    </x:row>
    <x:row r="90">
      <x:c r="A90" s="66" t="str">
        <x:v>KR-H010</x:v>
      </x:c>
      <x:c r="B90" s="66" t="str">
        <x:v>2009</x:v>
      </x:c>
      <x:c r="C90" s="66" t="str">
        <x:v>2009-05-04</x:v>
      </x:c>
      <x:c r="D90" s="66" t="str">
        <x:v>완료</x:v>
      </x:c>
    </x:row>
    <x:row r="91">
      <x:c r="A91" s="66" t="str">
        <x:v>KR-H011</x:v>
      </x:c>
      <x:c r="B91" s="66" t="str">
        <x:v>2009</x:v>
      </x:c>
      <x:c r="C91" s="66" t="str">
        <x:v>2009-04-20</x:v>
      </x:c>
      <x:c r="D91" s="66" t="str">
        <x:v>완료</x:v>
      </x:c>
    </x:row>
    <x:row r="92">
      <x:c r="A92" s="66" t="str">
        <x:v>KR-H012</x:v>
      </x:c>
      <x:c r="B92" s="66" t="str">
        <x:v>2009</x:v>
      </x:c>
      <x:c r="C92" s="66" t="str">
        <x:v>2009-04-20</x:v>
      </x:c>
      <x:c r="D92" s="66" t="str">
        <x:v>완료</x:v>
      </x:c>
    </x:row>
    <x:row r="93">
      <x:c r="A93" s="66" t="str">
        <x:v>KR-H013</x:v>
      </x:c>
      <x:c r="B93" s="66" t="str">
        <x:v>2009</x:v>
      </x:c>
      <x:c r="C93" s="66" t="str">
        <x:v>2009-04-20</x:v>
      </x:c>
      <x:c r="D93" s="66" t="str">
        <x:v>완료</x:v>
      </x:c>
    </x:row>
    <x:row r="94">
      <x:c r="A94" s="66" t="str">
        <x:v>KR-H014</x:v>
      </x:c>
      <x:c r="B94" s="66" t="str">
        <x:v>2009</x:v>
      </x:c>
      <x:c r="C94" s="66" t="str">
        <x:v>2009-04-20</x:v>
      </x:c>
      <x:c r="D94" s="66" t="str">
        <x:v>완료</x:v>
      </x:c>
    </x:row>
    <x:row r="95">
      <x:c r="A95" s="66" t="str">
        <x:v>KR-H015</x:v>
      </x:c>
      <x:c r="B95" s="66" t="str">
        <x:v>2009</x:v>
      </x:c>
      <x:c r="C95" s="66" t="str">
        <x:v>2009-04-20</x:v>
      </x:c>
      <x:c r="D95" s="66" t="str">
        <x:v>완료</x:v>
      </x:c>
    </x:row>
    <x:row r="96">
      <x:c r="A96" s="66" t="str">
        <x:v>KR-H016</x:v>
      </x:c>
      <x:c r="B96" s="66" t="str">
        <x:v>2009</x:v>
      </x:c>
      <x:c r="C96" s="66" t="str">
        <x:v>2009-04-20</x:v>
      </x:c>
      <x:c r="D96" s="66" t="str">
        <x:v>완료</x:v>
      </x:c>
    </x:row>
    <x:row r="97">
      <x:c r="A97" s="66" t="str">
        <x:v>KR-H017</x:v>
      </x:c>
      <x:c r="B97" s="66" t="str">
        <x:v>2010</x:v>
      </x:c>
      <x:c r="C97" s="66" t="str">
        <x:v>2010-01-20</x:v>
      </x:c>
      <x:c r="D97" s="66" t="str">
        <x:v>부분</x:v>
      </x:c>
    </x:row>
    <x:row r="98">
      <x:c r="A98" s="66" t="str">
        <x:v>KR-H018</x:v>
      </x:c>
      <x:c r="B98" s="66" t="str">
        <x:v>2010</x:v>
      </x:c>
      <x:c r="C98" s="66" t="str">
        <x:v>2010-01-20</x:v>
      </x:c>
      <x:c r="D98" s="66" t="str">
        <x:v>부분</x:v>
      </x:c>
    </x:row>
    <x:row r="99">
      <x:c r="A99" s="66" t="str">
        <x:v>KR-H019</x:v>
      </x:c>
      <x:c r="B99" s="66" t="str">
        <x:v>2010</x:v>
      </x:c>
      <x:c r="C99" s="66" t="str">
        <x:v>2010-01-20</x:v>
      </x:c>
      <x:c r="D99" s="66" t="str">
        <x:v>부분</x:v>
      </x:c>
    </x:row>
    <x:row r="100">
      <x:c r="A100" s="66" t="str">
        <x:v>KR-H020</x:v>
      </x:c>
      <x:c r="B100" s="66" t="str">
        <x:v>2010</x:v>
      </x:c>
      <x:c r="C100" s="66" t="str">
        <x:v>2010-01-20</x:v>
      </x:c>
      <x:c r="D100" s="66" t="str">
        <x:v>부분</x:v>
      </x:c>
    </x:row>
    <x:row r="101">
      <x:c r="A101" s="66" t="str">
        <x:v>KR-H021</x:v>
      </x:c>
      <x:c r="B101" s="66" t="str">
        <x:v>2010</x:v>
      </x:c>
      <x:c r="C101" s="66" t="str">
        <x:v>2010-01-20</x:v>
      </x:c>
      <x:c r="D101" s="66" t="str">
        <x:v>부분</x:v>
      </x:c>
    </x:row>
    <x:row r="102">
      <x:c r="A102" s="66" t="str">
        <x:v>KR-H022</x:v>
      </x:c>
      <x:c r="B102" s="66" t="str">
        <x:v>2010</x:v>
      </x:c>
      <x:c r="C102" s="66" t="str">
        <x:v>2010-01-20</x:v>
      </x:c>
      <x:c r="D102" s="66" t="str">
        <x:v>부분</x:v>
      </x:c>
    </x:row>
    <x:row r="103">
      <x:c r="A103" s="66" t="str">
        <x:v>KR-H023</x:v>
      </x:c>
      <x:c r="B103" s="66" t="str">
        <x:v>2010</x:v>
      </x:c>
      <x:c r="C103" s="66" t="str">
        <x:v>2010-01-20</x:v>
      </x:c>
      <x:c r="D103" s="66" t="str">
        <x:v>부분</x:v>
      </x:c>
    </x:row>
    <x:row r="104">
      <x:c r="A104" s="66" t="str">
        <x:v>KR-H024</x:v>
      </x:c>
      <x:c r="B104" s="66" t="str">
        <x:v>2010</x:v>
      </x:c>
      <x:c r="C104" s="66" t="str">
        <x:v>2010-01-20</x:v>
      </x:c>
      <x:c r="D104" s="66" t="str">
        <x:v>부분</x:v>
      </x:c>
    </x:row>
    <x:row r="105">
      <x:c r="A105" s="66" t="str">
        <x:v>KR-H025</x:v>
      </x:c>
      <x:c r="B105" s="66" t="str">
        <x:v>2010</x:v>
      </x:c>
      <x:c r="C105" s="66" t="str">
        <x:v>2010-01-20</x:v>
      </x:c>
      <x:c r="D105" s="66" t="str">
        <x:v>부분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a373a23b53c49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" hidden="0" customWidth="1"/>
    <x:col min="3" max="3" width="23" hidden="0" customWidth="1"/>
    <x:col min="4" max="4" width="25" hidden="0" customWidth="1"/>
    <x:col min="5" max="5" width="12" hidden="0" customWidth="1"/>
    <x:col min="6" max="6" width="38" hidden="0" customWidth="1"/>
    <x:col min="7" max="7" width="34" hidden="0" customWidth="1"/>
    <x:col min="8" max="8" width="13" hidden="0" customWidth="1"/>
    <x:col min="9" max="9" width="18" hidden="0" customWidth="1"/>
    <x:col min="10" max="10" width="12" hidden="0" customWidth="1"/>
  </x:cols>
  <x:sheetData>
    <x:row r="1" ht="32" customHeight="1">
      <x:c r="A1" s="319" t="str">
        <x:v>2009~2010 초기 확장 — 가격 수치 확인과 후보를 분리</x:v>
      </x:c>
      <x:c r="B1" s="319"/>
      <x:c r="C1" s="319"/>
      <x:c r="D1" s="319"/>
      <x:c r="E1" s="319"/>
      <x:c r="F1" s="319"/>
      <x:c r="G1" s="319"/>
      <x:c r="H1" s="319"/>
      <x:c r="I1" s="319"/>
      <x:c r="J1" s="319"/>
    </x:row>
    <x:row r="2" ht="34" customHeight="1">
      <x:c r="A2" s="317" t="str">
        <x:v>2009년 16행은 동시대 기사에 당일 등락률이 있으며, 2010년 9행은 당시 테마 기사에 상승·관심이 확인되지만 정확 가격 수치는 없어 ‘부분’으로 표시했습니다.</x:v>
      </x:c>
      <x:c r="B2" s="317"/>
      <x:c r="C2" s="317"/>
      <x:c r="D2" s="317"/>
      <x:c r="E2" s="317"/>
      <x:c r="F2" s="317"/>
      <x:c r="G2" s="317"/>
      <x:c r="H2" s="317"/>
      <x:c r="I2" s="317"/>
      <x:c r="J2" s="317"/>
    </x:row>
    <x:row r="4">
      <x:c r="A4" s="66" t="str">
        <x:v>사례ID</x:v>
      </x:c>
      <x:c r="B4" s="66" t="str">
        <x:v>연도</x:v>
      </x:c>
      <x:c r="C4" s="66" t="str">
        <x:v>테마</x:v>
      </x:c>
      <x:c r="D4" s="66" t="str">
        <x:v>기업</x:v>
      </x:c>
      <x:c r="E4" s="66" t="str">
        <x:v>티커</x:v>
      </x:c>
      <x:c r="F4" s="66" t="str">
        <x:v>촉발 사건</x:v>
      </x:c>
      <x:c r="G4" s="66" t="str">
        <x:v>가격 반응</x:v>
      </x:c>
      <x:c r="H4" s="66" t="str">
        <x:v>반응수치(%)</x:v>
      </x:c>
      <x:c r="I4" s="66" t="str">
        <x:v>판정</x:v>
      </x:c>
      <x:c r="J4" s="66" t="str">
        <x:v>출처ID</x:v>
      </x:c>
    </x:row>
    <x:row r="5">
      <x:c r="A5" s="66" t="str">
        <x:v>KR-H001</x:v>
      </x:c>
      <x:c r="B5" s="66" t="str">
        <x:v>2009</x:v>
      </x:c>
      <x:c r="C5" s="66" t="str">
        <x:v>4대강 조기 착공</x:v>
      </x:c>
      <x:c r="D5" s="66" t="str">
        <x:v>특수건설</x:v>
      </x:c>
      <x:c r="E5" s="67" t="str">
        <x:v>026150</x:v>
      </x:c>
      <x:c r="F5" s="66" t="str">
        <x:v>4대강 살리기 사업 착공 기대</x:v>
      </x:c>
      <x:c r="G5" s="66" t="str">
        <x:v>장중 가격제한폭 수준 상승</x:v>
      </x:c>
      <x:c r="H5" s="312" t="n">
        <x:v>14.94</x:v>
      </x:c>
      <x:c r="I5" s="66" t="str">
        <x:v>혼합-테마 주도</x:v>
      </x:c>
      <x:c r="J5" s="66" t="str">
        <x:v>S92</x:v>
      </x:c>
    </x:row>
    <x:row r="6">
      <x:c r="A6" s="66" t="str">
        <x:v>KR-H002</x:v>
      </x:c>
      <x:c r="B6" s="66" t="str">
        <x:v>2009</x:v>
      </x:c>
      <x:c r="C6" s="66" t="str">
        <x:v>4대강 조기 착공</x:v>
      </x:c>
      <x:c r="D6" s="66" t="str">
        <x:v>동신건설</x:v>
      </x:c>
      <x:c r="E6" s="67" t="str">
        <x:v>025950</x:v>
      </x:c>
      <x:c r="F6" s="66" t="str">
        <x:v>4대강 살리기 사업 착공 기대</x:v>
      </x:c>
      <x:c r="G6" s="66" t="str">
        <x:v>장중 가격제한폭 수준 상승</x:v>
      </x:c>
      <x:c r="H6" s="312" t="n">
        <x:v>14.9</x:v>
      </x:c>
      <x:c r="I6" s="66" t="str">
        <x:v>혼합-테마 주도</x:v>
      </x:c>
      <x:c r="J6" s="66" t="str">
        <x:v>S92</x:v>
      </x:c>
    </x:row>
    <x:row r="7">
      <x:c r="A7" s="66" t="str">
        <x:v>KR-H003</x:v>
      </x:c>
      <x:c r="B7" s="66" t="str">
        <x:v>2009</x:v>
      </x:c>
      <x:c r="C7" s="66" t="str">
        <x:v>4대강 조기 착공</x:v>
      </x:c>
      <x:c r="D7" s="66" t="str">
        <x:v>이화공영</x:v>
      </x:c>
      <x:c r="E7" s="67" t="str">
        <x:v>001840</x:v>
      </x:c>
      <x:c r="F7" s="66" t="str">
        <x:v>4대강 살리기 사업 착공 기대</x:v>
      </x:c>
      <x:c r="G7" s="66" t="str">
        <x:v>장중 가격제한폭 수준 상승</x:v>
      </x:c>
      <x:c r="H7" s="312" t="n">
        <x:v>14.77</x:v>
      </x:c>
      <x:c r="I7" s="66" t="str">
        <x:v>혼합-테마 주도</x:v>
      </x:c>
      <x:c r="J7" s="66" t="str">
        <x:v>S92</x:v>
      </x:c>
    </x:row>
    <x:row r="8">
      <x:c r="A8" s="66" t="str">
        <x:v>KR-H004</x:v>
      </x:c>
      <x:c r="B8" s="66" t="str">
        <x:v>2009</x:v>
      </x:c>
      <x:c r="C8" s="66" t="str">
        <x:v>4대강 조기 착공</x:v>
      </x:c>
      <x:c r="D8" s="66" t="str">
        <x:v>삼목정공(현 삼목에스폼)</x:v>
      </x:c>
      <x:c r="E8" s="67" t="str">
        <x:v>018310</x:v>
      </x:c>
      <x:c r="F8" s="66" t="str">
        <x:v>4대강 살리기 사업 착공 기대</x:v>
      </x:c>
      <x:c r="G8" s="66" t="str">
        <x:v>장중 가격제한폭 수준 상승</x:v>
      </x:c>
      <x:c r="H8" s="312" t="n">
        <x:v>14.9</x:v>
      </x:c>
      <x:c r="I8" s="66" t="str">
        <x:v>혼합-테마 주도</x:v>
      </x:c>
      <x:c r="J8" s="66" t="str">
        <x:v>S92</x:v>
      </x:c>
    </x:row>
    <x:row r="9">
      <x:c r="A9" s="66" t="str">
        <x:v>KR-H005</x:v>
      </x:c>
      <x:c r="B9" s="66" t="str">
        <x:v>2009</x:v>
      </x:c>
      <x:c r="C9" s="66" t="str">
        <x:v>4대강 조기 착공</x:v>
      </x:c>
      <x:c r="D9" s="66" t="str">
        <x:v>울트라건설</x:v>
      </x:c>
      <x:c r="E9" s="67" t="str">
        <x:v>004320</x:v>
      </x:c>
      <x:c r="F9" s="66" t="str">
        <x:v>4대강 살리기 사업 착공 기대</x:v>
      </x:c>
      <x:c r="G9" s="66" t="str">
        <x:v>장중 가격제한폭 수준 상승</x:v>
      </x:c>
      <x:c r="H9" s="312" t="n">
        <x:v>14.55</x:v>
      </x:c>
      <x:c r="I9" s="66" t="str">
        <x:v>혼합-테마 주도</x:v>
      </x:c>
      <x:c r="J9" s="66" t="str">
        <x:v>S92</x:v>
      </x:c>
    </x:row>
    <x:row r="10">
      <x:c r="A10" s="66" t="str">
        <x:v>KR-H006</x:v>
      </x:c>
      <x:c r="B10" s="66" t="str">
        <x:v>2009</x:v>
      </x:c>
      <x:c r="C10" s="66" t="str">
        <x:v>4대강 조기 착공</x:v>
      </x:c>
      <x:c r="D10" s="66" t="str">
        <x:v>신천개발</x:v>
      </x:c>
      <x:c r="E10" s="67" t="str">
        <x:v>004060</x:v>
      </x:c>
      <x:c r="F10" s="66" t="str">
        <x:v>4대강 살리기 사업 착공 기대</x:v>
      </x:c>
      <x:c r="G10" s="66" t="str">
        <x:v>장중 가격제한폭 수준 상승</x:v>
      </x:c>
      <x:c r="H10" s="312" t="n">
        <x:v>14.95</x:v>
      </x:c>
      <x:c r="I10" s="66" t="str">
        <x:v>혼합-테마 주도</x:v>
      </x:c>
      <x:c r="J10" s="66" t="str">
        <x:v>S92</x:v>
      </x:c>
    </x:row>
    <x:row r="11">
      <x:c r="A11" s="66" t="str">
        <x:v>KR-H007</x:v>
      </x:c>
      <x:c r="B11" s="66" t="str">
        <x:v>2009</x:v>
      </x:c>
      <x:c r="C11" s="66" t="str">
        <x:v>4대강 조기 착공</x:v>
      </x:c>
      <x:c r="D11" s="66" t="str">
        <x:v>삼호개발</x:v>
      </x:c>
      <x:c r="E11" s="67" t="str">
        <x:v>010960</x:v>
      </x:c>
      <x:c r="F11" s="66" t="str">
        <x:v>4대강 살리기 사업 착공 기대</x:v>
      </x:c>
      <x:c r="G11" s="66" t="str">
        <x:v>장중 가격제한폭 수준 상승</x:v>
      </x:c>
      <x:c r="H11" s="312" t="n">
        <x:v>14.88</x:v>
      </x:c>
      <x:c r="I11" s="66" t="str">
        <x:v>혼합-테마 주도</x:v>
      </x:c>
      <x:c r="J11" s="66" t="str">
        <x:v>S92</x:v>
      </x:c>
    </x:row>
    <x:row r="12">
      <x:c r="A12" s="66" t="str">
        <x:v>KR-H008</x:v>
      </x:c>
      <x:c r="B12" s="66" t="str">
        <x:v>2009</x:v>
      </x:c>
      <x:c r="C12" s="66" t="str">
        <x:v>자전거 산업 활성화</x:v>
      </x:c>
      <x:c r="D12" s="66" t="str">
        <x:v>삼천리자전거</x:v>
      </x:c>
      <x:c r="E12" s="67" t="str">
        <x:v>024950</x:v>
      </x:c>
      <x:c r="F12" s="66" t="str">
        <x:v>정부 자전거산업 활성화 종합대책</x:v>
      </x:c>
      <x:c r="G12" s="66" t="str">
        <x:v>상한가</x:v>
      </x:c>
      <x:c r="H12" s="312" t="n">
        <x:v>14.83</x:v>
      </x:c>
      <x:c r="I12" s="66" t="str">
        <x:v>사업연결+테마</x:v>
      </x:c>
      <x:c r="J12" s="66" t="str">
        <x:v>S94;S95</x:v>
      </x:c>
    </x:row>
    <x:row r="13">
      <x:c r="A13" s="66" t="str">
        <x:v>KR-H009</x:v>
      </x:c>
      <x:c r="B13" s="66" t="str">
        <x:v>2009</x:v>
      </x:c>
      <x:c r="C13" s="66" t="str">
        <x:v>자전거 산업 활성화</x:v>
      </x:c>
      <x:c r="D13" s="66" t="str">
        <x:v>참좋은레져(현 참좋은여행)</x:v>
      </x:c>
      <x:c r="E13" s="67" t="str">
        <x:v>094850</x:v>
      </x:c>
      <x:c r="F13" s="66" t="str">
        <x:v>정부 자전거산업 활성화 종합대책</x:v>
      </x:c>
      <x:c r="G13" s="66" t="str">
        <x:v>상한가</x:v>
      </x:c>
      <x:c r="H13" s="312" t="n">
        <x:v>14.89</x:v>
      </x:c>
      <x:c r="I13" s="66" t="str">
        <x:v>사업연결+테마</x:v>
      </x:c>
      <x:c r="J13" s="66" t="str">
        <x:v>S94;S95</x:v>
      </x:c>
    </x:row>
    <x:row r="14">
      <x:c r="A14" s="66" t="str">
        <x:v>KR-H010</x:v>
      </x:c>
      <x:c r="B14" s="66" t="str">
        <x:v>2009</x:v>
      </x:c>
      <x:c r="C14" s="66" t="str">
        <x:v>자전거 산업 활성화</x:v>
      </x:c>
      <x:c r="D14" s="66" t="str">
        <x:v>에이모션</x:v>
      </x:c>
      <x:c r="E14" s="67" t="str">
        <x:v>031860</x:v>
      </x:c>
      <x:c r="F14" s="66" t="str">
        <x:v>정부 자전거산업 활성화 종합대책</x:v>
      </x:c>
      <x:c r="G14" s="66" t="str">
        <x:v>상한가</x:v>
      </x:c>
      <x:c r="H14" s="312" t="n">
        <x:v>14.75</x:v>
      </x:c>
      <x:c r="I14" s="66" t="str">
        <x:v>사업연결+테마</x:v>
      </x:c>
      <x:c r="J14" s="66" t="str">
        <x:v>S95</x:v>
      </x:c>
    </x:row>
    <x:row r="15">
      <x:c r="A15" s="66" t="str">
        <x:v>KR-H011</x:v>
      </x:c>
      <x:c r="B15" s="66" t="str">
        <x:v>2009</x:v>
      </x:c>
      <x:c r="C15" s="66" t="str">
        <x:v>녹색성장·자전거도로</x:v>
      </x:c>
      <x:c r="D15" s="66" t="str">
        <x:v>참좋은레져(현 참좋은여행)</x:v>
      </x:c>
      <x:c r="E15" s="67" t="str">
        <x:v>094850</x:v>
      </x:c>
      <x:c r="F15" s="66" t="str">
        <x:v>대통령 라디오·유튜브 연설에서 2천km 자전거길 언급</x:v>
      </x:c>
      <x:c r="G15" s="66" t="str">
        <x:v>상한가</x:v>
      </x:c>
      <x:c r="H15" s="312" t="n">
        <x:v>14.93</x:v>
      </x:c>
      <x:c r="I15" s="66" t="str">
        <x:v>사업연결+테마</x:v>
      </x:c>
      <x:c r="J15" s="66" t="str">
        <x:v>S93</x:v>
      </x:c>
    </x:row>
    <x:row r="16">
      <x:c r="A16" s="66" t="str">
        <x:v>KR-H012</x:v>
      </x:c>
      <x:c r="B16" s="66" t="str">
        <x:v>2009</x:v>
      </x:c>
      <x:c r="C16" s="66" t="str">
        <x:v>녹색성장·4대강</x:v>
      </x:c>
      <x:c r="D16" s="66" t="str">
        <x:v>특수건설</x:v>
      </x:c>
      <x:c r="E16" s="67" t="str">
        <x:v>026150</x:v>
      </x:c>
      <x:c r="F16" s="66" t="str">
        <x:v>대통령 녹색성장·자전거도로 연설</x:v>
      </x:c>
      <x:c r="G16" s="66" t="str">
        <x:v>당일 상승</x:v>
      </x:c>
      <x:c r="H16" s="312" t="n">
        <x:v>6.02</x:v>
      </x:c>
      <x:c r="I16" s="66" t="str">
        <x:v>혼합-테마 주도</x:v>
      </x:c>
      <x:c r="J16" s="66" t="str">
        <x:v>S93</x:v>
      </x:c>
    </x:row>
    <x:row r="17">
      <x:c r="A17" s="66" t="str">
        <x:v>KR-H013</x:v>
      </x:c>
      <x:c r="B17" s="66" t="str">
        <x:v>2009</x:v>
      </x:c>
      <x:c r="C17" s="66" t="str">
        <x:v>녹색성장·4대강</x:v>
      </x:c>
      <x:c r="D17" s="66" t="str">
        <x:v>이화공영</x:v>
      </x:c>
      <x:c r="E17" s="67" t="str">
        <x:v>001840</x:v>
      </x:c>
      <x:c r="F17" s="66" t="str">
        <x:v>대통령 녹색성장·자전거도로 연설</x:v>
      </x:c>
      <x:c r="G17" s="66" t="str">
        <x:v>당일 상승</x:v>
      </x:c>
      <x:c r="H17" s="312" t="n">
        <x:v>4.02</x:v>
      </x:c>
      <x:c r="I17" s="66" t="str">
        <x:v>혼합-테마 주도</x:v>
      </x:c>
      <x:c r="J17" s="66" t="str">
        <x:v>S93</x:v>
      </x:c>
    </x:row>
    <x:row r="18">
      <x:c r="A18" s="66" t="str">
        <x:v>KR-H014</x:v>
      </x:c>
      <x:c r="B18" s="66" t="str">
        <x:v>2009</x:v>
      </x:c>
      <x:c r="C18" s="66" t="str">
        <x:v>녹색성장·4대강</x:v>
      </x:c>
      <x:c r="D18" s="66" t="str">
        <x:v>한국선재</x:v>
      </x:c>
      <x:c r="E18" s="67" t="str">
        <x:v>025550</x:v>
      </x:c>
      <x:c r="F18" s="66" t="str">
        <x:v>대통령 녹색성장·자전거도로 연설</x:v>
      </x:c>
      <x:c r="G18" s="66" t="str">
        <x:v>당일 상승</x:v>
      </x:c>
      <x:c r="H18" s="312" t="n">
        <x:v>5.5</x:v>
      </x:c>
      <x:c r="I18" s="66" t="str">
        <x:v>혼합-테마 주도</x:v>
      </x:c>
      <x:c r="J18" s="66" t="str">
        <x:v>S93</x:v>
      </x:c>
    </x:row>
    <x:row r="19">
      <x:c r="A19" s="66" t="str">
        <x:v>KR-H015</x:v>
      </x:c>
      <x:c r="B19" s="66" t="str">
        <x:v>2009</x:v>
      </x:c>
      <x:c r="C19" s="66" t="str">
        <x:v>녹색성장·4대강</x:v>
      </x:c>
      <x:c r="D19" s="66" t="str">
        <x:v>홈센타(현 홈센타홀딩스)</x:v>
      </x:c>
      <x:c r="E19" s="67" t="str">
        <x:v>060560</x:v>
      </x:c>
      <x:c r="F19" s="66" t="str">
        <x:v>대통령 녹색성장·자전거도로 연설</x:v>
      </x:c>
      <x:c r="G19" s="66" t="str">
        <x:v>당일 상승</x:v>
      </x:c>
      <x:c r="H19" s="312" t="n">
        <x:v>3.22</x:v>
      </x:c>
      <x:c r="I19" s="66" t="str">
        <x:v>혼합-테마 주도</x:v>
      </x:c>
      <x:c r="J19" s="66" t="str">
        <x:v>S93</x:v>
      </x:c>
    </x:row>
    <x:row r="20">
      <x:c r="A20" s="66" t="str">
        <x:v>KR-H016</x:v>
      </x:c>
      <x:c r="B20" s="66" t="str">
        <x:v>2009</x:v>
      </x:c>
      <x:c r="C20" s="66" t="str">
        <x:v>녹색성장·4대강</x:v>
      </x:c>
      <x:c r="D20" s="66" t="str">
        <x:v>미주제강</x:v>
      </x:c>
      <x:c r="E20" s="67" t="str">
        <x:v>002670</x:v>
      </x:c>
      <x:c r="F20" s="66" t="str">
        <x:v>대통령 녹색성장·자전거도로 연설</x:v>
      </x:c>
      <x:c r="G20" s="66" t="str">
        <x:v>당일 상승</x:v>
      </x:c>
      <x:c r="H20" s="312" t="n">
        <x:v>7.35</x:v>
      </x:c>
      <x:c r="I20" s="66" t="str">
        <x:v>혼합-테마 주도</x:v>
      </x:c>
      <x:c r="J20" s="66" t="str">
        <x:v>S93</x:v>
      </x:c>
    </x:row>
    <x:row r="21">
      <x:c r="A21" s="66" t="str">
        <x:v>KR-H017</x:v>
      </x:c>
      <x:c r="B21" s="66" t="str">
        <x:v>2010</x:v>
      </x:c>
      <x:c r="C21" s="66" t="str">
        <x:v>아바타·3D 열풍</x:v>
      </x:c>
      <x:c r="D21" s="66" t="str">
        <x:v>케이디씨(현 광무)</x:v>
      </x:c>
      <x:c r="E21" s="67" t="str">
        <x:v>029480</x:v>
      </x:c>
      <x:c r="F21" s="66" t="str">
        <x:v>영화 아바타 흥행으로 3D 관심 폭증</x:v>
      </x:c>
      <x:c r="G21" s="66" t="str">
        <x:v>기사상 급등 후 하락 언급; 정확 수치 미제공</x:v>
      </x:c>
      <x:c r="H21" s="312"/>
      <x:c r="I21" s="66" t="str">
        <x:v>후보-가격검증</x:v>
      </x:c>
      <x:c r="J21" s="66" t="str">
        <x:v>S96</x:v>
      </x:c>
    </x:row>
    <x:row r="22">
      <x:c r="A22" s="66" t="str">
        <x:v>KR-H018</x:v>
      </x:c>
      <x:c r="B22" s="66" t="str">
        <x:v>2010</x:v>
      </x:c>
      <x:c r="C22" s="66" t="str">
        <x:v>아바타·3D 열풍</x:v>
      </x:c>
      <x:c r="D22" s="66" t="str">
        <x:v>티엘아이</x:v>
      </x:c>
      <x:c r="E22" s="67" t="str">
        <x:v>062860</x:v>
      </x:c>
      <x:c r="F22" s="66" t="str">
        <x:v>아바타 흥행과 3D TV 기대</x:v>
      </x:c>
      <x:c r="G22" s="66" t="str">
        <x:v>기사상 꾸준한 상승세; 정확 수치 미제공</x:v>
      </x:c>
      <x:c r="H22" s="312"/>
      <x:c r="I22" s="66" t="str">
        <x:v>후보-가격검증</x:v>
      </x:c>
      <x:c r="J22" s="66" t="str">
        <x:v>S96</x:v>
      </x:c>
    </x:row>
    <x:row r="23">
      <x:c r="A23" s="66" t="str">
        <x:v>KR-H019</x:v>
      </x:c>
      <x:c r="B23" s="66" t="str">
        <x:v>2010</x:v>
      </x:c>
      <x:c r="C23" s="66" t="str">
        <x:v>아바타·3D 열풍</x:v>
      </x:c>
      <x:c r="D23" s="66" t="str">
        <x:v>잘만테크</x:v>
      </x:c>
      <x:c r="E23" s="67" t="str">
        <x:v>090120</x:v>
      </x:c>
      <x:c r="F23" s="66" t="str">
        <x:v>아바타 흥행과 3D TV 기대</x:v>
      </x:c>
      <x:c r="G23" s="66" t="str">
        <x:v>기사상 꾸준한 상승세; 정확 수치 미제공</x:v>
      </x:c>
      <x:c r="H23" s="312"/>
      <x:c r="I23" s="66" t="str">
        <x:v>후보-가격검증</x:v>
      </x:c>
      <x:c r="J23" s="66" t="str">
        <x:v>S96</x:v>
      </x:c>
    </x:row>
    <x:row r="24">
      <x:c r="A24" s="66" t="str">
        <x:v>KR-H020</x:v>
      </x:c>
      <x:c r="B24" s="66" t="str">
        <x:v>2010</x:v>
      </x:c>
      <x:c r="C24" s="66" t="str">
        <x:v>아이폰·스마트폰 확산</x:v>
      </x:c>
      <x:c r="D24" s="66" t="str">
        <x:v>디지텍시스템</x:v>
      </x:c>
      <x:c r="E24" s="67" t="str">
        <x:v>091690</x:v>
      </x:c>
      <x:c r="F24" s="66" t="str">
        <x:v>국내 첫 아이폰 출시 후 스마트폰 관심 확대</x:v>
      </x:c>
      <x:c r="G24" s="66" t="str">
        <x:v>수혜주로 주목; 원문 정확 수치 미제공</x:v>
      </x:c>
      <x:c r="H24" s="312"/>
      <x:c r="I24" s="66" t="str">
        <x:v>후보-가격검증</x:v>
      </x:c>
      <x:c r="J24" s="66" t="str">
        <x:v>S80;S96</x:v>
      </x:c>
    </x:row>
    <x:row r="25">
      <x:c r="A25" s="66" t="str">
        <x:v>KR-H021</x:v>
      </x:c>
      <x:c r="B25" s="66" t="str">
        <x:v>2010</x:v>
      </x:c>
      <x:c r="C25" s="66" t="str">
        <x:v>아이폰·스마트폰 확산</x:v>
      </x:c>
      <x:c r="D25" s="66" t="str">
        <x:v>이엘케이</x:v>
      </x:c>
      <x:c r="E25" s="67" t="str">
        <x:v>094190</x:v>
      </x:c>
      <x:c r="F25" s="66" t="str">
        <x:v>국내 첫 아이폰 출시 후 스마트폰 관심 확대</x:v>
      </x:c>
      <x:c r="G25" s="66" t="str">
        <x:v>수혜주로 주목; 원문 정확 수치 미제공</x:v>
      </x:c>
      <x:c r="H25" s="312"/>
      <x:c r="I25" s="66" t="str">
        <x:v>후보-가격검증</x:v>
      </x:c>
      <x:c r="J25" s="66" t="str">
        <x:v>S80;S96</x:v>
      </x:c>
    </x:row>
    <x:row r="26">
      <x:c r="A26" s="66" t="str">
        <x:v>KR-H022</x:v>
      </x:c>
      <x:c r="B26" s="66" t="str">
        <x:v>2010</x:v>
      </x:c>
      <x:c r="C26" s="66" t="str">
        <x:v>아이폰·스마트폰 확산</x:v>
      </x:c>
      <x:c r="D26" s="66" t="str">
        <x:v>멜파스</x:v>
      </x:c>
      <x:c r="E26" s="67" t="str">
        <x:v>096640</x:v>
      </x:c>
      <x:c r="F26" s="66" t="str">
        <x:v>국내 첫 아이폰 출시 후 스마트폰 관심 확대</x:v>
      </x:c>
      <x:c r="G26" s="66" t="str">
        <x:v>수혜주로 주목; 원문 정확 수치 미제공</x:v>
      </x:c>
      <x:c r="H26" s="312"/>
      <x:c r="I26" s="66" t="str">
        <x:v>후보-가격검증</x:v>
      </x:c>
      <x:c r="J26" s="66" t="str">
        <x:v>S80;S96</x:v>
      </x:c>
    </x:row>
    <x:row r="27">
      <x:c r="A27" s="66" t="str">
        <x:v>KR-H023</x:v>
      </x:c>
      <x:c r="B27" s="66" t="str">
        <x:v>2010</x:v>
      </x:c>
      <x:c r="C27" s="66" t="str">
        <x:v>아이폰·스마트폰 확산</x:v>
      </x:c>
      <x:c r="D27" s="66" t="str">
        <x:v>디오텍(현 셀바스AI)</x:v>
      </x:c>
      <x:c r="E27" s="67" t="str">
        <x:v>108860</x:v>
      </x:c>
      <x:c r="F27" s="66" t="str">
        <x:v>국내 첫 아이폰 출시 후 스마트폰 관심 확대</x:v>
      </x:c>
      <x:c r="G27" s="66" t="str">
        <x:v>관련주 관심; 원문 정확 수치 미제공</x:v>
      </x:c>
      <x:c r="H27" s="312"/>
      <x:c r="I27" s="66" t="str">
        <x:v>후보-가격검증</x:v>
      </x:c>
      <x:c r="J27" s="66" t="str">
        <x:v>S80;S96</x:v>
      </x:c>
    </x:row>
    <x:row r="28">
      <x:c r="A28" s="66" t="str">
        <x:v>KR-H024</x:v>
      </x:c>
      <x:c r="B28" s="66" t="str">
        <x:v>2010</x:v>
      </x:c>
      <x:c r="C28" s="66" t="str">
        <x:v>아이폰·스마트폰 확산</x:v>
      </x:c>
      <x:c r="D28" s="66" t="str">
        <x:v>파트론</x:v>
      </x:c>
      <x:c r="E28" s="67" t="str">
        <x:v>091700</x:v>
      </x:c>
      <x:c r="F28" s="66" t="str">
        <x:v>국내 첫 아이폰 출시 후 스마트폰 관심 확대</x:v>
      </x:c>
      <x:c r="G28" s="66" t="str">
        <x:v>관련주 관심; 원문 정확 수치 미제공</x:v>
      </x:c>
      <x:c r="H28" s="312"/>
      <x:c r="I28" s="66" t="str">
        <x:v>후보-가격검증</x:v>
      </x:c>
      <x:c r="J28" s="66" t="str">
        <x:v>S80;S96</x:v>
      </x:c>
    </x:row>
    <x:row r="29">
      <x:c r="A29" s="66" t="str">
        <x:v>KR-H025</x:v>
      </x:c>
      <x:c r="B29" s="66" t="str">
        <x:v>2010</x:v>
      </x:c>
      <x:c r="C29" s="66" t="str">
        <x:v>아이폰·스마트폰 확산</x:v>
      </x:c>
      <x:c r="D29" s="66" t="str">
        <x:v>아모텍</x:v>
      </x:c>
      <x:c r="E29" s="67" t="str">
        <x:v>052710</x:v>
      </x:c>
      <x:c r="F29" s="66" t="str">
        <x:v>국내 첫 아이폰 출시 후 스마트폰 관심 확대</x:v>
      </x:c>
      <x:c r="G29" s="66" t="str">
        <x:v>관련주 관심; 원문 정확 수치 미제공</x:v>
      </x:c>
      <x:c r="H29" s="312"/>
      <x:c r="I29" s="66" t="str">
        <x:v>후보-가격검증</x:v>
      </x:c>
      <x:c r="J29" s="66" t="str">
        <x:v>S80;S96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15bffe1b0e3424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  <x:col min="7" max="7" width="62" hidden="0" customWidth="1"/>
  </x:cols>
  <x:sheetData>
    <x:row r="1" ht="32" customHeight="1">
      <x:c r="A1" s="319" t="str">
        <x:v>2009~2026 연도별 팩트 커버리지</x:v>
      </x:c>
      <x:c r="B1" s="319"/>
      <x:c r="C1" s="319"/>
      <x:c r="D1" s="319"/>
      <x:c r="E1" s="319"/>
      <x:c r="F1" s="319"/>
      <x:c r="G1" s="319"/>
    </x:row>
    <x:row r="2" ht="36" customHeight="1">
      <x:c r="A2" s="317" t="str">
        <x:v>목표 50건/년은 기업-사건 행 기준입니다. 같은 정책·밈에 여러 종목이 움직인 경우 각각 1행이므로, 독립 유행 사건 수와 동일하지 않습니다.</x:v>
      </x:c>
      <x:c r="B2" s="317"/>
      <x:c r="C2" s="317"/>
      <x:c r="D2" s="317"/>
      <x:c r="E2" s="317"/>
      <x:c r="F2" s="317"/>
      <x:c r="G2" s="317"/>
    </x:row>
    <x:row r="4">
      <x:c r="A4" s="66" t="str">
        <x:v>연도</x:v>
      </x:c>
      <x:c r="B4" s="66" t="str">
        <x:v>원장 한국행</x:v>
      </x:c>
      <x:c r="C4" s="66" t="str">
        <x:v>연 목표</x:v>
      </x:c>
      <x:c r="D4" s="66" t="str">
        <x:v>부족분</x:v>
      </x:c>
      <x:c r="E4" s="66" t="str">
        <x:v>달성률</x:v>
      </x:c>
      <x:c r="F4" s="66" t="str">
        <x:v>상태</x:v>
      </x:c>
      <x:c r="G4" s="66" t="str">
        <x:v>참고·공식 집계</x:v>
      </x:c>
    </x:row>
    <x:row r="5">
      <x:c r="A5" s="66" t="n">
        <x:v>2009</x:v>
      </x:c>
      <x:c r="B5" s="66" t="n">
        <x:f>COUNTIF('연도태그'!$B$5:$B$105,A5)</x:f>
        <x:v>16</x:v>
      </x:c>
      <x:c r="C5" s="66" t="n">
        <x:v>50</x:v>
      </x:c>
      <x:c r="D5" s="66" t="n">
        <x:f>MAX(0,C5-B5)</x:f>
        <x:v>34</x:v>
      </x:c>
      <x:c r="E5" s="323" t="n">
        <x:f>B5/C5</x:f>
        <x:v>0.32</x:v>
      </x:c>
      <x:c r="F5" s="66" t="str">
        <x:f>IF(B5&gt;=50,"달성","미달")</x:f>
        <x:v>미달</x:v>
      </x:c>
      <x:c r="G5" s="66" t="str">
        <x:v>아이폰 국내 출시 원년. v4에서 4대강·자전거 정책 테마 16행 수치 확인</x:v>
      </x:c>
    </x:row>
    <x:row r="6">
      <x:c r="A6" s="66" t="n">
        <x:v>2010</x:v>
      </x:c>
      <x:c r="B6" s="66" t="n">
        <x:f>COUNTIF('연도태그'!$B$5:$B$105,A6)</x:f>
        <x:v>9</x:v>
      </x:c>
      <x:c r="C6" s="66" t="n">
        <x:v>50</x:v>
      </x:c>
      <x:c r="D6" s="66" t="n">
        <x:f>MAX(0,C6-B6)</x:f>
        <x:v>41</x:v>
      </x:c>
      <x:c r="E6" s="323" t="n">
        <x:f>B6/C6</x:f>
        <x:v>0.18</x:v>
      </x:c>
      <x:c r="F6" s="66" t="str">
        <x:f>IF(B6&gt;=50,"달성","미달")</x:f>
        <x:v>미달</x:v>
      </x:c>
      <x:c r="G6" s="66" t="str">
        <x:v>아바타 3D·아이폰 스마트폰 테마 9행. 정확 수치는 추가 검증</x:v>
      </x:c>
    </x:row>
    <x:row r="7">
      <x:c r="A7" s="66" t="n">
        <x:v>2011</x:v>
      </x:c>
      <x:c r="B7" s="66" t="n">
        <x:f>COUNTIF('연도태그'!$B$5:$B$105,A7)</x:f>
        <x:v>0</x:v>
      </x:c>
      <x:c r="C7" s="66" t="n">
        <x:v>50</x:v>
      </x:c>
      <x:c r="D7" s="66" t="n">
        <x:f>MAX(0,C7-B7)</x:f>
        <x:v>50</x:v>
      </x:c>
      <x:c r="E7" s="323" t="n">
        <x:f>B7/C7</x:f>
        <x:v>0</x:v>
      </x:c>
      <x:c r="F7" s="66" t="str">
        <x:f>IF(B7&gt;=50,"달성","미달")</x:f>
        <x:v>미달</x:v>
      </x:c>
      <x:c r="G7" s="66" t="str">
        <x:v>SNS 이용자 급증기지만 개별 가격·원인 동시확인 행 미수집</x:v>
      </x:c>
    </x:row>
    <x:row r="8">
      <x:c r="A8" s="66" t="n">
        <x:v>2012</x:v>
      </x:c>
      <x:c r="B8" s="66" t="n">
        <x:f>COUNTIF('연도태그'!$B$5:$B$105,A8)</x:f>
        <x:v>4</x:v>
      </x:c>
      <x:c r="C8" s="66" t="n">
        <x:v>50</x:v>
      </x:c>
      <x:c r="D8" s="66" t="n">
        <x:f>MAX(0,C8-B8)</x:f>
        <x:v>46</x:v>
      </x:c>
      <x:c r="E8" s="323" t="n">
        <x:f>B8/C8</x:f>
        <x:v>0.08</x:v>
      </x:c>
      <x:c r="F8" s="66" t="str">
        <x:f>IF(B8&gt;=50,"달성","미달")</x:f>
        <x:v>미달</x:v>
      </x:c>
      <x:c r="G8" s="66" t="str">
        <x:v>금감원 분석 정치테마주 147개·불공정거래 혐의 49개(S85); 원장에는 개별검증 행만 계수</x:v>
      </x:c>
    </x:row>
    <x:row r="9">
      <x:c r="A9" s="66" t="n">
        <x:v>2013</x:v>
      </x:c>
      <x:c r="B9" s="66" t="n">
        <x:f>COUNTIF('연도태그'!$B$5:$B$105,A9)</x:f>
        <x:v>0</x:v>
      </x:c>
      <x:c r="C9" s="66" t="n">
        <x:v>50</x:v>
      </x:c>
      <x:c r="D9" s="66" t="n">
        <x:f>MAX(0,C9-B9)</x:f>
        <x:v>50</x:v>
      </x:c>
      <x:c r="E9" s="323" t="n">
        <x:f>B9/C9</x:f>
        <x:v>0</x:v>
      </x:c>
      <x:c r="F9" s="66" t="str">
        <x:f>IF(B9&gt;=50,"달성","미달")</x:f>
        <x:v>미달</x:v>
      </x:c>
      <x:c r="G9" s="66" t="str">
        <x:v>창조경제·남북경협·3D프린터·비트코인 테마 존재(S97); 개별 수치 미확정</x:v>
      </x:c>
    </x:row>
    <x:row r="10">
      <x:c r="A10" s="66" t="n">
        <x:v>2014</x:v>
      </x:c>
      <x:c r="B10" s="66" t="n">
        <x:f>COUNTIF('연도태그'!$B$5:$B$105,A10)</x:f>
        <x:v>2</x:v>
      </x:c>
      <x:c r="C10" s="66" t="n">
        <x:v>50</x:v>
      </x:c>
      <x:c r="D10" s="66" t="n">
        <x:f>MAX(0,C10-B10)</x:f>
        <x:v>48</x:v>
      </x:c>
      <x:c r="E10" s="323" t="n">
        <x:f>B10/C10</x:f>
        <x:v>0.04</x:v>
      </x:c>
      <x:c r="F10" s="66" t="str">
        <x:f>IF(B10&gt;=50,"달성","미달")</x:f>
        <x:v>미달</x:v>
      </x:c>
      <x:c r="G10" s="66" t="str">
        <x:v>원장 기재 사례만 계수</x:v>
      </x:c>
    </x:row>
    <x:row r="11">
      <x:c r="A11" s="66" t="n">
        <x:v>2015</x:v>
      </x:c>
      <x:c r="B11" s="66" t="n">
        <x:f>COUNTIF('연도태그'!$B$5:$B$105,A11)</x:f>
        <x:v>0</x:v>
      </x:c>
      <x:c r="C11" s="66" t="n">
        <x:v>50</x:v>
      </x:c>
      <x:c r="D11" s="66" t="n">
        <x:f>MAX(0,C11-B11)</x:f>
        <x:v>50</x:v>
      </x:c>
      <x:c r="E11" s="323" t="n">
        <x:f>B11/C11</x:f>
        <x:v>0</x:v>
      </x:c>
      <x:c r="F11" s="66" t="str">
        <x:f>IF(B11&gt;=50,"달성","미달")</x:f>
        <x:v>미달</x:v>
      </x:c>
      <x:c r="G11" s="66" t="str">
        <x:v>연도·사건·가격·원인 동시확인 행 미수집</x:v>
      </x:c>
    </x:row>
    <x:row r="12">
      <x:c r="A12" s="66" t="n">
        <x:v>2016</x:v>
      </x:c>
      <x:c r="B12" s="66" t="n">
        <x:f>COUNTIF('연도태그'!$B$5:$B$105,A12)</x:f>
        <x:v>8</x:v>
      </x:c>
      <x:c r="C12" s="66" t="n">
        <x:v>50</x:v>
      </x:c>
      <x:c r="D12" s="66" t="n">
        <x:f>MAX(0,C12-B12)</x:f>
        <x:v>42</x:v>
      </x:c>
      <x:c r="E12" s="323" t="n">
        <x:f>B12/C12</x:f>
        <x:v>0.16</x:v>
      </x:c>
      <x:c r="F12" s="66" t="str">
        <x:f>IF(B12&gt;=50,"달성","미달")</x:f>
        <x:v>미달</x:v>
      </x:c>
      <x:c r="G12" s="66" t="str">
        <x:v>네이버 데이터랩 서비스 시작 연도(S88)</x:v>
      </x:c>
    </x:row>
    <x:row r="13">
      <x:c r="A13" s="66" t="n">
        <x:v>2017</x:v>
      </x:c>
      <x:c r="B13" s="66" t="n">
        <x:f>COUNTIF('연도태그'!$B$5:$B$105,A13)</x:f>
        <x:v>0</x:v>
      </x:c>
      <x:c r="C13" s="66" t="n">
        <x:v>50</x:v>
      </x:c>
      <x:c r="D13" s="66" t="n">
        <x:f>MAX(0,C13-B13)</x:f>
        <x:v>50</x:v>
      </x:c>
      <x:c r="E13" s="323" t="n">
        <x:f>B13/C13</x:f>
        <x:v>0</x:v>
      </x:c>
      <x:c r="F13" s="66" t="str">
        <x:f>IF(B13&gt;=50,"달성","미달")</x:f>
        <x:v>미달</x:v>
      </x:c>
      <x:c r="G13" s="66" t="str">
        <x:v>대선 정치테마주 150개 집중감시(S86), 224개 분석 보도(S87); 개별 행으로 미전개</x:v>
      </x:c>
    </x:row>
    <x:row r="14">
      <x:c r="A14" s="66" t="n">
        <x:v>2018</x:v>
      </x:c>
      <x:c r="B14" s="66" t="n">
        <x:f>COUNTIF('연도태그'!$B$5:$B$105,A14)</x:f>
        <x:v>5</x:v>
      </x:c>
      <x:c r="C14" s="66" t="n">
        <x:v>50</x:v>
      </x:c>
      <x:c r="D14" s="66" t="n">
        <x:f>MAX(0,C14-B14)</x:f>
        <x:v>45</x:v>
      </x:c>
      <x:c r="E14" s="323" t="n">
        <x:f>B14/C14</x:f>
        <x:v>0.1</x:v>
      </x:c>
      <x:c r="F14" s="66" t="str">
        <x:f>IF(B14&gt;=50,"달성","미달")</x:f>
        <x:v>미달</x:v>
      </x:c>
      <x:c r="G14" s="66" t="str">
        <x:v>원장 기재 사례만 계수</x:v>
      </x:c>
    </x:row>
    <x:row r="15">
      <x:c r="A15" s="66" t="n">
        <x:v>2019</x:v>
      </x:c>
      <x:c r="B15" s="66" t="n">
        <x:f>COUNTIF('연도태그'!$B$5:$B$105,A15)</x:f>
        <x:v>1</x:v>
      </x:c>
      <x:c r="C15" s="66" t="n">
        <x:v>50</x:v>
      </x:c>
      <x:c r="D15" s="66" t="n">
        <x:f>MAX(0,C15-B15)</x:f>
        <x:v>49</x:v>
      </x:c>
      <x:c r="E15" s="323" t="n">
        <x:f>B15/C15</x:f>
        <x:v>0.02</x:v>
      </x:c>
      <x:c r="F15" s="66" t="str">
        <x:f>IF(B15&gt;=50,"달성","미달")</x:f>
        <x:v>미달</x:v>
      </x:c>
      <x:c r="G15" s="66" t="str">
        <x:v>원장 기재 사례만 계수</x:v>
      </x:c>
    </x:row>
    <x:row r="16">
      <x:c r="A16" s="66" t="n">
        <x:v>2020</x:v>
      </x:c>
      <x:c r="B16" s="66" t="n">
        <x:f>COUNTIF('연도태그'!$B$5:$B$105,A16)</x:f>
        <x:v>7</x:v>
      </x:c>
      <x:c r="C16" s="66" t="n">
        <x:v>50</x:v>
      </x:c>
      <x:c r="D16" s="66" t="n">
        <x:f>MAX(0,C16-B16)</x:f>
        <x:v>43</x:v>
      </x:c>
      <x:c r="E16" s="323" t="n">
        <x:f>B16/C16</x:f>
        <x:v>0.14</x:v>
      </x:c>
      <x:c r="F16" s="66" t="str">
        <x:f>IF(B16&gt;=50,"달성","미달")</x:f>
        <x:v>미달</x:v>
      </x:c>
      <x:c r="G16" s="66" t="str">
        <x:v>코로나·개인투자자 커뮤니티 확산기; 원장 기재 사례만 계수</x:v>
      </x:c>
    </x:row>
    <x:row r="17">
      <x:c r="A17" s="66" t="n">
        <x:v>2021</x:v>
      </x:c>
      <x:c r="B17" s="66" t="n">
        <x:f>COUNTIF('연도태그'!$B$5:$B$105,A17)</x:f>
        <x:v>7</x:v>
      </x:c>
      <x:c r="C17" s="66" t="n">
        <x:v>50</x:v>
      </x:c>
      <x:c r="D17" s="66" t="n">
        <x:f>MAX(0,C17-B17)</x:f>
        <x:v>43</x:v>
      </x:c>
      <x:c r="E17" s="323" t="n">
        <x:f>B17/C17</x:f>
        <x:v>0.14</x:v>
      </x:c>
      <x:c r="F17" s="66" t="str">
        <x:f>IF(B17&gt;=50,"달성","미달")</x:f>
        <x:v>미달</x:v>
      </x:c>
      <x:c r="G17" s="66" t="str">
        <x:v>밈주·정치테마 집중기; 원장 기재 사례만 계수</x:v>
      </x:c>
    </x:row>
    <x:row r="18">
      <x:c r="A18" s="66" t="n">
        <x:v>2022</x:v>
      </x:c>
      <x:c r="B18" s="66" t="n">
        <x:f>COUNTIF('연도태그'!$B$5:$B$105,A18)</x:f>
        <x:v>1</x:v>
      </x:c>
      <x:c r="C18" s="66" t="n">
        <x:v>50</x:v>
      </x:c>
      <x:c r="D18" s="66" t="n">
        <x:f>MAX(0,C18-B18)</x:f>
        <x:v>49</x:v>
      </x:c>
      <x:c r="E18" s="323" t="n">
        <x:f>B18/C18</x:f>
        <x:v>0.02</x:v>
      </x:c>
      <x:c r="F18" s="66" t="str">
        <x:f>IF(B18&gt;=50,"달성","미달")</x:f>
        <x:v>미달</x:v>
      </x:c>
      <x:c r="G18" s="66" t="str">
        <x:v>원장 기재 사례만 계수</x:v>
      </x:c>
    </x:row>
    <x:row r="19">
      <x:c r="A19" s="66" t="n">
        <x:v>2023</x:v>
      </x:c>
      <x:c r="B19" s="66" t="n">
        <x:f>COUNTIF('연도태그'!$B$5:$B$105,A19)</x:f>
        <x:v>8</x:v>
      </x:c>
      <x:c r="C19" s="66" t="n">
        <x:v>50</x:v>
      </x:c>
      <x:c r="D19" s="66" t="n">
        <x:f>MAX(0,C19-B19)</x:f>
        <x:v>42</x:v>
      </x:c>
      <x:c r="E19" s="323" t="n">
        <x:f>B19/C19</x:f>
        <x:v>0.16</x:v>
      </x:c>
      <x:c r="F19" s="66" t="str">
        <x:f>IF(B19&gt;=50,"달성","미달")</x:f>
        <x:v>미달</x:v>
      </x:c>
      <x:c r="G19" s="66" t="str">
        <x:v>원장 기재 사례만 계수</x:v>
      </x:c>
    </x:row>
    <x:row r="20">
      <x:c r="A20" s="66" t="n">
        <x:v>2024</x:v>
      </x:c>
      <x:c r="B20" s="66" t="n">
        <x:f>COUNTIF('연도태그'!$B$5:$B$105,A20)</x:f>
        <x:v>10</x:v>
      </x:c>
      <x:c r="C20" s="66" t="n">
        <x:v>50</x:v>
      </x:c>
      <x:c r="D20" s="66" t="n">
        <x:f>MAX(0,C20-B20)</x:f>
        <x:v>40</x:v>
      </x:c>
      <x:c r="E20" s="323" t="n">
        <x:f>B20/C20</x:f>
        <x:v>0.2</x:v>
      </x:c>
      <x:c r="F20" s="66" t="str">
        <x:f>IF(B20&gt;=50,"달성","미달")</x:f>
        <x:v>미달</x:v>
      </x:c>
      <x:c r="G20" s="66" t="str">
        <x:v>총선·소비유행 사례; 원장 기재 사례만 계수</x:v>
      </x:c>
    </x:row>
    <x:row r="21">
      <x:c r="A21" s="66" t="n">
        <x:v>2025</x:v>
      </x:c>
      <x:c r="B21" s="66" t="n">
        <x:f>COUNTIF('연도태그'!$B$5:$B$105,A21)</x:f>
        <x:v>13</x:v>
      </x:c>
      <x:c r="C21" s="66" t="n">
        <x:v>50</x:v>
      </x:c>
      <x:c r="D21" s="66" t="n">
        <x:f>MAX(0,C21-B21)</x:f>
        <x:v>37</x:v>
      </x:c>
      <x:c r="E21" s="323" t="n">
        <x:f>B21/C21</x:f>
        <x:v>0.26</x:v>
      </x:c>
      <x:c r="F21" s="66" t="str">
        <x:f>IF(B21&gt;=50,"달성","미달")</x:f>
        <x:v>미달</x:v>
      </x:c>
      <x:c r="G21" s="66" t="str">
        <x:v>기존 출처의 정치테마주 60개 집계와 개별 검증행은 구분</x:v>
      </x:c>
    </x:row>
    <x:row r="22">
      <x:c r="A22" s="66" t="n">
        <x:v>2026</x:v>
      </x:c>
      <x:c r="B22" s="66" t="n">
        <x:f>COUNTIF('연도태그'!$B$5:$B$105,A22)</x:f>
        <x:v>3</x:v>
      </x:c>
      <x:c r="C22" s="66" t="n">
        <x:v>50</x:v>
      </x:c>
      <x:c r="D22" s="66" t="n">
        <x:f>MAX(0,C22-B22)</x:f>
        <x:v>47</x:v>
      </x:c>
      <x:c r="E22" s="323" t="n">
        <x:f>B22/C22</x:f>
        <x:v>0.06</x:v>
      </x:c>
      <x:c r="F22" s="66" t="str">
        <x:f>IF(B22&gt;=50,"달성","미달")</x:f>
        <x:v>미달</x:v>
      </x:c>
      <x:c r="G22" s="66" t="str">
        <x:v>2026-08-05 현재 연도 진행 중이므로 연간 비교 불가</x:v>
      </x:c>
    </x:row>
    <x:row r="23">
      <x:c r="A23" s="66"/>
      <x:c r="B23" s="66"/>
      <x:c r="C23" s="66"/>
      <x:c r="D23" s="66"/>
      <x:c r="E23" s="323"/>
      <x:c r="F23" s="66"/>
      <x:c r="G23" s="66"/>
    </x:row>
    <x:row r="24" ht="24" customHeight="1">
      <x:c r="A24" s="324" t="str">
        <x:v>합계</x:v>
      </x:c>
      <x:c r="B24" s="324" t="n">
        <x:f>SUM(B5:B22)</x:f>
        <x:v>94</x:v>
      </x:c>
      <x:c r="C24" s="324" t="n">
        <x:f>SUM(C5:C22)</x:f>
        <x:v>900</x:v>
      </x:c>
      <x:c r="D24" s="324" t="n">
        <x:f>SUM(D5:D22)</x:f>
        <x:v>806</x:v>
      </x:c>
      <x:c r="E24" s="325" t="n">
        <x:f>B24/C24</x:f>
        <x:v>0.10444444444444445</x:v>
      </x:c>
      <x:c r="F24" s="324" t="str">
        <x:f>IF(B24&gt;=C24,"달성","미달")</x:f>
        <x:v>미달</x:v>
      </x:c>
      <x:c r="G24" s="324" t="str">
        <x:v>목표 900행과 현재 검증행의 차이</x:v>
      </x:c>
    </x:row>
  </x:sheetData>
  <x:mergeCells>
    <x:mergeCell ref="A1:G1"/>
    <x:mergeCell ref="A2:G2"/>
  </x:mergeCells>
  <x:conditionalFormatting sqref="D5:D22">
    <x:cfRule type="dataBar" priority="1">
      <x:dataBar>
        <x:cfvo type="min"/>
        <x:cfvo type="max"/>
        <x:color rgb="FFEC4899"/>
      </x:dataBar>
      <x:extLst>
        <x:ext xmlns:x14="http://schemas.microsoft.com/office/spreadsheetml/2009/9/main" uri="{B025F937-C7B1-47D3-B67F-A62EFF666E3E}">
          <x14:id>{007ECF4C-8CE1-5984-D75C-4C7D7E95A3ED}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750187c6b4c4f3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07ECF4C-8CE1-5984-D75C-4C7D7E95A3ED}">
            <x14:dataBar gradient="1">
              <x14:cfvo type="min"/>
              <x14:cfvo type="max"/>
              <x14:fillColor rgb="FFEC4899"/>
            </x14:dataBar>
          </x14:cfRule>
          <xm:sqref>D5:D22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45" hidden="0" customWidth="1"/>
    <x:col min="4" max="4" width="43" hidden="0" customWidth="1"/>
    <x:col min="5" max="5" width="16" hidden="0" customWidth="1"/>
    <x:col min="6" max="6" width="38" hidden="0" customWidth="1"/>
  </x:cols>
  <x:sheetData>
    <x:row r="1" ht="32" customHeight="1">
      <x:c r="A1" s="319" t="str">
        <x:v>왜 ‘매년 50건’ 팩트 데이터는 바로 만들 수 없는가</x:v>
      </x:c>
      <x:c r="B1" s="319"/>
      <x:c r="C1" s="319"/>
      <x:c r="D1" s="319"/>
      <x:c r="E1" s="319"/>
      <x:c r="F1" s="319"/>
    </x:row>
    <x:row r="3">
      <x:c r="A3" s="66" t="str">
        <x:v>구분</x:v>
      </x:c>
      <x:c r="B3" s="66" t="str">
        <x:v>확인된 사실</x:v>
      </x:c>
      <x:c r="C3" s="66" t="str">
        <x:v>연 50건에 미치는 영향</x:v>
      </x:c>
      <x:c r="D3" s="66" t="str">
        <x:v>처리 원칙</x:v>
      </x:c>
      <x:c r="E3" s="66" t="str">
        <x:v>근거 출처</x:v>
      </x:c>
      <x:c r="F3" s="66" t="str">
        <x:v>후속 작업</x:v>
      </x:c>
    </x:row>
    <x:row r="4">
      <x:c r="A4" s="66" t="str">
        <x:v>정의·인과</x:v>
      </x:c>
      <x:c r="B4" s="66" t="str">
        <x:v>공식 시장 분류에 ‘밈으로 오른 주식’이라는 일관된 연도별 통계가 없음</x:v>
      </x:c>
      <x:c r="C4" s="66" t="str">
        <x:v>기사의 단순 종목 언급을 사례로 세면 과대계상</x:v>
      </x:c>
      <x:c r="D4" s="66" t="str">
        <x:v>촉발 사건·연결고리·가격 반응이 모두 있어야 확정</x:v>
      </x:c>
      <x:c r="E4" s="66" t="str">
        <x:v>S83</x:v>
      </x:c>
      <x:c r="F4" s="66" t="str">
        <x:v>확정/후보/제외 3단계 유지</x:v>
      </x:c>
    </x:row>
    <x:row r="5">
      <x:c r="A5" s="66" t="str">
        <x:v>연도 편중</x:v>
      </x:c>
      <x:c r="B5" s="66" t="str">
        <x:v>2012년 정치테마 147개, 2017년 150개 감시처럼 대선연도에 종목이 집중</x:v>
      </x:c>
      <x:c r="C5" s="66" t="str">
        <x:v>선거가 없는 연도에 같은 수량을 기대하기 어려움</x:v>
      </x:c>
      <x:c r="D5" s="66" t="str">
        <x:v>집계 종목 수와 개별 검증행을 분리</x:v>
      </x:c>
      <x:c r="E5" s="66" t="str">
        <x:v>S85;S86</x:v>
      </x:c>
      <x:c r="F5" s="66" t="str">
        <x:v>대량 명단 확보 후 종목별 기사·시세 교차검증</x:v>
      </x:c>
    </x:row>
    <x:row r="6">
      <x:c r="A6" s="66" t="str">
        <x:v>검색 데이터</x:v>
      </x:c>
      <x:c r="B6" s="66" t="str">
        <x:v>네이버 데이터랩은 2016년에 시작</x:v>
      </x:c>
      <x:c r="C6" s="66" t="str">
        <x:v>2009~2015의 동일 지표 소급 비교가 제한</x:v>
      </x:c>
      <x:c r="D6" s="66" t="str">
        <x:v>당시 기사·Google Trends·포털 아카이브를 혼합하되 지표 차이 표기</x:v>
      </x:c>
      <x:c r="E6" s="66" t="str">
        <x:v>S88</x:v>
      </x:c>
      <x:c r="F6" s="66" t="str">
        <x:v>연도별 사용 가능한 지표 사전 작성</x:v>
      </x:c>
    </x:row>
    <x:row r="7">
      <x:c r="A7" s="66" t="str">
        <x:v>Google Trends</x:v>
      </x:c>
      <x:c r="B7" s="66" t="str">
        <x:v>표본 자료이며 시간·지역별 정규화 후 0~100 상대지수</x:v>
      </x:c>
      <x:c r="C7" s="66" t="str">
        <x:v>검색량 절대치나 종목 간 규모로 오해 가능</x:v>
      </x:c>
      <x:c r="D7" s="66" t="str">
        <x:v>관심 확산 보조근거로만 사용</x:v>
      </x:c>
      <x:c r="E7" s="66" t="str">
        <x:v>S89</x:v>
      </x:c>
      <x:c r="F7" s="66" t="str">
        <x:v>원자료 캡처·조회일 저장</x:v>
      </x:c>
    </x:row>
    <x:row r="8">
      <x:c r="A8" s="66" t="str">
        <x:v>X 데이터</x:v>
      </x:c>
      <x:c r="B8" s="66" t="str">
        <x:v>최근 검색은 7일, 전체 아카이브는 2006년부터 유료/Enterprise</x:v>
      </x:c>
      <x:c r="C8" s="66" t="str">
        <x:v>오래된 게시물 전수수집을 무료로 재현하기 어려움</x:v>
      </x:c>
      <x:c r="D8" s="66" t="str">
        <x:v>기사에 인용된 게시물·공식 아카이브 우선</x:v>
      </x:c>
      <x:c r="E8" s="66" t="str">
        <x:v>S90</x:v>
      </x:c>
      <x:c r="F8" s="66" t="str">
        <x:v>예산 확보 시 API 백필</x:v>
      </x:c>
    </x:row>
    <x:row r="9">
      <x:c r="A9" s="66" t="str">
        <x:v>Instagram 데이터</x:v>
      </x:c>
      <x:c r="B9" s="66" t="str">
        <x:v>공식 API가 일반 소비자 계정 접근을 지원하지 않음</x:v>
      </x:c>
      <x:c r="C9" s="66" t="str">
        <x:v>과거 소비 유행 게시물의 전수·재현 수집이 어려움</x:v>
      </x:c>
      <x:c r="D9" s="66" t="str">
        <x:v>공개 기사·브랜드·검색 추이를 대체 근거로 사용</x:v>
      </x:c>
      <x:c r="E9" s="66" t="str">
        <x:v>S91</x:v>
      </x:c>
      <x:c r="F9" s="66" t="str">
        <x:v>허용 범위 내 공개 데이터만 수집</x:v>
      </x:c>
    </x:row>
    <x:row r="10">
      <x:c r="A10" s="66" t="str">
        <x:v>행과 사건 수</x:v>
      </x:c>
      <x:c r="B10" s="66" t="str">
        <x:v>하나의 정치 이슈가 50개 종목을 움직이면 기업-사건 50행이지만 독립 밈은 1건</x:v>
      </x:c>
      <x:c r="C10" s="66" t="str">
        <x:v>행 수만으로 유행 다양성을 과장할 수 있음</x:v>
      </x:c>
      <x:c r="D10" s="66" t="str">
        <x:v>기업-사건 행과 독립 트렌드 사건 수를 별도 집계</x:v>
      </x:c>
      <x:c r="E10" s="66" t="str">
        <x:v>S83;S84</x:v>
      </x:c>
      <x:c r="F10" s="66" t="str">
        <x:v>후속판에 Event ID 추가</x:v>
      </x:c>
    </x:row>
    <x:row r="11">
      <x:c r="A11" s="66" t="str">
        <x:v>2026 미완료</x:v>
      </x:c>
      <x:c r="B11" s="66" t="str">
        <x:v>기준일은 2026-08-05로 연도가 끝나지 않음</x:v>
      </x:c>
      <x:c r="C11" s="66" t="str">
        <x:v>2026년 50건 달성 여부를 연간 기준으로 평가할 수 없음</x:v>
      </x:c>
      <x:c r="D11" s="66" t="str">
        <x:v>YTD로 표기하고 연말 재점검</x:v>
      </x:c>
      <x:c r="E11" s="66" t="str">
        <x:v>-</x:v>
      </x:c>
      <x:c r="F11" s="66" t="str">
        <x:v>2026년 12월 갱신</x:v>
      </x:c>
    </x:row>
    <x:row r="13" ht="26" customHeight="1">
      <x:c r="A13" s="327" t="str">
        <x:v>권장 검증 기준</x:v>
      </x:c>
      <x:c r="B13" s="327"/>
      <x:c r="C13" s="327"/>
      <x:c r="D13" s="327"/>
      <x:c r="E13" s="327"/>
      <x:c r="F13" s="327"/>
    </x:row>
    <x:row r="14" ht="26" customHeight="1">
      <x:c r="A14" s="330" t="str">
        <x:v>1. 촉발 — SNS·커뮤니티·정책·인물·콘텐츠 유행의 날짜와 내용을 확인</x:v>
      </x:c>
      <x:c r="B14" s="330" t="str">
        <x:v>SNS·커뮤니티·정책·인물·콘텐츠 유행의 날짜와 내용을 확인</x:v>
      </x:c>
      <x:c r="C14" s="330"/>
      <x:c r="D14" s="330"/>
      <x:c r="E14" s="330"/>
      <x:c r="F14" s="330"/>
    </x:row>
    <x:row r="15" ht="26" customHeight="1">
      <x:c r="A15" s="330" t="str">
        <x:v>2. 연결 — 왜 해당 상장사와 연결됐는지 기사·공시·사업자료로 확인</x:v>
      </x:c>
      <x:c r="B15" s="330" t="str">
        <x:v>왜 해당 상장사와 연결됐는지 기사·공시·사업자료로 확인</x:v>
      </x:c>
      <x:c r="C15" s="330"/>
      <x:c r="D15" s="330"/>
      <x:c r="E15" s="330"/>
      <x:c r="F15" s="330"/>
    </x:row>
    <x:row r="16" ht="26" customHeight="1">
      <x:c r="A16" s="330" t="str">
        <x:v>3. 반응 — 당일 또는 명시 구간의 등락률·거래량을 확인</x:v>
      </x:c>
      <x:c r="B16" s="330" t="str">
        <x:v>당일 또는 명시 구간의 등락률·거래량을 확인</x:v>
      </x:c>
      <x:c r="C16" s="330"/>
      <x:c r="D16" s="330"/>
      <x:c r="E16" s="330"/>
      <x:c r="F16" s="330"/>
    </x:row>
    <x:row r="17" ht="26" customHeight="1">
      <x:c r="A17" s="330" t="str">
        <x:v>4. 교란 — 실적·계약·기술 발표가 동시에 있었는지 확인</x:v>
      </x:c>
      <x:c r="B17" s="330" t="str">
        <x:v>실적·계약·기술 발표가 동시에 있었는지 확인</x:v>
      </x:c>
      <x:c r="C17" s="330"/>
      <x:c r="D17" s="330"/>
      <x:c r="E17" s="330"/>
      <x:c r="F17" s="330"/>
    </x:row>
    <x:row r="18" ht="26" customHeight="1">
      <x:c r="A18" s="330" t="str">
        <x:v>5. 판정 — 확정 / 혼합 / 후보 / 제외로 나누고 수치가 없으면 비워둠</x:v>
      </x:c>
      <x:c r="B18" s="330" t="str">
        <x:v>확정 / 혼합 / 후보 / 제외로 나누고 수치가 없으면 비워둠</x:v>
      </x:c>
      <x:c r="C18" s="330"/>
      <x:c r="D18" s="330"/>
      <x:c r="E18" s="330"/>
      <x:c r="F18" s="330"/>
    </x:row>
  </x:sheetData>
  <x:mergeCells>
    <x:mergeCell ref="A1:F1"/>
    <x:mergeCell ref="A13:F13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  <x:tableParts count="1">
    <x:tablePart xmlns:r="http://schemas.openxmlformats.org/officeDocument/2006/relationships" r:id="Rbc54f8ac1f454ce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0" hidden="0" customWidth="1"/>
    <x:col min="4" max="4" width="20" hidden="0" customWidth="1"/>
    <x:col min="5" max="5" width="20" hidden="0" customWidth="1"/>
    <x:col min="6" max="6" width="28" hidden="0" customWidth="1"/>
    <x:col min="7" max="7" width="25" hidden="0" customWidth="1"/>
    <x:col min="8" max="8" width="12" hidden="0" customWidth="1"/>
    <x:col min="9" max="9" width="11" hidden="0" customWidth="1"/>
    <x:col min="10" max="10" width="13" hidden="0" customWidth="1"/>
    <x:col min="11" max="11" width="38" hidden="0" customWidth="1"/>
    <x:col min="12" max="12" width="13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2" hidden="0" customWidth="1"/>
    <x:col min="18" max="18" width="14" hidden="0" customWidth="1"/>
    <x:col min="19" max="19" width="13" hidden="0" customWidth="1"/>
    <x:col min="20" max="20" width="55" hidden="0" customWidth="1"/>
    <x:col min="21" max="21" width="43" hidden="0" customWidth="1"/>
  </x:cols>
  <x:sheetData>
    <x:row r="1" ht="32" customHeight="1">
      <x:c r="A1" s="332" t="str">
        <x:v>트렌드·유행·밈 경계 탐색 코퍼스 — 159개 기업-사건</x:v>
      </x:c>
      <x:c r="B1" s="332"/>
      <x:c r="C1" s="332"/>
      <x:c r="D1" s="332"/>
      <x:c r="E1" s="332"/>
      <x:c r="F1" s="332"/>
      <x:c r="G1" s="332"/>
      <x:c r="H1" s="332"/>
      <x:c r="I1" s="332"/>
      <x:c r="J1" s="332"/>
      <x:c r="K1" s="332"/>
      <x:c r="L1" s="332"/>
      <x:c r="M1" s="332"/>
      <x:c r="N1" s="332"/>
      <x:c r="O1" s="332"/>
      <x:c r="P1" s="332"/>
      <x:c r="Q1" s="332"/>
      <x:c r="R1" s="332"/>
      <x:c r="S1" s="332"/>
      <x:c r="T1" s="332"/>
      <x:c r="U1" s="332"/>
    </x:row>
    <x:row r="2" ht="34" customHeight="1">
      <x:c r="A2" s="335" t="str">
        <x:v>확정 기준을 정하기 전 최대한 넓게 모은 비교 표입니다. ‘가격 미확인’도 삭제하지 말고 경계 설정용 음성·보류 사례로 사용하세요.</x:v>
      </x:c>
      <x:c r="B2" s="335"/>
      <x:c r="C2" s="335"/>
      <x:c r="D2" s="335"/>
      <x:c r="E2" s="335"/>
      <x:c r="F2" s="335"/>
      <x:c r="G2" s="335"/>
      <x:c r="H2" s="335"/>
      <x:c r="I2" s="335"/>
      <x:c r="J2" s="335"/>
      <x:c r="K2" s="335"/>
      <x:c r="L2" s="335"/>
      <x:c r="M2" s="335"/>
      <x:c r="N2" s="335"/>
      <x:c r="O2" s="335"/>
      <x:c r="P2" s="335"/>
      <x:c r="Q2" s="335"/>
      <x:c r="R2" s="335"/>
      <x:c r="S2" s="335"/>
      <x:c r="T2" s="335"/>
      <x:c r="U2" s="335"/>
    </x:row>
    <x:row r="4">
      <x:c r="A4" s="66" t="str">
        <x:v>사례ID</x:v>
      </x:c>
      <x:c r="B4" s="66" t="str">
        <x:v>데이터층</x:v>
      </x:c>
      <x:c r="C4" s="66" t="str">
        <x:v>대표연도</x:v>
      </x:c>
      <x:c r="D4" s="66" t="str">
        <x:v>주요 연령·상황</x:v>
      </x:c>
      <x:c r="E4" s="66" t="str">
        <x:v>생활영역</x:v>
      </x:c>
      <x:c r="F4" s="66" t="str">
        <x:v>트렌드·사건</x:v>
      </x:c>
      <x:c r="G4" s="66" t="str">
        <x:v>기업</x:v>
      </x:c>
      <x:c r="H4" s="66" t="str">
        <x:v>티커</x:v>
      </x:c>
      <x:c r="I4" s="66" t="str">
        <x:v>시장</x:v>
      </x:c>
      <x:c r="J4" s="66" t="str">
        <x:v>방향</x:v>
      </x:c>
      <x:c r="K4" s="66" t="str">
        <x:v>가격·반응</x:v>
      </x:c>
      <x:c r="L4" s="66" t="str">
        <x:v>반응수치(%)</x:v>
      </x:c>
      <x:c r="M4" s="66" t="str">
        <x:v>유행근거 T</x:v>
      </x:c>
      <x:c r="N4" s="66" t="str">
        <x:v>기업연결 L</x:v>
      </x:c>
      <x:c r="O4" s="66" t="str">
        <x:v>가격근거 P</x:v>
      </x:c>
      <x:c r="P4" s="66" t="str">
        <x:v>동시재료 C</x:v>
      </x:c>
      <x:c r="Q4" s="66" t="str">
        <x:v>근거합계</x:v>
      </x:c>
      <x:c r="R4" s="66" t="str">
        <x:v>탐색등급</x:v>
      </x:c>
      <x:c r="S4" s="66" t="str">
        <x:v>출처ID</x:v>
      </x:c>
      <x:c r="T4" s="66" t="str">
        <x:v>출처URL</x:v>
      </x:c>
      <x:c r="U4" s="66" t="str">
        <x:v>경계 메모</x:v>
      </x:c>
    </x:row>
    <x:row r="5">
      <x:c r="A5" s="66" t="str">
        <x:v>KR-M001</x:v>
      </x:c>
      <x:c r="B5" s="66" t="str">
        <x:v>기존 검증원장</x:v>
      </x:c>
      <x:c r="C5" s="66" t="str">
        <x:v>2021</x:v>
      </x:c>
      <x:c r="D5" s="66" t="str">
        <x:v>성인·투자자</x:v>
      </x:c>
      <x:c r="E5" s="66" t="str">
        <x:v>정치·정책·사회</x:v>
      </x:c>
      <x:c r="F5" s="66" t="str">
        <x:v>윤석열</x:v>
      </x:c>
      <x:c r="G5" s="66" t="str">
        <x:v>NE능률</x:v>
      </x:c>
      <x:c r="H5" s="67" t="str">
        <x:v>053290</x:v>
      </x:c>
      <x:c r="I5" s="66" t="str">
        <x:v>KOSDAQ</x:v>
      </x:c>
      <x:c r="J5" s="66" t="str">
        <x:v>상승</x:v>
      </x:c>
      <x:c r="K5" s="66" t="str">
        <x:v>회사가 무관 공시했지만 약 150% 급등</x:v>
      </x:c>
      <x:c r="L5" s="312" t="n">
        <x:v>150</x:v>
      </x:c>
      <x:c r="M5" s="336" t="n">
        <x:v>2</x:v>
      </x:c>
      <x:c r="N5" s="336" t="n">
        <x:v>0</x:v>
      </x:c>
      <x:c r="O5" s="336" t="n">
        <x:v>2</x:v>
      </x:c>
      <x:c r="P5" s="336" t="n">
        <x:v>0</x:v>
      </x:c>
      <x:c r="Q5" s="336" t="n">
        <x:f>M5+N5+O5</x:f>
        <x:v>4</x:v>
      </x:c>
      <x:c r="R5" s="66" t="str">
        <x:f>IF(O5=0,"가격미확인",IF(Q5&gt;=5,"강한사례",IF(Q5&gt;=3,"경계사례","약한연결")))</x:f>
        <x:v>경계사례</x:v>
      </x:c>
      <x:c r="S5" s="66" t="str">
        <x:v>S04;S05</x:v>
      </x:c>
      <x:c r="T5" s="66" t="str">
        <x:v>https://www.donga.com/news/Economy/article/all/20210629/107705633/1</x:v>
      </x:c>
      <x:c r="U5" s="66" t="str">
        <x:v>강한 밈 | 완료 | 종친만으로 연결</x:v>
      </x:c>
    </x:row>
    <x:row r="6">
      <x:c r="A6" s="66" t="str">
        <x:v>KR-M002</x:v>
      </x:c>
      <x:c r="B6" s="66" t="str">
        <x:v>기존 검증원장</x:v>
      </x:c>
      <x:c r="C6" s="66" t="str">
        <x:v>2021</x:v>
      </x:c>
      <x:c r="D6" s="66" t="str">
        <x:v>성인·투자자</x:v>
      </x:c>
      <x:c r="E6" s="66" t="str">
        <x:v>정치·정책·사회</x:v>
      </x:c>
      <x:c r="F6" s="66" t="str">
        <x:v>윤석열</x:v>
      </x:c>
      <x:c r="G6" s="66" t="str">
        <x:v>덕성</x:v>
      </x:c>
      <x:c r="H6" s="67" t="str">
        <x:v>004830</x:v>
      </x:c>
      <x:c r="I6" s="66" t="str">
        <x:v>KOSPI</x:v>
      </x:c>
      <x:c r="J6" s="66" t="str">
        <x:v>상승</x:v>
      </x:c>
      <x:c r="K6" s="66" t="str">
        <x:v>당일 상한가</x:v>
      </x:c>
      <x:c r="L6" s="312" t="n">
        <x:v>29.9</x:v>
      </x:c>
      <x:c r="M6" s="336" t="n">
        <x:v>2</x:v>
      </x:c>
      <x:c r="N6" s="336" t="n">
        <x:v>0</x:v>
      </x:c>
      <x:c r="O6" s="336" t="n">
        <x:v>2</x:v>
      </x:c>
      <x:c r="P6" s="336" t="n">
        <x:v>0</x:v>
      </x:c>
      <x:c r="Q6" s="336" t="n">
        <x:f>M6+N6+O6</x:f>
        <x:v>4</x:v>
      </x:c>
      <x:c r="R6" s="66" t="str">
        <x:f>IF(O6=0,"가격미확인",IF(Q6&gt;=5,"강한사례",IF(Q6&gt;=3,"경계사례","약한연결")))</x:f>
        <x:v>경계사례</x:v>
      </x:c>
      <x:c r="S6" s="66" t="str">
        <x:v>S06</x:v>
      </x:c>
      <x:c r="T6" s="66" t="str">
        <x:v>https://www.newsis.com/view/NISX20211105_0001641242</x:v>
      </x:c>
      <x:c r="U6" s="66" t="str">
        <x:v>강한 밈 | 완료 | 동문 테마</x:v>
      </x:c>
    </x:row>
    <x:row r="7">
      <x:c r="A7" s="66" t="str">
        <x:v>KR-M003</x:v>
      </x:c>
      <x:c r="B7" s="66" t="str">
        <x:v>기존 검증원장</x:v>
      </x:c>
      <x:c r="C7" s="66" t="str">
        <x:v>2021</x:v>
      </x:c>
      <x:c r="D7" s="66" t="str">
        <x:v>성인·투자자</x:v>
      </x:c>
      <x:c r="E7" s="66" t="str">
        <x:v>정치·정책·사회</x:v>
      </x:c>
      <x:c r="F7" s="66" t="str">
        <x:v>윤석열</x:v>
      </x:c>
      <x:c r="G7" s="66" t="str">
        <x:v>서연</x:v>
      </x:c>
      <x:c r="H7" s="67" t="str">
        <x:v>007860</x:v>
      </x:c>
      <x:c r="I7" s="66" t="str">
        <x:v>KOSPI</x:v>
      </x:c>
      <x:c r="J7" s="66" t="str">
        <x:v>상승</x:v>
      </x:c>
      <x:c r="K7" s="66" t="str">
        <x:v>당일 상한가</x:v>
      </x:c>
      <x:c r="L7" s="312" t="n">
        <x:v>29.9</x:v>
      </x:c>
      <x:c r="M7" s="336" t="n">
        <x:v>2</x:v>
      </x:c>
      <x:c r="N7" s="336" t="n">
        <x:v>0</x:v>
      </x:c>
      <x:c r="O7" s="336" t="n">
        <x:v>2</x:v>
      </x:c>
      <x:c r="P7" s="336" t="n">
        <x:v>0</x:v>
      </x:c>
      <x:c r="Q7" s="336" t="n">
        <x:f>M7+N7+O7</x:f>
        <x:v>4</x:v>
      </x:c>
      <x:c r="R7" s="66" t="str">
        <x:f>IF(O7=0,"가격미확인",IF(Q7&gt;=5,"강한사례",IF(Q7&gt;=3,"경계사례","약한연결")))</x:f>
        <x:v>경계사례</x:v>
      </x:c>
      <x:c r="S7" s="66" t="str">
        <x:v>S06</x:v>
      </x:c>
      <x:c r="T7" s="66" t="str">
        <x:v>https://www.newsis.com/view/NISX20211105_0001641242</x:v>
      </x:c>
      <x:c r="U7" s="66" t="str">
        <x:v>강한 밈 | 완료 | 인맥 테마</x:v>
      </x:c>
    </x:row>
    <x:row r="8">
      <x:c r="A8" s="66" t="str">
        <x:v>KR-M004</x:v>
      </x:c>
      <x:c r="B8" s="66" t="str">
        <x:v>기존 검증원장</x:v>
      </x:c>
      <x:c r="C8" s="66" t="str">
        <x:v>2021</x:v>
      </x:c>
      <x:c r="D8" s="66" t="str">
        <x:v>성인·투자자</x:v>
      </x:c>
      <x:c r="E8" s="66" t="str">
        <x:v>정치·정책·사회</x:v>
      </x:c>
      <x:c r="F8" s="66" t="str">
        <x:v>윤석열</x:v>
      </x:c>
      <x:c r="G8" s="66" t="str">
        <x:v>서연탑메탈</x:v>
      </x:c>
      <x:c r="H8" s="67" t="str">
        <x:v>019770</x:v>
      </x:c>
      <x:c r="I8" s="66" t="str">
        <x:v>KOSDAQ</x:v>
      </x:c>
      <x:c r="J8" s="66" t="str">
        <x:v>상승</x:v>
      </x:c>
      <x:c r="K8" s="66" t="str">
        <x:v>당일 10.14% 상승</x:v>
      </x:c>
      <x:c r="L8" s="312" t="n">
        <x:v>10.14</x:v>
      </x:c>
      <x:c r="M8" s="336" t="n">
        <x:v>2</x:v>
      </x:c>
      <x:c r="N8" s="336" t="n">
        <x:v>0</x:v>
      </x:c>
      <x:c r="O8" s="336" t="n">
        <x:v>2</x:v>
      </x:c>
      <x:c r="P8" s="336" t="n">
        <x:v>0</x:v>
      </x:c>
      <x:c r="Q8" s="336" t="n">
        <x:f>M8+N8+O8</x:f>
        <x:v>4</x:v>
      </x:c>
      <x:c r="R8" s="66" t="str">
        <x:f>IF(O8=0,"가격미확인",IF(Q8&gt;=5,"강한사례",IF(Q8&gt;=3,"경계사례","약한연결")))</x:f>
        <x:v>경계사례</x:v>
      </x:c>
      <x:c r="S8" s="66" t="str">
        <x:v>S06</x:v>
      </x:c>
      <x:c r="T8" s="66" t="str">
        <x:v>https://www.newsis.com/view/NISX20211105_0001641242</x:v>
      </x:c>
      <x:c r="U8" s="66" t="str">
        <x:v>강한 밈 | 완료 | 파생 테마</x:v>
      </x:c>
    </x:row>
    <x:row r="9">
      <x:c r="A9" s="66" t="str">
        <x:v>KR-M005</x:v>
      </x:c>
      <x:c r="B9" s="66" t="str">
        <x:v>기존 검증원장</x:v>
      </x:c>
      <x:c r="C9" s="66" t="str">
        <x:v>2025</x:v>
      </x:c>
      <x:c r="D9" s="66" t="str">
        <x:v>성인·투자자</x:v>
      </x:c>
      <x:c r="E9" s="66" t="str">
        <x:v>정치·정책·사회</x:v>
      </x:c>
      <x:c r="F9" s="66" t="str">
        <x:v>이재명</x:v>
      </x:c>
      <x:c r="G9" s="66" t="str">
        <x:v>동신건설</x:v>
      </x:c>
      <x:c r="H9" s="67" t="str">
        <x:v>025950</x:v>
      </x:c>
      <x:c r="I9" s="66" t="str">
        <x:v>KOSDAQ</x:v>
      </x:c>
      <x:c r="J9" s="66" t="str">
        <x:v>상승</x:v>
      </x:c>
      <x:c r="K9" s="66" t="str">
        <x:v>당일 7.89% 상승</x:v>
      </x:c>
      <x:c r="L9" s="312" t="n">
        <x:v>7.89</x:v>
      </x:c>
      <x:c r="M9" s="336" t="n">
        <x:v>2</x:v>
      </x:c>
      <x:c r="N9" s="336" t="n">
        <x:v>0</x:v>
      </x:c>
      <x:c r="O9" s="336" t="n">
        <x:v>2</x:v>
      </x:c>
      <x:c r="P9" s="336" t="n">
        <x:v>0</x:v>
      </x:c>
      <x:c r="Q9" s="336" t="n">
        <x:f>M9+N9+O9</x:f>
        <x:v>4</x:v>
      </x:c>
      <x:c r="R9" s="66" t="str">
        <x:f>IF(O9=0,"가격미확인",IF(Q9&gt;=5,"강한사례",IF(Q9&gt;=3,"경계사례","약한연결")))</x:f>
        <x:v>경계사례</x:v>
      </x:c>
      <x:c r="S9" s="66" t="str">
        <x:v>S07</x:v>
      </x:c>
      <x:c r="T9" s="66" t="str">
        <x:v>https://www.dnews.co.kr/uhtml/view.jsp?idxno=202503271619299530061</x:v>
      </x:c>
      <x:c r="U9" s="66" t="str">
        <x:v>강한 밈 | 완료 | 고향 연결</x:v>
      </x:c>
    </x:row>
    <x:row r="10">
      <x:c r="A10" s="66" t="str">
        <x:v>KR-M006</x:v>
      </x:c>
      <x:c r="B10" s="66" t="str">
        <x:v>기존 검증원장</x:v>
      </x:c>
      <x:c r="C10" s="66" t="str">
        <x:v>2024</x:v>
      </x:c>
      <x:c r="D10" s="66" t="str">
        <x:v>성인·투자자</x:v>
      </x:c>
      <x:c r="E10" s="66" t="str">
        <x:v>정치·정책·사회</x:v>
      </x:c>
      <x:c r="F10" s="66" t="str">
        <x:v>이재명</x:v>
      </x:c>
      <x:c r="G10" s="66" t="str">
        <x:v>오리엔트정공</x:v>
      </x:c>
      <x:c r="H10" s="67" t="str">
        <x:v>065500</x:v>
      </x:c>
      <x:c r="I10" s="66" t="str">
        <x:v>KOSDAQ</x:v>
      </x:c>
      <x:c r="J10" s="66" t="str">
        <x:v>상승</x:v>
      </x:c>
      <x:c r="K10" s="66" t="str">
        <x:v>1,294원에서 6,430원으로 약 5배</x:v>
      </x:c>
      <x:c r="L10" s="312" t="n">
        <x:v>396.91</x:v>
      </x:c>
      <x:c r="M10" s="336" t="n">
        <x:v>2</x:v>
      </x:c>
      <x:c r="N10" s="336" t="n">
        <x:v>1</x:v>
      </x:c>
      <x:c r="O10" s="336" t="n">
        <x:v>2</x:v>
      </x:c>
      <x:c r="P10" s="336" t="n">
        <x:v>0</x:v>
      </x:c>
      <x:c r="Q10" s="336" t="n">
        <x:f>M10+N10+O10</x:f>
        <x:v>5</x:v>
      </x:c>
      <x:c r="R10" s="66" t="str">
        <x:f>IF(O10=0,"가격미확인",IF(Q10&gt;=5,"강한사례",IF(Q10&gt;=3,"경계사례","약한연결")))</x:f>
        <x:v>강한사례</x:v>
      </x:c>
      <x:c r="S10" s="66" t="str">
        <x:v>S08</x:v>
      </x:c>
      <x:c r="T10" s="66" t="str">
        <x:v>https://www.hankyung.com/article/202411265384i</x:v>
      </x:c>
      <x:c r="U10" s="66" t="str">
        <x:v>강한 밈 | 완료 | 개인 이력 연결</x:v>
      </x:c>
    </x:row>
    <x:row r="11">
      <x:c r="A11" s="66" t="str">
        <x:v>KR-M007</x:v>
      </x:c>
      <x:c r="B11" s="66" t="str">
        <x:v>기존 검증원장</x:v>
      </x:c>
      <x:c r="C11" s="66" t="str">
        <x:v>2024</x:v>
      </x:c>
      <x:c r="D11" s="66" t="str">
        <x:v>성인·투자자</x:v>
      </x:c>
      <x:c r="E11" s="66" t="str">
        <x:v>인물·관계·기타</x:v>
      </x:c>
      <x:c r="F11" s="66" t="str">
        <x:v>이재명</x:v>
      </x:c>
      <x:c r="G11" s="66" t="str">
        <x:v>오리엔탈정공</x:v>
      </x:c>
      <x:c r="H11" s="67" t="str">
        <x:v>014940</x:v>
      </x:c>
      <x:c r="I11" s="66" t="str">
        <x:v>KOSDAQ</x:v>
      </x:c>
      <x:c r="J11" s="66" t="str">
        <x:v>상승</x:v>
      </x:c>
      <x:c r="K11" s="66" t="str">
        <x:v>같은 기간 64.39% 상승</x:v>
      </x:c>
      <x:c r="L11" s="312" t="n">
        <x:v>64.39</x:v>
      </x:c>
      <x:c r="M11" s="336" t="n">
        <x:v>2</x:v>
      </x:c>
      <x:c r="N11" s="336" t="n">
        <x:v>0</x:v>
      </x:c>
      <x:c r="O11" s="336" t="n">
        <x:v>2</x:v>
      </x:c>
      <x:c r="P11" s="336" t="n">
        <x:v>1</x:v>
      </x:c>
      <x:c r="Q11" s="336" t="n">
        <x:f>M11+N11+O11</x:f>
        <x:v>4</x:v>
      </x:c>
      <x:c r="R11" s="66" t="str">
        <x:f>IF(O11=0,"가격미확인",IF(Q11&gt;=5,"강한사례",IF(Q11&gt;=3,"경계사례","약한연결")))</x:f>
        <x:v>경계사례</x:v>
      </x:c>
      <x:c r="S11" s="66" t="str">
        <x:v>S08</x:v>
      </x:c>
      <x:c r="T11" s="66" t="str">
        <x:v>https://www.hankyung.com/article/202411265384i</x:v>
      </x:c>
      <x:c r="U11" s="66" t="str">
        <x:v>강한 밈 | 완료 | 대표적 착오 매수</x:v>
      </x:c>
    </x:row>
    <x:row r="12">
      <x:c r="A12" s="66" t="str">
        <x:v>KR-M008</x:v>
      </x:c>
      <x:c r="B12" s="66" t="str">
        <x:v>기존 검증원장</x:v>
      </x:c>
      <x:c r="C12" s="66" t="str">
        <x:v>2025</x:v>
      </x:c>
      <x:c r="D12" s="66" t="str">
        <x:v>성인·투자자</x:v>
      </x:c>
      <x:c r="E12" s="66" t="str">
        <x:v>정치·정책·사회</x:v>
      </x:c>
      <x:c r="F12" s="66" t="str">
        <x:v>이재명</x:v>
      </x:c>
      <x:c r="G12" s="66" t="str">
        <x:v>에이텍</x:v>
      </x:c>
      <x:c r="H12" s="67" t="str">
        <x:v>045660</x:v>
      </x:c>
      <x:c r="I12" s="66" t="str">
        <x:v>KOSDAQ</x:v>
      </x:c>
      <x:c r="J12" s="66" t="str">
        <x:v>미확인</x:v>
      </x:c>
      <x:c r="K12" s="66" t="str">
        <x:v>4월 2일 44,500원 고점 후 5월 14일 24,550원(-44.8%)</x:v>
      </x:c>
      <x:c r="L12" s="312"/>
      <x:c r="M12" s="336" t="n">
        <x:v>2</x:v>
      </x:c>
      <x:c r="N12" s="336" t="n">
        <x:v>0</x:v>
      </x:c>
      <x:c r="O12" s="336" t="n">
        <x:v>1</x:v>
      </x:c>
      <x:c r="P12" s="336" t="n">
        <x:v>0</x:v>
      </x:c>
      <x:c r="Q12" s="336" t="n">
        <x:f>M12+N12+O12</x:f>
        <x:v>3</x:v>
      </x:c>
      <x:c r="R12" s="66" t="str">
        <x:f>IF(O12=0,"가격미확인",IF(Q12&gt;=5,"강한사례",IF(Q12&gt;=3,"경계사례","약한연결")))</x:f>
        <x:v>경계사례</x:v>
      </x:c>
      <x:c r="S12" s="66" t="str">
        <x:v>S09;S49</x:v>
      </x:c>
      <x:c r="T12" s="66" t="str">
        <x:v>https://www.newspim.com/news/view/20250502000148</x:v>
      </x:c>
      <x:c r="U12" s="66" t="str">
        <x:v>강한 밈 | 완료 | 테마 소멸 위험 확인</x:v>
      </x:c>
    </x:row>
    <x:row r="13">
      <x:c r="A13" s="66" t="str">
        <x:v>KR-M009</x:v>
      </x:c>
      <x:c r="B13" s="66" t="str">
        <x:v>기존 검증원장</x:v>
      </x:c>
      <x:c r="C13" s="66" t="str">
        <x:v>2025</x:v>
      </x:c>
      <x:c r="D13" s="66" t="str">
        <x:v>성인·투자자</x:v>
      </x:c>
      <x:c r="E13" s="66" t="str">
        <x:v>정치·정책·사회</x:v>
      </x:c>
      <x:c r="F13" s="66" t="str">
        <x:v>이재명</x:v>
      </x:c>
      <x:c r="G13" s="66" t="str">
        <x:v>에이텍모빌리티</x:v>
      </x:c>
      <x:c r="H13" s="67" t="str">
        <x:v>224110</x:v>
      </x:c>
      <x:c r="I13" s="66" t="str">
        <x:v>KOSDAQ</x:v>
      </x:c>
      <x:c r="J13" s="66" t="str">
        <x:v>하락</x:v>
      </x:c>
      <x:c r="K13" s="66" t="str">
        <x:v>관련 뉴스 당일 -10.42%로 역반응</x:v>
      </x:c>
      <x:c r="L13" s="312" t="n">
        <x:v>-10.42</x:v>
      </x:c>
      <x:c r="M13" s="336" t="n">
        <x:v>2</x:v>
      </x:c>
      <x:c r="N13" s="336" t="n">
        <x:v>0</x:v>
      </x:c>
      <x:c r="O13" s="336" t="n">
        <x:v>2</x:v>
      </x:c>
      <x:c r="P13" s="336" t="n">
        <x:v>0</x:v>
      </x:c>
      <x:c r="Q13" s="336" t="n">
        <x:f>M13+N13+O13</x:f>
        <x:v>4</x:v>
      </x:c>
      <x:c r="R13" s="66" t="str">
        <x:f>IF(O13=0,"가격미확인",IF(Q13&gt;=5,"강한사례",IF(Q13&gt;=3,"경계사례","약한연결")))</x:f>
        <x:v>경계사례</x:v>
      </x:c>
      <x:c r="S13" s="66" t="str">
        <x:v>S09</x:v>
      </x:c>
      <x:c r="T13" s="66" t="str">
        <x:v>https://www.newspim.com/news/view/20250502000148</x:v>
      </x:c>
      <x:c r="U13" s="66" t="str">
        <x:v>강한 밈 | 완료 | 상승뿐 아니라 뉴스 역반응 확인</x:v>
      </x:c>
    </x:row>
    <x:row r="14">
      <x:c r="A14" s="66" t="str">
        <x:v>KR-M010</x:v>
      </x:c>
      <x:c r="B14" s="66" t="str">
        <x:v>기존 검증원장</x:v>
      </x:c>
      <x:c r="C14" s="66" t="str">
        <x:v>2016</x:v>
      </x:c>
      <x:c r="D14" s="66" t="str">
        <x:v>성인·투자자</x:v>
      </x:c>
      <x:c r="E14" s="66" t="str">
        <x:v>정치·정책·사회</x:v>
      </x:c>
      <x:c r="F14" s="66" t="str">
        <x:v>문재인</x:v>
      </x:c>
      <x:c r="G14" s="66" t="str">
        <x:v>우리들휴브레인(당시)</x:v>
      </x:c>
      <x:c r="H14" s="67" t="str">
        <x:v>118000</x:v>
      </x:c>
      <x:c r="I14" s="66" t="str">
        <x:v>KOSPI</x:v>
      </x:c>
      <x:c r="J14" s="66" t="str">
        <x:v>상승</x:v>
      </x:c>
      <x:c r="K14" s="66" t="str">
        <x:v>2016년 연초 대비 202%</x:v>
      </x:c>
      <x:c r="L14" s="312" t="n">
        <x:v>202</x:v>
      </x:c>
      <x:c r="M14" s="336" t="n">
        <x:v>2</x:v>
      </x:c>
      <x:c r="N14" s="336" t="n">
        <x:v>0</x:v>
      </x:c>
      <x:c r="O14" s="336" t="n">
        <x:v>2</x:v>
      </x:c>
      <x:c r="P14" s="336" t="n">
        <x:v>1</x:v>
      </x:c>
      <x:c r="Q14" s="336" t="n">
        <x:f>M14+N14+O14</x:f>
        <x:v>4</x:v>
      </x:c>
      <x:c r="R14" s="66" t="str">
        <x:f>IF(O14=0,"가격미확인",IF(Q14&gt;=5,"강한사례",IF(Q14&gt;=3,"경계사례","약한연결")))</x:f>
        <x:v>경계사례</x:v>
      </x:c>
      <x:c r="S14" s="66" t="str">
        <x:v>S10;S11;S12</x:v>
      </x:c>
      <x:c r="T14" s="66" t="str">
        <x:v>https://www.sedaily.com/NewsView/1L5CH932I1</x:v>
      </x:c>
      <x:c r="U14" s="66" t="str">
        <x:v>강한 밈 | 완료 | 당시 종목명 기준</x:v>
      </x:c>
    </x:row>
    <x:row r="15">
      <x:c r="A15" s="66" t="str">
        <x:v>KR-M011</x:v>
      </x:c>
      <x:c r="B15" s="66" t="str">
        <x:v>기존 검증원장</x:v>
      </x:c>
      <x:c r="C15" s="66" t="str">
        <x:v>2016</x:v>
      </x:c>
      <x:c r="D15" s="66" t="str">
        <x:v>성인·투자자</x:v>
      </x:c>
      <x:c r="E15" s="66" t="str">
        <x:v>정치·정책·사회</x:v>
      </x:c>
      <x:c r="F15" s="66" t="str">
        <x:v>문재인</x:v>
      </x:c>
      <x:c r="G15" s="66" t="str">
        <x:v>우리들제약(당시)</x:v>
      </x:c>
      <x:c r="H15" s="67" t="str">
        <x:v>004720</x:v>
      </x:c>
      <x:c r="I15" s="66" t="str">
        <x:v>KOSPI</x:v>
      </x:c>
      <x:c r="J15" s="66" t="str">
        <x:v>상승</x:v>
      </x:c>
      <x:c r="K15" s="66" t="str">
        <x:v>2016년 연초 대비 157%</x:v>
      </x:c>
      <x:c r="L15" s="312" t="n">
        <x:v>157</x:v>
      </x:c>
      <x:c r="M15" s="336" t="n">
        <x:v>2</x:v>
      </x:c>
      <x:c r="N15" s="336" t="n">
        <x:v>0</x:v>
      </x:c>
      <x:c r="O15" s="336" t="n">
        <x:v>2</x:v>
      </x:c>
      <x:c r="P15" s="336" t="n">
        <x:v>1</x:v>
      </x:c>
      <x:c r="Q15" s="336" t="n">
        <x:f>M15+N15+O15</x:f>
        <x:v>4</x:v>
      </x:c>
      <x:c r="R15" s="66" t="str">
        <x:f>IF(O15=0,"가격미확인",IF(Q15&gt;=5,"강한사례",IF(Q15&gt;=3,"경계사례","약한연결")))</x:f>
        <x:v>경계사례</x:v>
      </x:c>
      <x:c r="S15" s="66" t="str">
        <x:v>S10;S11;S12</x:v>
      </x:c>
      <x:c r="T15" s="66" t="str">
        <x:v>https://www.sedaily.com/NewsView/1L5CH932I1</x:v>
      </x:c>
      <x:c r="U15" s="66" t="str">
        <x:v>강한 밈 | 완료 | 현재 사명과 다를 수 있음</x:v>
      </x:c>
    </x:row>
    <x:row r="16">
      <x:c r="A16" s="66" t="str">
        <x:v>KR-M012</x:v>
      </x:c>
      <x:c r="B16" s="66" t="str">
        <x:v>기존 검증원장</x:v>
      </x:c>
      <x:c r="C16" s="66" t="str">
        <x:v>2016</x:v>
      </x:c>
      <x:c r="D16" s="66" t="str">
        <x:v>성인·투자자</x:v>
      </x:c>
      <x:c r="E16" s="66" t="str">
        <x:v>정치·정책·사회</x:v>
      </x:c>
      <x:c r="F16" s="66" t="str">
        <x:v>문재인</x:v>
      </x:c>
      <x:c r="G16" s="66" t="str">
        <x:v>고려산업</x:v>
      </x:c>
      <x:c r="H16" s="67" t="str">
        <x:v>002140</x:v>
      </x:c>
      <x:c r="I16" s="66" t="str">
        <x:v>KOSPI</x:v>
      </x:c>
      <x:c r="J16" s="66" t="str">
        <x:v>상승</x:v>
      </x:c>
      <x:c r="K16" s="66" t="str">
        <x:v>2016년 연초 대비 225%</x:v>
      </x:c>
      <x:c r="L16" s="312" t="n">
        <x:v>225</x:v>
      </x:c>
      <x:c r="M16" s="336" t="n">
        <x:v>2</x:v>
      </x:c>
      <x:c r="N16" s="336" t="n">
        <x:v>0</x:v>
      </x:c>
      <x:c r="O16" s="336" t="n">
        <x:v>2</x:v>
      </x:c>
      <x:c r="P16" s="336" t="n">
        <x:v>0</x:v>
      </x:c>
      <x:c r="Q16" s="336" t="n">
        <x:f>M16+N16+O16</x:f>
        <x:v>4</x:v>
      </x:c>
      <x:c r="R16" s="66" t="str">
        <x:f>IF(O16=0,"가격미확인",IF(Q16&gt;=5,"강한사례",IF(Q16&gt;=3,"경계사례","약한연결")))</x:f>
        <x:v>경계사례</x:v>
      </x:c>
      <x:c r="S16" s="66" t="str">
        <x:v>S12</x:v>
      </x:c>
      <x:c r="T16" s="66" t="str">
        <x:v>https://www.etoday.co.kr/news/view/1434676</x:v>
      </x:c>
      <x:c r="U16" s="66" t="str">
        <x:v>강한 밈 | 완료 | 학연 테마</x:v>
      </x:c>
    </x:row>
    <x:row r="17">
      <x:c r="A17" s="66" t="str">
        <x:v>KR-M013</x:v>
      </x:c>
      <x:c r="B17" s="66" t="str">
        <x:v>기존 검증원장</x:v>
      </x:c>
      <x:c r="C17" s="66" t="str">
        <x:v>2016</x:v>
      </x:c>
      <x:c r="D17" s="66" t="str">
        <x:v>성인·투자자</x:v>
      </x:c>
      <x:c r="E17" s="66" t="str">
        <x:v>정치·정책·사회</x:v>
      </x:c>
      <x:c r="F17" s="66" t="str">
        <x:v>문재인</x:v>
      </x:c>
      <x:c r="G17" s="66" t="str">
        <x:v>대성파인텍</x:v>
      </x:c>
      <x:c r="H17" s="67" t="str">
        <x:v>104040</x:v>
      </x:c>
      <x:c r="I17" s="66" t="str">
        <x:v>KOSDAQ</x:v>
      </x:c>
      <x:c r="J17" s="66" t="str">
        <x:v>상승</x:v>
      </x:c>
      <x:c r="K17" s="66" t="str">
        <x:v>당일 상한가</x:v>
      </x:c>
      <x:c r="L17" s="312" t="n">
        <x:v>29.9</x:v>
      </x:c>
      <x:c r="M17" s="336" t="n">
        <x:v>2</x:v>
      </x:c>
      <x:c r="N17" s="336" t="n">
        <x:v>0</x:v>
      </x:c>
      <x:c r="O17" s="336" t="n">
        <x:v>2</x:v>
      </x:c>
      <x:c r="P17" s="336" t="n">
        <x:v>0</x:v>
      </x:c>
      <x:c r="Q17" s="336" t="n">
        <x:f>M17+N17+O17</x:f>
        <x:v>4</x:v>
      </x:c>
      <x:c r="R17" s="66" t="str">
        <x:f>IF(O17=0,"가격미확인",IF(Q17&gt;=5,"강한사례",IF(Q17&gt;=3,"경계사례","약한연결")))</x:f>
        <x:v>경계사례</x:v>
      </x:c>
      <x:c r="S17" s="66" t="str">
        <x:v>S10</x:v>
      </x:c>
      <x:c r="T17" s="66" t="str">
        <x:v>https://www.sedaily.com/NewsView/1L5CH932I1</x:v>
      </x:c>
      <x:c r="U17" s="66" t="str">
        <x:v>강한 밈 | 완료 | 정치 이벤트 반응</x:v>
      </x:c>
    </x:row>
    <x:row r="18">
      <x:c r="A18" s="66" t="str">
        <x:v>KR-M014</x:v>
      </x:c>
      <x:c r="B18" s="66" t="str">
        <x:v>기존 검증원장</x:v>
      </x:c>
      <x:c r="C18" s="66" t="str">
        <x:v>2016</x:v>
      </x:c>
      <x:c r="D18" s="66" t="str">
        <x:v>성인·투자자</x:v>
      </x:c>
      <x:c r="E18" s="66" t="str">
        <x:v>정치·정책·사회</x:v>
      </x:c>
      <x:c r="F18" s="66" t="str">
        <x:v>반기문</x:v>
      </x:c>
      <x:c r="G18" s="66" t="str">
        <x:v>보성파워텍</x:v>
      </x:c>
      <x:c r="H18" s="67" t="str">
        <x:v>006910</x:v>
      </x:c>
      <x:c r="I18" s="66" t="str">
        <x:v>KOSDAQ</x:v>
      </x:c>
      <x:c r="J18" s="66" t="str">
        <x:v>상승</x:v>
      </x:c>
      <x:c r="K18" s="66" t="str">
        <x:v>총선 후 한 달 108.6%</x:v>
      </x:c>
      <x:c r="L18" s="312" t="n">
        <x:v>108.6</x:v>
      </x:c>
      <x:c r="M18" s="336" t="n">
        <x:v>2</x:v>
      </x:c>
      <x:c r="N18" s="336" t="n">
        <x:v>0</x:v>
      </x:c>
      <x:c r="O18" s="336" t="n">
        <x:v>2</x:v>
      </x:c>
      <x:c r="P18" s="336" t="n">
        <x:v>0</x:v>
      </x:c>
      <x:c r="Q18" s="336" t="n">
        <x:f>M18+N18+O18</x:f>
        <x:v>4</x:v>
      </x:c>
      <x:c r="R18" s="66" t="str">
        <x:f>IF(O18=0,"가격미확인",IF(Q18&gt;=5,"강한사례",IF(Q18&gt;=3,"경계사례","약한연결")))</x:f>
        <x:v>경계사례</x:v>
      </x:c>
      <x:c r="S18" s="66" t="str">
        <x:v>S11</x:v>
      </x:c>
      <x:c r="T18" s="66" t="str">
        <x:v>https://www.seoul.co.kr/news/economy/2016/05/15/20160515800019</x:v>
      </x:c>
      <x:c r="U18" s="66" t="str">
        <x:v>강한 밈 | 완료 | 가족 인맥</x:v>
      </x:c>
    </x:row>
    <x:row r="19">
      <x:c r="A19" s="66" t="str">
        <x:v>KR-M015</x:v>
      </x:c>
      <x:c r="B19" s="66" t="str">
        <x:v>기존 검증원장</x:v>
      </x:c>
      <x:c r="C19" s="66" t="str">
        <x:v>2016</x:v>
      </x:c>
      <x:c r="D19" s="66" t="str">
        <x:v>성인·투자자</x:v>
      </x:c>
      <x:c r="E19" s="66" t="str">
        <x:v>정치·정책·사회</x:v>
      </x:c>
      <x:c r="F19" s="66" t="str">
        <x:v>반기문</x:v>
      </x:c>
      <x:c r="G19" s="66" t="str">
        <x:v>지엔코</x:v>
      </x:c>
      <x:c r="H19" s="67" t="str">
        <x:v>065060</x:v>
      </x:c>
      <x:c r="I19" s="66" t="str">
        <x:v>KOSDAQ</x:v>
      </x:c>
      <x:c r="J19" s="66" t="str">
        <x:v>상승</x:v>
      </x:c>
      <x:c r="K19" s="66" t="str">
        <x:v>하반기 160.63% 급등</x:v>
      </x:c>
      <x:c r="L19" s="312" t="n">
        <x:v>160.63</x:v>
      </x:c>
      <x:c r="M19" s="336" t="n">
        <x:v>2</x:v>
      </x:c>
      <x:c r="N19" s="336" t="n">
        <x:v>0</x:v>
      </x:c>
      <x:c r="O19" s="336" t="n">
        <x:v>2</x:v>
      </x:c>
      <x:c r="P19" s="336" t="n">
        <x:v>1</x:v>
      </x:c>
      <x:c r="Q19" s="336" t="n">
        <x:f>M19+N19+O19</x:f>
        <x:v>4</x:v>
      </x:c>
      <x:c r="R19" s="66" t="str">
        <x:f>IF(O19=0,"가격미확인",IF(Q19&gt;=5,"강한사례",IF(Q19&gt;=3,"경계사례","약한연결")))</x:f>
        <x:v>경계사례</x:v>
      </x:c>
      <x:c r="S19" s="66" t="str">
        <x:v>S10</x:v>
      </x:c>
      <x:c r="T19" s="66" t="str">
        <x:v>https://www.sedaily.com/NewsView/1L5CH932I1</x:v>
      </x:c>
      <x:c r="U19" s="66" t="str">
        <x:v>강한 밈 | 완료 | 실적 역행</x:v>
      </x:c>
    </x:row>
    <x:row r="20">
      <x:c r="A20" s="66" t="str">
        <x:v>KR-M016</x:v>
      </x:c>
      <x:c r="B20" s="66" t="str">
        <x:v>기존 검증원장</x:v>
      </x:c>
      <x:c r="C20" s="66" t="str">
        <x:v>2016</x:v>
      </x:c>
      <x:c r="D20" s="66" t="str">
        <x:v>성인·투자자</x:v>
      </x:c>
      <x:c r="E20" s="66" t="str">
        <x:v>정치·정책·사회</x:v>
      </x:c>
      <x:c r="F20" s="66" t="str">
        <x:v>반기문</x:v>
      </x:c>
      <x:c r="G20" s="66" t="str">
        <x:v>씨씨에스</x:v>
      </x:c>
      <x:c r="H20" s="67" t="str">
        <x:v>066790</x:v>
      </x:c>
      <x:c r="I20" s="66" t="str">
        <x:v>KOSDAQ</x:v>
      </x:c>
      <x:c r="J20" s="66" t="str">
        <x:v>미확인</x:v>
      </x:c>
      <x:c r="K20" s="66" t="str">
        <x:v>정치테마주 군 동반 급등</x:v>
      </x:c>
      <x:c r="L20" s="312"/>
      <x:c r="M20" s="336" t="n">
        <x:v>2</x:v>
      </x:c>
      <x:c r="N20" s="336" t="n">
        <x:v>0</x:v>
      </x:c>
      <x:c r="O20" s="336" t="n">
        <x:v>1</x:v>
      </x:c>
      <x:c r="P20" s="336" t="n">
        <x:v>1</x:v>
      </x:c>
      <x:c r="Q20" s="336" t="n">
        <x:f>M20+N20+O20</x:f>
        <x:v>3</x:v>
      </x:c>
      <x:c r="R20" s="66" t="str">
        <x:f>IF(O20=0,"가격미확인",IF(Q20&gt;=5,"강한사례",IF(Q20&gt;=3,"경계사례","약한연결")))</x:f>
        <x:v>경계사례</x:v>
      </x:c>
      <x:c r="S20" s="66" t="str">
        <x:v>S10</x:v>
      </x:c>
      <x:c r="T20" s="66" t="str">
        <x:v>https://www.sedaily.com/NewsView/1L5CH932I1</x:v>
      </x:c>
      <x:c r="U20" s="66" t="str">
        <x:v>강한 밈 | 추가검증 | 정확한 구간 수익률 보강 필요</x:v>
      </x:c>
    </x:row>
    <x:row r="21">
      <x:c r="A21" s="66" t="str">
        <x:v>KR-M017</x:v>
      </x:c>
      <x:c r="B21" s="66" t="str">
        <x:v>기존 검증원장</x:v>
      </x:c>
      <x:c r="C21" s="66" t="str">
        <x:v>2012</x:v>
      </x:c>
      <x:c r="D21" s="66" t="str">
        <x:v>성인·투자자</x:v>
      </x:c>
      <x:c r="E21" s="66" t="str">
        <x:v>정치·정책·사회</x:v>
      </x:c>
      <x:c r="F21" s="66" t="str">
        <x:v>안철수</x:v>
      </x:c>
      <x:c r="G21" s="66" t="str">
        <x:v>써니전자</x:v>
      </x:c>
      <x:c r="H21" s="67" t="str">
        <x:v>004770</x:v>
      </x:c>
      <x:c r="I21" s="66" t="str">
        <x:v>KOSPI</x:v>
      </x:c>
      <x:c r="J21" s="66" t="str">
        <x:v>미확인</x:v>
      </x:c>
      <x:c r="K21" s="66" t="str">
        <x:v>정계 뉴스마다 급등락; 사퇴 뒤 월간 급락군</x:v>
      </x:c>
      <x:c r="L21" s="312"/>
      <x:c r="M21" s="336" t="n">
        <x:v>2</x:v>
      </x:c>
      <x:c r="N21" s="336" t="n">
        <x:v>0</x:v>
      </x:c>
      <x:c r="O21" s="336" t="n">
        <x:v>1</x:v>
      </x:c>
      <x:c r="P21" s="336" t="n">
        <x:v>0</x:v>
      </x:c>
      <x:c r="Q21" s="336" t="n">
        <x:f>M21+N21+O21</x:f>
        <x:v>3</x:v>
      </x:c>
      <x:c r="R21" s="66" t="str">
        <x:f>IF(O21=0,"가격미확인",IF(Q21&gt;=5,"강한사례",IF(Q21&gt;=3,"경계사례","약한연결")))</x:f>
        <x:v>경계사례</x:v>
      </x:c>
      <x:c r="S21" s="66" t="str">
        <x:v>S13;S14</x:v>
      </x:c>
      <x:c r="T21" s="66" t="str">
        <x:v>https://www.hankyung.com/article/202001078101i</x:v>
      </x:c>
      <x:c r="U21" s="66" t="str">
        <x:v>강한 밈 | 완료 | 전직 임원 경력</x:v>
      </x:c>
    </x:row>
    <x:row r="22">
      <x:c r="A22" s="66" t="str">
        <x:v>KR-M018</x:v>
      </x:c>
      <x:c r="B22" s="66" t="str">
        <x:v>기존 검증원장</x:v>
      </x:c>
      <x:c r="C22" s="66" t="str">
        <x:v>2012</x:v>
      </x:c>
      <x:c r="D22" s="66" t="str">
        <x:v>성인·투자자</x:v>
      </x:c>
      <x:c r="E22" s="66" t="str">
        <x:v>정치·정책·사회</x:v>
      </x:c>
      <x:c r="F22" s="66" t="str">
        <x:v>안철수</x:v>
      </x:c>
      <x:c r="G22" s="66" t="str">
        <x:v>미래산업</x:v>
      </x:c>
      <x:c r="H22" s="67" t="str">
        <x:v>025560</x:v>
      </x:c>
      <x:c r="I22" s="66" t="str">
        <x:v>KOSPI</x:v>
      </x:c>
      <x:c r="J22" s="66" t="str">
        <x:v>미확인</x:v>
      </x:c>
      <x:c r="K22" s="66" t="str">
        <x:v>11월 들어 관련주군 19.09~57.78% 급락</x:v>
      </x:c>
      <x:c r="L22" s="312"/>
      <x:c r="M22" s="336" t="n">
        <x:v>2</x:v>
      </x:c>
      <x:c r="N22" s="336" t="n">
        <x:v>0</x:v>
      </x:c>
      <x:c r="O22" s="336" t="n">
        <x:v>1</x:v>
      </x:c>
      <x:c r="P22" s="336" t="n">
        <x:v>0</x:v>
      </x:c>
      <x:c r="Q22" s="336" t="n">
        <x:f>M22+N22+O22</x:f>
        <x:v>3</x:v>
      </x:c>
      <x:c r="R22" s="66" t="str">
        <x:f>IF(O22=0,"가격미확인",IF(Q22&gt;=5,"강한사례",IF(Q22&gt;=3,"경계사례","약한연결")))</x:f>
        <x:v>경계사례</x:v>
      </x:c>
      <x:c r="S22" s="66" t="str">
        <x:v>S14</x:v>
      </x:c>
      <x:c r="T22" s="66" t="str">
        <x:v>https://www.hankyung.com/article/2012112570961</x:v>
      </x:c>
      <x:c r="U22" s="66" t="str">
        <x:v>강한 밈 | 완료 | 테마 소멸 반응</x:v>
      </x:c>
    </x:row>
    <x:row r="23">
      <x:c r="A23" s="66" t="str">
        <x:v>KR-M019</x:v>
      </x:c>
      <x:c r="B23" s="66" t="str">
        <x:v>기존 검증원장</x:v>
      </x:c>
      <x:c r="C23" s="66" t="str">
        <x:v>2012</x:v>
      </x:c>
      <x:c r="D23" s="66" t="str">
        <x:v>성인·투자자</x:v>
      </x:c>
      <x:c r="E23" s="66" t="str">
        <x:v>정치·정책·사회</x:v>
      </x:c>
      <x:c r="F23" s="66" t="str">
        <x:v>안철수</x:v>
      </x:c>
      <x:c r="G23" s="66" t="str">
        <x:v>오픈베이스</x:v>
      </x:c>
      <x:c r="H23" s="67" t="str">
        <x:v>049480</x:v>
      </x:c>
      <x:c r="I23" s="66" t="str">
        <x:v>KOSDAQ</x:v>
      </x:c>
      <x:c r="J23" s="66" t="str">
        <x:v>미확인</x:v>
      </x:c>
      <x:c r="K23" s="66" t="str">
        <x:v>11월 들어 관련주군 19.09~57.78% 급락</x:v>
      </x:c>
      <x:c r="L23" s="312"/>
      <x:c r="M23" s="336" t="n">
        <x:v>2</x:v>
      </x:c>
      <x:c r="N23" s="336" t="n">
        <x:v>0</x:v>
      </x:c>
      <x:c r="O23" s="336" t="n">
        <x:v>1</x:v>
      </x:c>
      <x:c r="P23" s="336" t="n">
        <x:v>0</x:v>
      </x:c>
      <x:c r="Q23" s="336" t="n">
        <x:f>M23+N23+O23</x:f>
        <x:v>3</x:v>
      </x:c>
      <x:c r="R23" s="66" t="str">
        <x:f>IF(O23=0,"가격미확인",IF(Q23&gt;=5,"강한사례",IF(Q23&gt;=3,"경계사례","약한연결")))</x:f>
        <x:v>경계사례</x:v>
      </x:c>
      <x:c r="S23" s="66" t="str">
        <x:v>S14</x:v>
      </x:c>
      <x:c r="T23" s="66" t="str">
        <x:v>https://www.hankyung.com/article/2012112570961</x:v>
      </x:c>
      <x:c r="U23" s="66" t="str">
        <x:v>강한 밈 | 완료 | 테마 소멸 반응</x:v>
      </x:c>
    </x:row>
    <x:row r="24">
      <x:c r="A24" s="66" t="str">
        <x:v>KR-M020</x:v>
      </x:c>
      <x:c r="B24" s="66" t="str">
        <x:v>기존 검증원장</x:v>
      </x:c>
      <x:c r="C24" s="66" t="str">
        <x:v>2019</x:v>
      </x:c>
      <x:c r="D24" s="66" t="str">
        <x:v>성인·투자자</x:v>
      </x:c>
      <x:c r="E24" s="66" t="str">
        <x:v>정치·정책·사회</x:v>
      </x:c>
      <x:c r="F24" s="66" t="str">
        <x:v>조국</x:v>
      </x:c>
      <x:c r="G24" s="66" t="str">
        <x:v>화천기계</x:v>
      </x:c>
      <x:c r="H24" s="67" t="str">
        <x:v>010660</x:v>
      </x:c>
      <x:c r="I24" s="66" t="str">
        <x:v>KOSPI</x:v>
      </x:c>
      <x:c r="J24" s="66" t="str">
        <x:v>미확인</x:v>
      </x:c>
      <x:c r="K24" s="66" t="str">
        <x:v>투자주의 수준 급등 뒤 총선 후 급락</x:v>
      </x:c>
      <x:c r="L24" s="312"/>
      <x:c r="M24" s="336" t="n">
        <x:v>2</x:v>
      </x:c>
      <x:c r="N24" s="336" t="n">
        <x:v>0</x:v>
      </x:c>
      <x:c r="O24" s="336" t="n">
        <x:v>1</x:v>
      </x:c>
      <x:c r="P24" s="336" t="n">
        <x:v>0</x:v>
      </x:c>
      <x:c r="Q24" s="336" t="n">
        <x:f>M24+N24+O24</x:f>
        <x:v>3</x:v>
      </x:c>
      <x:c r="R24" s="66" t="str">
        <x:f>IF(O24=0,"가격미확인",IF(Q24&gt;=5,"강한사례",IF(Q24&gt;=3,"경계사례","약한연결")))</x:f>
        <x:v>경계사례</x:v>
      </x:c>
      <x:c r="S24" s="66" t="str">
        <x:v>S18</x:v>
      </x:c>
      <x:c r="T24" s="66" t="str">
        <x:v>https://www.hankyung.com/article/2024032790396</x:v>
      </x:c>
      <x:c r="U24" s="66" t="str">
        <x:v>강한 밈 | 완료 | 당사자 반박</x:v>
      </x:c>
    </x:row>
    <x:row r="25">
      <x:c r="A25" s="66" t="str">
        <x:v>KR-M021</x:v>
      </x:c>
      <x:c r="B25" s="66" t="str">
        <x:v>기존 검증원장</x:v>
      </x:c>
      <x:c r="C25" s="66" t="str">
        <x:v>2023</x:v>
      </x:c>
      <x:c r="D25" s="66" t="str">
        <x:v>성인·투자자</x:v>
      </x:c>
      <x:c r="E25" s="66" t="str">
        <x:v>정치·정책·사회</x:v>
      </x:c>
      <x:c r="F25" s="66" t="str">
        <x:v>한동훈</x:v>
      </x:c>
      <x:c r="G25" s="66" t="str">
        <x:v>디티앤씨알오</x:v>
      </x:c>
      <x:c r="H25" s="67" t="str">
        <x:v>383930</x:v>
      </x:c>
      <x:c r="I25" s="66" t="str">
        <x:v>KOSDAQ</x:v>
      </x:c>
      <x:c r="J25" s="66" t="str">
        <x:v>상승</x:v>
      </x:c>
      <x:c r="K25" s="66" t="str">
        <x:v>11월 중 120% 급등</x:v>
      </x:c>
      <x:c r="L25" s="312" t="n">
        <x:v>120</x:v>
      </x:c>
      <x:c r="M25" s="336" t="n">
        <x:v>2</x:v>
      </x:c>
      <x:c r="N25" s="336" t="n">
        <x:v>0</x:v>
      </x:c>
      <x:c r="O25" s="336" t="n">
        <x:v>2</x:v>
      </x:c>
      <x:c r="P25" s="336" t="n">
        <x:v>0</x:v>
      </x:c>
      <x:c r="Q25" s="336" t="n">
        <x:f>M25+N25+O25</x:f>
        <x:v>4</x:v>
      </x:c>
      <x:c r="R25" s="66" t="str">
        <x:f>IF(O25=0,"가격미확인",IF(Q25&gt;=5,"강한사례",IF(Q25&gt;=3,"경계사례","약한연결")))</x:f>
        <x:v>경계사례</x:v>
      </x:c>
      <x:c r="S25" s="66" t="str">
        <x:v>S17</x:v>
      </x:c>
      <x:c r="T25" s="66" t="str">
        <x:v>https://www.edaily.co.kr/news/read?newsId=01125046635809984</x:v>
      </x:c>
      <x:c r="U25" s="66" t="str">
        <x:v>강한 밈 | 완료 | 기사상 무재료 확인</x:v>
      </x:c>
    </x:row>
    <x:row r="26">
      <x:c r="A26" s="66" t="str">
        <x:v>KR-M022</x:v>
      </x:c>
      <x:c r="B26" s="66" t="str">
        <x:v>기존 검증원장</x:v>
      </x:c>
      <x:c r="C26" s="66" t="str">
        <x:v>2023</x:v>
      </x:c>
      <x:c r="D26" s="66" t="str">
        <x:v>성인·투자자</x:v>
      </x:c>
      <x:c r="E26" s="66" t="str">
        <x:v>정치·정책·사회</x:v>
      </x:c>
      <x:c r="F26" s="66" t="str">
        <x:v>한동훈</x:v>
      </x:c>
      <x:c r="G26" s="66" t="str">
        <x:v>체시스</x:v>
      </x:c>
      <x:c r="H26" s="67" t="str">
        <x:v>033250</x:v>
      </x:c>
      <x:c r="I26" s="66" t="str">
        <x:v>KOSPI</x:v>
      </x:c>
      <x:c r="J26" s="66" t="str">
        <x:v>미확인</x:v>
      </x:c>
      <x:c r="K26" s="66" t="str">
        <x:v>디티앤씨알오와 함께 연일 급등</x:v>
      </x:c>
      <x:c r="L26" s="312"/>
      <x:c r="M26" s="336" t="n">
        <x:v>2</x:v>
      </x:c>
      <x:c r="N26" s="336" t="n">
        <x:v>0</x:v>
      </x:c>
      <x:c r="O26" s="336" t="n">
        <x:v>1</x:v>
      </x:c>
      <x:c r="P26" s="336" t="n">
        <x:v>0</x:v>
      </x:c>
      <x:c r="Q26" s="336" t="n">
        <x:f>M26+N26+O26</x:f>
        <x:v>3</x:v>
      </x:c>
      <x:c r="R26" s="66" t="str">
        <x:f>IF(O26=0,"가격미확인",IF(Q26&gt;=5,"강한사례",IF(Q26&gt;=3,"경계사례","약한연결")))</x:f>
        <x:v>경계사례</x:v>
      </x:c>
      <x:c r="S26" s="66" t="str">
        <x:v>S17</x:v>
      </x:c>
      <x:c r="T26" s="66" t="str">
        <x:v>https://www.edaily.co.kr/news/read?newsId=01125046635809984</x:v>
      </x:c>
      <x:c r="U26" s="66" t="str">
        <x:v>강한 밈 | 완료 | 정확한 누적 수익률 보강 필요</x:v>
      </x:c>
    </x:row>
    <x:row r="27">
      <x:c r="A27" s="66" t="str">
        <x:v>KR-M023</x:v>
      </x:c>
      <x:c r="B27" s="66" t="str">
        <x:v>기존 검증원장</x:v>
      </x:c>
      <x:c r="C27" s="66" t="str">
        <x:v>2023</x:v>
      </x:c>
      <x:c r="D27" s="66" t="str">
        <x:v>성인·투자자</x:v>
      </x:c>
      <x:c r="E27" s="66" t="str">
        <x:v>인물·관계·기타</x:v>
      </x:c>
      <x:c r="F27" s="66" t="str">
        <x:v>한동훈·이정재</x:v>
      </x:c>
      <x:c r="G27" s="66" t="str">
        <x:v>대상홀딩스우</x:v>
      </x:c>
      <x:c r="H27" s="67" t="str">
        <x:v>084695</x:v>
      </x:c>
      <x:c r="I27" s="66" t="str">
        <x:v>KOSPI</x:v>
      </x:c>
      <x:c r="J27" s="66" t="str">
        <x:v>미확인</x:v>
      </x:c>
      <x:c r="K27" s="66" t="str">
        <x:v>7거래일 연속 상한가</x:v>
      </x:c>
      <x:c r="L27" s="312"/>
      <x:c r="M27" s="336" t="n">
        <x:v>2</x:v>
      </x:c>
      <x:c r="N27" s="336" t="n">
        <x:v>0</x:v>
      </x:c>
      <x:c r="O27" s="336" t="n">
        <x:v>1</x:v>
      </x:c>
      <x:c r="P27" s="336" t="n">
        <x:v>0</x:v>
      </x:c>
      <x:c r="Q27" s="336" t="n">
        <x:f>M27+N27+O27</x:f>
        <x:v>3</x:v>
      </x:c>
      <x:c r="R27" s="66" t="str">
        <x:f>IF(O27=0,"가격미확인",IF(Q27&gt;=5,"강한사례",IF(Q27&gt;=3,"경계사례","약한연결")))</x:f>
        <x:v>경계사례</x:v>
      </x:c>
      <x:c r="S27" s="66" t="str">
        <x:v>S15;S16</x:v>
      </x:c>
      <x:c r="T27" s="66" t="str">
        <x:v>https://plus.hankyung.com/apps/newsinside.view?aid=2023120672275&amp;category=&amp;sns=y</x:v>
      </x:c>
      <x:c r="U27" s="66" t="str">
        <x:v>강한 밈 | 완료 | 사진 한 장이 촉발</x:v>
      </x:c>
    </x:row>
    <x:row r="28">
      <x:c r="A28" s="66" t="str">
        <x:v>KR-M024</x:v>
      </x:c>
      <x:c r="B28" s="66" t="str">
        <x:v>기존 검증원장</x:v>
      </x:c>
      <x:c r="C28" s="66" t="str">
        <x:v>2023</x:v>
      </x:c>
      <x:c r="D28" s="66" t="str">
        <x:v>성인·투자자</x:v>
      </x:c>
      <x:c r="E28" s="66" t="str">
        <x:v>인물·관계·기타</x:v>
      </x:c>
      <x:c r="F28" s="66" t="str">
        <x:v>한동훈·이정재</x:v>
      </x:c>
      <x:c r="G28" s="66" t="str">
        <x:v>대상홀딩스</x:v>
      </x:c>
      <x:c r="H28" s="67" t="str">
        <x:v>084690</x:v>
      </x:c>
      <x:c r="I28" s="66" t="str">
        <x:v>KOSPI</x:v>
      </x:c>
      <x:c r="J28" s="66" t="str">
        <x:v>미확인</x:v>
      </x:c>
      <x:c r="K28" s="66" t="str">
        <x:v>사진 공개 뒤 동반 급등</x:v>
      </x:c>
      <x:c r="L28" s="312"/>
      <x:c r="M28" s="336" t="n">
        <x:v>2</x:v>
      </x:c>
      <x:c r="N28" s="336" t="n">
        <x:v>0</x:v>
      </x:c>
      <x:c r="O28" s="336" t="n">
        <x:v>1</x:v>
      </x:c>
      <x:c r="P28" s="336" t="n">
        <x:v>0</x:v>
      </x:c>
      <x:c r="Q28" s="336" t="n">
        <x:f>M28+N28+O28</x:f>
        <x:v>3</x:v>
      </x:c>
      <x:c r="R28" s="66" t="str">
        <x:f>IF(O28=0,"가격미확인",IF(Q28&gt;=5,"강한사례",IF(Q28&gt;=3,"경계사례","약한연결")))</x:f>
        <x:v>경계사례</x:v>
      </x:c>
      <x:c r="S28" s="66" t="str">
        <x:v>S15;S16</x:v>
      </x:c>
      <x:c r="T28" s="66" t="str">
        <x:v>https://plus.hankyung.com/apps/newsinside.view?aid=2023120672275&amp;category=&amp;sns=y</x:v>
      </x:c>
      <x:c r="U28" s="66" t="str">
        <x:v>강한 밈 | 완료 | 보통주 파생</x:v>
      </x:c>
    </x:row>
    <x:row r="29">
      <x:c r="A29" s="66" t="str">
        <x:v>KR-M025</x:v>
      </x:c>
      <x:c r="B29" s="66" t="str">
        <x:v>기존 검증원장</x:v>
      </x:c>
      <x:c r="C29" s="66" t="str">
        <x:v>2025</x:v>
      </x:c>
      <x:c r="D29" s="66" t="str">
        <x:v>성인·투자자</x:v>
      </x:c>
      <x:c r="E29" s="66" t="str">
        <x:v>정치·정책·사회</x:v>
      </x:c>
      <x:c r="F29" s="66" t="str">
        <x:v>김문수</x:v>
      </x:c>
      <x:c r="G29" s="66" t="str">
        <x:v>평화홀딩스</x:v>
      </x:c>
      <x:c r="H29" s="67" t="str">
        <x:v>010770</x:v>
      </x:c>
      <x:c r="I29" s="66" t="str">
        <x:v>KOSPI</x:v>
      </x:c>
      <x:c r="J29" s="66" t="str">
        <x:v>상승</x:v>
      </x:c>
      <x:c r="K29" s="66" t="str">
        <x:v>2025년 4월 초까지 293.66%</x:v>
      </x:c>
      <x:c r="L29" s="312" t="n">
        <x:v>293.66</x:v>
      </x:c>
      <x:c r="M29" s="336" t="n">
        <x:v>2</x:v>
      </x:c>
      <x:c r="N29" s="336" t="n">
        <x:v>0</x:v>
      </x:c>
      <x:c r="O29" s="336" t="n">
        <x:v>2</x:v>
      </x:c>
      <x:c r="P29" s="336" t="n">
        <x:v>0</x:v>
      </x:c>
      <x:c r="Q29" s="336" t="n">
        <x:f>M29+N29+O29</x:f>
        <x:v>4</x:v>
      </x:c>
      <x:c r="R29" s="66" t="str">
        <x:f>IF(O29=0,"가격미확인",IF(Q29&gt;=5,"강한사례",IF(Q29&gt;=3,"경계사례","약한연결")))</x:f>
        <x:v>경계사례</x:v>
      </x:c>
      <x:c r="S29" s="66" t="str">
        <x:v>S19;S20</x:v>
      </x:c>
      <x:c r="T29" s="66" t="str">
        <x:v>https://tvm.edaily.co.kr/News/NewsRead?Kind=&amp;NewsId=01804006642101680</x:v>
      </x:c>
      <x:c r="U29" s="66" t="str">
        <x:v>강한 밈 | 완료 | 고향 연결</x:v>
      </x:c>
    </x:row>
    <x:row r="30">
      <x:c r="A30" s="66" t="str">
        <x:v>KR-M026</x:v>
      </x:c>
      <x:c r="B30" s="66" t="str">
        <x:v>기존 검증원장</x:v>
      </x:c>
      <x:c r="C30" s="66" t="str">
        <x:v>2025</x:v>
      </x:c>
      <x:c r="D30" s="66" t="str">
        <x:v>성인·투자자</x:v>
      </x:c>
      <x:c r="E30" s="66" t="str">
        <x:v>정치·정책·사회</x:v>
      </x:c>
      <x:c r="F30" s="66" t="str">
        <x:v>이재명</x:v>
      </x:c>
      <x:c r="G30" s="66" t="str">
        <x:v>형지글로벌</x:v>
      </x:c>
      <x:c r="H30" s="67" t="str">
        <x:v>308100</x:v>
      </x:c>
      <x:c r="I30" s="66" t="str">
        <x:v>KOSDAQ</x:v>
      </x:c>
      <x:c r="J30" s="66" t="str">
        <x:v>상승</x:v>
      </x:c>
      <x:c r="K30" s="66" t="str">
        <x:v>2025년 4월 초까지 281.61%</x:v>
      </x:c>
      <x:c r="L30" s="312" t="n">
        <x:v>281.61</x:v>
      </x:c>
      <x:c r="M30" s="336" t="n">
        <x:v>2</x:v>
      </x:c>
      <x:c r="N30" s="336" t="n">
        <x:v>1</x:v>
      </x:c>
      <x:c r="O30" s="336" t="n">
        <x:v>2</x:v>
      </x:c>
      <x:c r="P30" s="336" t="n">
        <x:v>0</x:v>
      </x:c>
      <x:c r="Q30" s="336" t="n">
        <x:f>M30+N30+O30</x:f>
        <x:v>5</x:v>
      </x:c>
      <x:c r="R30" s="66" t="str">
        <x:f>IF(O30=0,"가격미확인",IF(Q30&gt;=5,"강한사례",IF(Q30&gt;=3,"경계사례","약한연결")))</x:f>
        <x:v>강한사례</x:v>
      </x:c>
      <x:c r="S30" s="66" t="str">
        <x:v>S20</x:v>
      </x:c>
      <x:c r="T30" s="66" t="str">
        <x:v>https://www.edaily.co.kr/News/Read?mediaCodeNo=257&amp;newsId=01384166642133496</x:v>
      </x:c>
      <x:c r="U30" s="66" t="str">
        <x:v>강한 밈 | 완료 | 계열 파생</x:v>
      </x:c>
    </x:row>
    <x:row r="31">
      <x:c r="A31" s="66" t="str">
        <x:v>KR-M027</x:v>
      </x:c>
      <x:c r="B31" s="66" t="str">
        <x:v>기존 검증원장</x:v>
      </x:c>
      <x:c r="C31" s="66" t="str">
        <x:v>2023</x:v>
      </x:c>
      <x:c r="D31" s="66" t="str">
        <x:v>성인·투자자</x:v>
      </x:c>
      <x:c r="E31" s="66" t="str">
        <x:v>정치·정책·사회</x:v>
      </x:c>
      <x:c r="F31" s="66" t="str">
        <x:v>김동연</x:v>
      </x:c>
      <x:c r="G31" s="66" t="str">
        <x:v>PN풍년</x:v>
      </x:c>
      <x:c r="H31" s="67" t="str">
        <x:v>024940</x:v>
      </x:c>
      <x:c r="I31" s="66" t="str">
        <x:v>KOSDAQ</x:v>
      </x:c>
      <x:c r="J31" s="66" t="str">
        <x:v>미확인</x:v>
      </x:c>
      <x:c r="K31" s="66" t="str">
        <x:v>이틀 사이 상한가와 약 10% 추가 급등</x:v>
      </x:c>
      <x:c r="L31" s="312"/>
      <x:c r="M31" s="336" t="n">
        <x:v>2</x:v>
      </x:c>
      <x:c r="N31" s="336" t="n">
        <x:v>0</x:v>
      </x:c>
      <x:c r="O31" s="336" t="n">
        <x:v>1</x:v>
      </x:c>
      <x:c r="P31" s="336" t="n">
        <x:v>0</x:v>
      </x:c>
      <x:c r="Q31" s="336" t="n">
        <x:f>M31+N31+O31</x:f>
        <x:v>3</x:v>
      </x:c>
      <x:c r="R31" s="66" t="str">
        <x:f>IF(O31=0,"가격미확인",IF(Q31&gt;=5,"강한사례",IF(Q31&gt;=3,"경계사례","약한연결")))</x:f>
        <x:v>경계사례</x:v>
      </x:c>
      <x:c r="S31" s="66" t="str">
        <x:v>S18</x:v>
      </x:c>
      <x:c r="T31" s="66" t="str">
        <x:v>https://www.hankyung.com/article/2024032790396</x:v>
      </x:c>
      <x:c r="U31" s="66" t="str">
        <x:v>강한 밈 | 추가검증 | 정확한 기준가 보강 필요</x:v>
      </x:c>
    </x:row>
    <x:row r="32">
      <x:c r="A32" s="66" t="str">
        <x:v>KR-C001</x:v>
      </x:c>
      <x:c r="B32" s="66" t="str">
        <x:v>기존 검증원장</x:v>
      </x:c>
      <x:c r="C32" s="66" t="str">
        <x:v>2012</x:v>
      </x:c>
      <x:c r="D32" s="66" t="str">
        <x:v>팬덤·전연령</x:v>
      </x:c>
      <x:c r="E32" s="66" t="str">
        <x:v>콘텐츠·팬덤</x:v>
      </x:c>
      <x:c r="F32" s="66" t="str">
        <x:v>싸이 강남스타일</x:v>
      </x:c>
      <x:c r="G32" s="66" t="str">
        <x:v>디아이</x:v>
      </x:c>
      <x:c r="H32" s="67" t="str">
        <x:v>003160</x:v>
      </x:c>
      <x:c r="I32" s="66" t="str">
        <x:v>KOSPI</x:v>
      </x:c>
      <x:c r="J32" s="66" t="str">
        <x:v>상승</x:v>
      </x:c>
      <x:c r="K32" s="66" t="str">
        <x:v>9월 초 대비 약 50%, 이후 4일 연속 상한가</x:v>
      </x:c>
      <x:c r="L32" s="312" t="n">
        <x:v>50</x:v>
      </x:c>
      <x:c r="M32" s="336" t="n">
        <x:v>2</x:v>
      </x:c>
      <x:c r="N32" s="336" t="n">
        <x:v>0</x:v>
      </x:c>
      <x:c r="O32" s="336" t="n">
        <x:v>2</x:v>
      </x:c>
      <x:c r="P32" s="336" t="n">
        <x:v>0</x:v>
      </x:c>
      <x:c r="Q32" s="336" t="n">
        <x:f>M32+N32+O32</x:f>
        <x:v>4</x:v>
      </x:c>
      <x:c r="R32" s="66" t="str">
        <x:f>IF(O32=0,"가격미확인",IF(Q32&gt;=5,"강한사례",IF(Q32&gt;=3,"경계사례","약한연결")))</x:f>
        <x:v>경계사례</x:v>
      </x:c>
      <x:c r="S32" s="66" t="str">
        <x:v>S31;S32</x:v>
      </x:c>
      <x:c r="T32" s="66" t="str">
        <x:v>https://www.hankyung.com/article/2012081486426</x:v>
      </x:c>
      <x:c r="U32" s="66" t="str">
        <x:v>강한 밈 | 완료 | 문화 유행의 대표 사례</x:v>
      </x:c>
    </x:row>
    <x:row r="33">
      <x:c r="A33" s="66" t="str">
        <x:v>KR-P001</x:v>
      </x:c>
      <x:c r="B33" s="66" t="str">
        <x:v>기존 검증원장</x:v>
      </x:c>
      <x:c r="C33" s="66" t="str">
        <x:v>2025</x:v>
      </x:c>
      <x:c r="D33" s="66" t="str">
        <x:v>성인·투자자</x:v>
      </x:c>
      <x:c r="E33" s="66" t="str">
        <x:v>정치·정책·사회</x:v>
      </x:c>
      <x:c r="F33" s="66" t="str">
        <x:v>이재명</x:v>
      </x:c>
      <x:c r="G33" s="66" t="str">
        <x:v>형지I&amp;C</x:v>
      </x:c>
      <x:c r="H33" s="67" t="str">
        <x:v>011080</x:v>
      </x:c>
      <x:c r="I33" s="66" t="str">
        <x:v>KOSDAQ</x:v>
      </x:c>
      <x:c r="J33" s="66" t="str">
        <x:v>상승</x:v>
      </x:c>
      <x:c r="K33" s="66" t="str">
        <x:v>당일 29.94%</x:v>
      </x:c>
      <x:c r="L33" s="312" t="n">
        <x:v>29.94</x:v>
      </x:c>
      <x:c r="M33" s="336" t="n">
        <x:v>2</x:v>
      </x:c>
      <x:c r="N33" s="336" t="n">
        <x:v>1</x:v>
      </x:c>
      <x:c r="O33" s="336" t="n">
        <x:v>2</x:v>
      </x:c>
      <x:c r="P33" s="336" t="n">
        <x:v>0</x:v>
      </x:c>
      <x:c r="Q33" s="336" t="n">
        <x:f>M33+N33+O33</x:f>
        <x:v>5</x:v>
      </x:c>
      <x:c r="R33" s="66" t="str">
        <x:f>IF(O33=0,"가격미확인",IF(Q33&gt;=5,"강한사례",IF(Q33&gt;=3,"경계사례","약한연결")))</x:f>
        <x:v>강한사례</x:v>
      </x:c>
      <x:c r="S33" s="66" t="str">
        <x:v>S07</x:v>
      </x:c>
      <x:c r="T33" s="66" t="str">
        <x:v>https://www.dnews.co.kr/uhtml/view.jsp?idxno=202503271619299530061</x:v>
      </x:c>
      <x:c r="U33" s="66" t="str">
        <x:v>혼합-테마 주도 | 완료 | 정책 기대형</x:v>
      </x:c>
    </x:row>
    <x:row r="34">
      <x:c r="A34" s="66" t="str">
        <x:v>KR-P002</x:v>
      </x:c>
      <x:c r="B34" s="66" t="str">
        <x:v>기존 검증원장</x:v>
      </x:c>
      <x:c r="C34" s="66" t="str">
        <x:v>2025</x:v>
      </x:c>
      <x:c r="D34" s="66" t="str">
        <x:v>성인·투자자</x:v>
      </x:c>
      <x:c r="E34" s="66" t="str">
        <x:v>정치·정책·사회</x:v>
      </x:c>
      <x:c r="F34" s="66" t="str">
        <x:v>이재명</x:v>
      </x:c>
      <x:c r="G34" s="66" t="str">
        <x:v>형지엘리트</x:v>
      </x:c>
      <x:c r="H34" s="67" t="str">
        <x:v>093240</x:v>
      </x:c>
      <x:c r="I34" s="66" t="str">
        <x:v>KOSPI</x:v>
      </x:c>
      <x:c r="J34" s="66" t="str">
        <x:v>상승</x:v>
      </x:c>
      <x:c r="K34" s="66" t="str">
        <x:v>당일 16.48%</x:v>
      </x:c>
      <x:c r="L34" s="312" t="n">
        <x:v>16.48</x:v>
      </x:c>
      <x:c r="M34" s="336" t="n">
        <x:v>2</x:v>
      </x:c>
      <x:c r="N34" s="336" t="n">
        <x:v>1</x:v>
      </x:c>
      <x:c r="O34" s="336" t="n">
        <x:v>2</x:v>
      </x:c>
      <x:c r="P34" s="336" t="n">
        <x:v>0</x:v>
      </x:c>
      <x:c r="Q34" s="336" t="n">
        <x:f>M34+N34+O34</x:f>
        <x:v>5</x:v>
      </x:c>
      <x:c r="R34" s="66" t="str">
        <x:f>IF(O34=0,"가격미확인",IF(Q34&gt;=5,"강한사례",IF(Q34&gt;=3,"경계사례","약한연결")))</x:f>
        <x:v>강한사례</x:v>
      </x:c>
      <x:c r="S34" s="66" t="str">
        <x:v>S07</x:v>
      </x:c>
      <x:c r="T34" s="66" t="str">
        <x:v>https://www.dnews.co.kr/uhtml/view.jsp?idxno=202503271619299530061</x:v>
      </x:c>
      <x:c r="U34" s="66" t="str">
        <x:v>혼합-테마 주도 | 완료 | 사업 접점은 있으나 과잉 기대</x:v>
      </x:c>
    </x:row>
    <x:row r="35">
      <x:c r="A35" s="66" t="str">
        <x:v>KR-P003</x:v>
      </x:c>
      <x:c r="B35" s="66" t="str">
        <x:v>기존 검증원장</x:v>
      </x:c>
      <x:c r="C35" s="66" t="str">
        <x:v>2021</x:v>
      </x:c>
      <x:c r="D35" s="66" t="str">
        <x:v>성인·투자자</x:v>
      </x:c>
      <x:c r="E35" s="66" t="str">
        <x:v>정치·정책·사회</x:v>
      </x:c>
      <x:c r="F35" s="66" t="str">
        <x:v>이재명</x:v>
      </x:c>
      <x:c r="G35" s="66" t="str">
        <x:v>이스타코</x:v>
      </x:c>
      <x:c r="H35" s="67" t="str">
        <x:v>015020</x:v>
      </x:c>
      <x:c r="I35" s="66" t="str">
        <x:v>KOSPI</x:v>
      </x:c>
      <x:c r="J35" s="66" t="str">
        <x:v>미확인</x:v>
      </x:c>
      <x:c r="K35" s="66" t="str">
        <x:v>정치 뉴스에 반복 급등락</x:v>
      </x:c>
      <x:c r="L35" s="312"/>
      <x:c r="M35" s="336" t="n">
        <x:v>2</x:v>
      </x:c>
      <x:c r="N35" s="336" t="n">
        <x:v>1</x:v>
      </x:c>
      <x:c r="O35" s="336" t="n">
        <x:v>1</x:v>
      </x:c>
      <x:c r="P35" s="336" t="n">
        <x:v>0</x:v>
      </x:c>
      <x:c r="Q35" s="336" t="n">
        <x:f>M35+N35+O35</x:f>
        <x:v>4</x:v>
      </x:c>
      <x:c r="R35" s="66" t="str">
        <x:f>IF(O35=0,"가격미확인",IF(Q35&gt;=5,"강한사례",IF(Q35&gt;=3,"경계사례","약한연결")))</x:f>
        <x:v>경계사례</x:v>
      </x:c>
      <x:c r="S35" s="66" t="str">
        <x:v>S07;S17</x:v>
      </x:c>
      <x:c r="T35" s="66" t="str">
        <x:v>https://www.dnews.co.kr/uhtml/view.jsp?idxno=202503271619299530061</x:v>
      </x:c>
      <x:c r="U35" s="66" t="str">
        <x:v>혼합-테마 주도 | 추가검증 | 가격 구간 보강 필요</x:v>
      </x:c>
    </x:row>
    <x:row r="36">
      <x:c r="A36" s="66" t="str">
        <x:v>KR-P004</x:v>
      </x:c>
      <x:c r="B36" s="66" t="str">
        <x:v>기존 검증원장</x:v>
      </x:c>
      <x:c r="C36" s="66" t="str">
        <x:v>2025</x:v>
      </x:c>
      <x:c r="D36" s="66" t="str">
        <x:v>성인·투자자</x:v>
      </x:c>
      <x:c r="E36" s="66" t="str">
        <x:v>정치·정책·사회</x:v>
      </x:c>
      <x:c r="F36" s="66" t="str">
        <x:v>이재명</x:v>
      </x:c>
      <x:c r="G36" s="66" t="str">
        <x:v>일성건설</x:v>
      </x:c>
      <x:c r="H36" s="67" t="str">
        <x:v>013360</x:v>
      </x:c>
      <x:c r="I36" s="66" t="str">
        <x:v>KOSPI</x:v>
      </x:c>
      <x:c r="J36" s="66" t="str">
        <x:v>상승</x:v>
      </x:c>
      <x:c r="K36" s="66" t="str">
        <x:v>당일 2.35%</x:v>
      </x:c>
      <x:c r="L36" s="312" t="n">
        <x:v>2.35</x:v>
      </x:c>
      <x:c r="M36" s="336" t="n">
        <x:v>2</x:v>
      </x:c>
      <x:c r="N36" s="336" t="n">
        <x:v>1</x:v>
      </x:c>
      <x:c r="O36" s="336" t="n">
        <x:v>2</x:v>
      </x:c>
      <x:c r="P36" s="336" t="n">
        <x:v>0</x:v>
      </x:c>
      <x:c r="Q36" s="336" t="n">
        <x:f>M36+N36+O36</x:f>
        <x:v>5</x:v>
      </x:c>
      <x:c r="R36" s="66" t="str">
        <x:f>IF(O36=0,"가격미확인",IF(Q36&gt;=5,"강한사례",IF(Q36&gt;=3,"경계사례","약한연결")))</x:f>
        <x:v>강한사례</x:v>
      </x:c>
      <x:c r="S36" s="66" t="str">
        <x:v>S07</x:v>
      </x:c>
      <x:c r="T36" s="66" t="str">
        <x:v>https://www.dnews.co.kr/uhtml/view.jsp?idxno=202503271619299530061</x:v>
      </x:c>
      <x:c r="U36" s="66" t="str">
        <x:v>혼합-테마 주도 | 완료 | 업종 접점형</x:v>
      </x:c>
    </x:row>
    <x:row r="37">
      <x:c r="A37" s="66" t="str">
        <x:v>KR-P005</x:v>
      </x:c>
      <x:c r="B37" s="66" t="str">
        <x:v>기존 검증원장</x:v>
      </x:c>
      <x:c r="C37" s="66" t="str">
        <x:v>2007</x:v>
      </x:c>
      <x:c r="D37" s="66" t="str">
        <x:v>성인·투자자</x:v>
      </x:c>
      <x:c r="E37" s="66" t="str">
        <x:v>정치·정책·사회</x:v>
      </x:c>
      <x:c r="F37" s="66" t="str">
        <x:v>이명박</x:v>
      </x:c>
      <x:c r="G37" s="66" t="str">
        <x:v>이화공영</x:v>
      </x:c>
      <x:c r="H37" s="67" t="str">
        <x:v>001840</x:v>
      </x:c>
      <x:c r="I37" s="66" t="str">
        <x:v>KOSDAQ</x:v>
      </x:c>
      <x:c r="J37" s="66" t="str">
        <x:v>상승</x:v>
      </x:c>
      <x:c r="K37" s="66" t="str">
        <x:v>1,835원→67,400원, 3,673%</x:v>
      </x:c>
      <x:c r="L37" s="312" t="n">
        <x:v>3673</x:v>
      </x:c>
      <x:c r="M37" s="336" t="n">
        <x:v>2</x:v>
      </x:c>
      <x:c r="N37" s="336" t="n">
        <x:v>1</x:v>
      </x:c>
      <x:c r="O37" s="336" t="n">
        <x:v>2</x:v>
      </x:c>
      <x:c r="P37" s="336" t="n">
        <x:v>1</x:v>
      </x:c>
      <x:c r="Q37" s="336" t="n">
        <x:f>M37+N37+O37</x:f>
        <x:v>5</x:v>
      </x:c>
      <x:c r="R37" s="66" t="str">
        <x:f>IF(O37=0,"가격미확인",IF(Q37&gt;=5,"강한사례",IF(Q37&gt;=3,"경계사례","약한연결")))</x:f>
        <x:v>강한사례</x:v>
      </x:c>
      <x:c r="S37" s="66" t="str">
        <x:v>S21;S22</x:v>
      </x:c>
      <x:c r="T37" s="66" t="str">
        <x:v>https://www.yna.co.kr/view/AKR20120114051600008</x:v>
      </x:c>
      <x:c r="U37" s="66" t="str">
        <x:v>혼합-테마 주도 | 완료 | 정책 테마 역사적 최대급</x:v>
      </x:c>
    </x:row>
    <x:row r="38">
      <x:c r="A38" s="66" t="str">
        <x:v>KR-P006</x:v>
      </x:c>
      <x:c r="B38" s="66" t="str">
        <x:v>기존 검증원장</x:v>
      </x:c>
      <x:c r="C38" s="66" t="str">
        <x:v>2007</x:v>
      </x:c>
      <x:c r="D38" s="66" t="str">
        <x:v>성인·투자자</x:v>
      </x:c>
      <x:c r="E38" s="66" t="str">
        <x:v>정치·정책·사회</x:v>
      </x:c>
      <x:c r="F38" s="66" t="str">
        <x:v>이명박</x:v>
      </x:c>
      <x:c r="G38" s="66" t="str">
        <x:v>특수건설</x:v>
      </x:c>
      <x:c r="H38" s="67" t="str">
        <x:v>026150</x:v>
      </x:c>
      <x:c r="I38" s="66" t="str">
        <x:v>KOSDAQ</x:v>
      </x:c>
      <x:c r="J38" s="66" t="str">
        <x:v>상승</x:v>
      </x:c>
      <x:c r="K38" s="66" t="str">
        <x:v>2007년 약 6배</x:v>
      </x:c>
      <x:c r="L38" s="312" t="n">
        <x:v>500</x:v>
      </x:c>
      <x:c r="M38" s="336" t="n">
        <x:v>2</x:v>
      </x:c>
      <x:c r="N38" s="336" t="n">
        <x:v>1</x:v>
      </x:c>
      <x:c r="O38" s="336" t="n">
        <x:v>2</x:v>
      </x:c>
      <x:c r="P38" s="336" t="n">
        <x:v>1</x:v>
      </x:c>
      <x:c r="Q38" s="336" t="n">
        <x:f>M38+N38+O38</x:f>
        <x:v>5</x:v>
      </x:c>
      <x:c r="R38" s="66" t="str">
        <x:f>IF(O38=0,"가격미확인",IF(Q38&gt;=5,"강한사례",IF(Q38&gt;=3,"경계사례","약한연결")))</x:f>
        <x:v>강한사례</x:v>
      </x:c>
      <x:c r="S38" s="66" t="str">
        <x:v>S21;S22</x:v>
      </x:c>
      <x:c r="T38" s="66" t="str">
        <x:v>https://www.yna.co.kr/view/AKR20120114051600008</x:v>
      </x:c>
      <x:c r="U38" s="66" t="str">
        <x:v>혼합-테마 주도 | 완료 | 당선 뒤 급락</x:v>
      </x:c>
    </x:row>
    <x:row r="39">
      <x:c r="A39" s="66" t="str">
        <x:v>KR-P007</x:v>
      </x:c>
      <x:c r="B39" s="66" t="str">
        <x:v>기존 검증원장</x:v>
      </x:c>
      <x:c r="C39" s="66" t="str">
        <x:v>2007</x:v>
      </x:c>
      <x:c r="D39" s="66" t="str">
        <x:v>성인·투자자</x:v>
      </x:c>
      <x:c r="E39" s="66" t="str">
        <x:v>정치·정책·사회</x:v>
      </x:c>
      <x:c r="F39" s="66" t="str">
        <x:v>이명박</x:v>
      </x:c>
      <x:c r="G39" s="66" t="str">
        <x:v>삼호개발</x:v>
      </x:c>
      <x:c r="H39" s="67" t="str">
        <x:v>010960</x:v>
      </x:c>
      <x:c r="I39" s="66" t="str">
        <x:v>KOSPI</x:v>
      </x:c>
      <x:c r="J39" s="66" t="str">
        <x:v>미확인</x:v>
      </x:c>
      <x:c r="K39" s="66" t="str">
        <x:v>대표 테마주로 급등 뒤 당선 다음날 하한가</x:v>
      </x:c>
      <x:c r="L39" s="312"/>
      <x:c r="M39" s="336" t="n">
        <x:v>2</x:v>
      </x:c>
      <x:c r="N39" s="336" t="n">
        <x:v>1</x:v>
      </x:c>
      <x:c r="O39" s="336" t="n">
        <x:v>1</x:v>
      </x:c>
      <x:c r="P39" s="336" t="n">
        <x:v>1</x:v>
      </x:c>
      <x:c r="Q39" s="336" t="n">
        <x:f>M39+N39+O39</x:f>
        <x:v>4</x:v>
      </x:c>
      <x:c r="R39" s="66" t="str">
        <x:f>IF(O39=0,"가격미확인",IF(Q39&gt;=5,"강한사례",IF(Q39&gt;=3,"경계사례","약한연결")))</x:f>
        <x:v>경계사례</x:v>
      </x:c>
      <x:c r="S39" s="66" t="str">
        <x:v>S21</x:v>
      </x:c>
      <x:c r="T39" s="66" t="str">
        <x:v>https://www.yna.co.kr/view/AKR20120114051600008</x:v>
      </x:c>
      <x:c r="U39" s="66" t="str">
        <x:v>혼합-테마 주도 | 완료 | 정책 소멸</x:v>
      </x:c>
    </x:row>
    <x:row r="40">
      <x:c r="A40" s="66" t="str">
        <x:v>KR-P008</x:v>
      </x:c>
      <x:c r="B40" s="66" t="str">
        <x:v>기존 검증원장</x:v>
      </x:c>
      <x:c r="C40" s="66" t="str">
        <x:v>2007</x:v>
      </x:c>
      <x:c r="D40" s="66" t="str">
        <x:v>성인·투자자</x:v>
      </x:c>
      <x:c r="E40" s="66" t="str">
        <x:v>정치·정책·사회</x:v>
      </x:c>
      <x:c r="F40" s="66" t="str">
        <x:v>이명박</x:v>
      </x:c>
      <x:c r="G40" s="66" t="str">
        <x:v>홈센타홀딩스(당시 홈센타)</x:v>
      </x:c>
      <x:c r="H40" s="67" t="str">
        <x:v>060560</x:v>
      </x:c>
      <x:c r="I40" s="66" t="str">
        <x:v>KOSDAQ</x:v>
      </x:c>
      <x:c r="J40" s="66" t="str">
        <x:v>미확인</x:v>
      </x:c>
      <x:c r="K40" s="66" t="str">
        <x:v>대표 테마주로 급등 뒤 급락</x:v>
      </x:c>
      <x:c r="L40" s="312"/>
      <x:c r="M40" s="336" t="n">
        <x:v>2</x:v>
      </x:c>
      <x:c r="N40" s="336" t="n">
        <x:v>1</x:v>
      </x:c>
      <x:c r="O40" s="336" t="n">
        <x:v>1</x:v>
      </x:c>
      <x:c r="P40" s="336" t="n">
        <x:v>1</x:v>
      </x:c>
      <x:c r="Q40" s="336" t="n">
        <x:f>M40+N40+O40</x:f>
        <x:v>4</x:v>
      </x:c>
      <x:c r="R40" s="66" t="str">
        <x:f>IF(O40=0,"가격미확인",IF(Q40&gt;=5,"강한사례",IF(Q40&gt;=3,"경계사례","약한연결")))</x:f>
        <x:v>경계사례</x:v>
      </x:c>
      <x:c r="S40" s="66" t="str">
        <x:v>S21;S22</x:v>
      </x:c>
      <x:c r="T40" s="66" t="str">
        <x:v>https://www.yna.co.kr/view/AKR20120114051600008</x:v>
      </x:c>
      <x:c r="U40" s="66" t="str">
        <x:v>혼합-테마 주도 | 완료 | 당시 사명 기준</x:v>
      </x:c>
    </x:row>
    <x:row r="41">
      <x:c r="A41" s="66" t="str">
        <x:v>KR-P009</x:v>
      </x:c>
      <x:c r="B41" s="66" t="str">
        <x:v>기존 검증원장</x:v>
      </x:c>
      <x:c r="C41" s="66" t="str">
        <x:v>2007</x:v>
      </x:c>
      <x:c r="D41" s="66" t="str">
        <x:v>성인·투자자</x:v>
      </x:c>
      <x:c r="E41" s="66" t="str">
        <x:v>정치·정책·사회</x:v>
      </x:c>
      <x:c r="F41" s="66" t="str">
        <x:v>이명박</x:v>
      </x:c>
      <x:c r="G41" s="66" t="str">
        <x:v>자연과환경</x:v>
      </x:c>
      <x:c r="H41" s="67" t="str">
        <x:v>043910</x:v>
      </x:c>
      <x:c r="I41" s="66" t="str">
        <x:v>KOSDAQ</x:v>
      </x:c>
      <x:c r="J41" s="66" t="str">
        <x:v>미확인</x:v>
      </x:c>
      <x:c r="K41" s="66" t="str">
        <x:v>중소형 4대강 테마로 급등</x:v>
      </x:c>
      <x:c r="L41" s="312"/>
      <x:c r="M41" s="336" t="n">
        <x:v>2</x:v>
      </x:c>
      <x:c r="N41" s="336" t="n">
        <x:v>1</x:v>
      </x:c>
      <x:c r="O41" s="336" t="n">
        <x:v>1</x:v>
      </x:c>
      <x:c r="P41" s="336" t="n">
        <x:v>1</x:v>
      </x:c>
      <x:c r="Q41" s="336" t="n">
        <x:f>M41+N41+O41</x:f>
        <x:v>4</x:v>
      </x:c>
      <x:c r="R41" s="66" t="str">
        <x:f>IF(O41=0,"가격미확인",IF(Q41&gt;=5,"강한사례",IF(Q41&gt;=3,"경계사례","약한연결")))</x:f>
        <x:v>경계사례</x:v>
      </x:c>
      <x:c r="S41" s="66" t="str">
        <x:v>S22</x:v>
      </x:c>
      <x:c r="T41" s="66" t="str">
        <x:v>https://www.asiae.co.kr/article/2023011117055069313</x:v>
      </x:c>
      <x:c r="U41" s="66" t="str">
        <x:v>혼합-테마 주도 | 완료 | 업종 접점형</x:v>
      </x:c>
    </x:row>
    <x:row r="42">
      <x:c r="A42" s="66" t="str">
        <x:v>KR-P010</x:v>
      </x:c>
      <x:c r="B42" s="66" t="str">
        <x:v>기존 검증원장</x:v>
      </x:c>
      <x:c r="C42" s="66" t="str">
        <x:v>2018</x:v>
      </x:c>
      <x:c r="D42" s="66" t="str">
        <x:v>성인·투자자</x:v>
      </x:c>
      <x:c r="E42" s="66" t="str">
        <x:v>정치·정책·사회</x:v>
      </x:c>
      <x:c r="F42" s="66" t="str">
        <x:v>정상회담</x:v>
      </x:c>
      <x:c r="G42" s="66" t="str">
        <x:v>좋은사람들</x:v>
      </x:c>
      <x:c r="H42" s="67" t="str">
        <x:v>033340</x:v>
      </x:c>
      <x:c r="I42" s="66" t="str">
        <x:v>KOSDAQ</x:v>
      </x:c>
      <x:c r="J42" s="66" t="str">
        <x:v>상승</x:v>
      </x:c>
      <x:c r="K42" s="66" t="str">
        <x:v>당일 25.95%</x:v>
      </x:c>
      <x:c r="L42" s="312" t="n">
        <x:v>25.95</x:v>
      </x:c>
      <x:c r="M42" s="336" t="n">
        <x:v>2</x:v>
      </x:c>
      <x:c r="N42" s="336" t="n">
        <x:v>1</x:v>
      </x:c>
      <x:c r="O42" s="336" t="n">
        <x:v>2</x:v>
      </x:c>
      <x:c r="P42" s="336" t="n">
        <x:v>1</x:v>
      </x:c>
      <x:c r="Q42" s="336" t="n">
        <x:f>M42+N42+O42</x:f>
        <x:v>5</x:v>
      </x:c>
      <x:c r="R42" s="66" t="str">
        <x:f>IF(O42=0,"가격미확인",IF(Q42&gt;=5,"강한사례",IF(Q42&gt;=3,"경계사례","약한연결")))</x:f>
        <x:v>강한사례</x:v>
      </x:c>
      <x:c r="S42" s="66" t="str">
        <x:v>S23;S24</x:v>
      </x:c>
      <x:c r="T42" s="66" t="str">
        <x:v>https://www.hankyung.com/article/2018041836011</x:v>
      </x:c>
      <x:c r="U42" s="66" t="str">
        <x:v>혼합-테마 주도 | 완료 | 정책 현실화 전 기대</x:v>
      </x:c>
    </x:row>
    <x:row r="43">
      <x:c r="A43" s="66" t="str">
        <x:v>KR-P011</x:v>
      </x:c>
      <x:c r="B43" s="66" t="str">
        <x:v>기존 검증원장</x:v>
      </x:c>
      <x:c r="C43" s="66" t="str">
        <x:v>2018</x:v>
      </x:c>
      <x:c r="D43" s="66" t="str">
        <x:v>성인·투자자</x:v>
      </x:c>
      <x:c r="E43" s="66" t="str">
        <x:v>정치·정책·사회</x:v>
      </x:c>
      <x:c r="F43" s="66" t="str">
        <x:v>정상회담</x:v>
      </x:c>
      <x:c r="G43" s="66" t="str">
        <x:v>대아티아이</x:v>
      </x:c>
      <x:c r="H43" s="67" t="str">
        <x:v>045390</x:v>
      </x:c>
      <x:c r="I43" s="66" t="str">
        <x:v>KOSDAQ</x:v>
      </x:c>
      <x:c r="J43" s="66" t="str">
        <x:v>상승</x:v>
      </x:c>
      <x:c r="K43" s="66" t="str">
        <x:v>3월부터 기사 시점까지 55.8%</x:v>
      </x:c>
      <x:c r="L43" s="312" t="n">
        <x:v>55.8</x:v>
      </x:c>
      <x:c r="M43" s="336" t="n">
        <x:v>2</x:v>
      </x:c>
      <x:c r="N43" s="336" t="n">
        <x:v>1</x:v>
      </x:c>
      <x:c r="O43" s="336" t="n">
        <x:v>2</x:v>
      </x:c>
      <x:c r="P43" s="336" t="n">
        <x:v>1</x:v>
      </x:c>
      <x:c r="Q43" s="336" t="n">
        <x:f>M43+N43+O43</x:f>
        <x:v>5</x:v>
      </x:c>
      <x:c r="R43" s="66" t="str">
        <x:f>IF(O43=0,"가격미확인",IF(Q43&gt;=5,"강한사례",IF(Q43&gt;=3,"경계사례","약한연결")))</x:f>
        <x:v>강한사례</x:v>
      </x:c>
      <x:c r="S43" s="66" t="str">
        <x:v>S23;S24</x:v>
      </x:c>
      <x:c r="T43" s="66" t="str">
        <x:v>https://www.hankyung.com/article/2018041836011</x:v>
      </x:c>
      <x:c r="U43" s="66" t="str">
        <x:v>혼합-테마 주도 | 완료 | 업종 접점형</x:v>
      </x:c>
    </x:row>
    <x:row r="44">
      <x:c r="A44" s="66" t="str">
        <x:v>KR-P012</x:v>
      </x:c>
      <x:c r="B44" s="66" t="str">
        <x:v>기존 검증원장</x:v>
      </x:c>
      <x:c r="C44" s="66" t="str">
        <x:v>2018</x:v>
      </x:c>
      <x:c r="D44" s="66" t="str">
        <x:v>성인·투자자</x:v>
      </x:c>
      <x:c r="E44" s="66" t="str">
        <x:v>정치·정책·사회</x:v>
      </x:c>
      <x:c r="F44" s="66" t="str">
        <x:v>정상회담</x:v>
      </x:c>
      <x:c r="G44" s="66" t="str">
        <x:v>대호에이엘</x:v>
      </x:c>
      <x:c r="H44" s="67" t="str">
        <x:v>069460</x:v>
      </x:c>
      <x:c r="I44" s="66" t="str">
        <x:v>KOSPI</x:v>
      </x:c>
      <x:c r="J44" s="66" t="str">
        <x:v>상승</x:v>
      </x:c>
      <x:c r="K44" s="66" t="str">
        <x:v>3월부터 기사 시점까지 151.3%</x:v>
      </x:c>
      <x:c r="L44" s="312" t="n">
        <x:v>151.3</x:v>
      </x:c>
      <x:c r="M44" s="336" t="n">
        <x:v>2</x:v>
      </x:c>
      <x:c r="N44" s="336" t="n">
        <x:v>1</x:v>
      </x:c>
      <x:c r="O44" s="336" t="n">
        <x:v>2</x:v>
      </x:c>
      <x:c r="P44" s="336" t="n">
        <x:v>1</x:v>
      </x:c>
      <x:c r="Q44" s="336" t="n">
        <x:f>M44+N44+O44</x:f>
        <x:v>5</x:v>
      </x:c>
      <x:c r="R44" s="66" t="str">
        <x:f>IF(O44=0,"가격미확인",IF(Q44&gt;=5,"강한사례",IF(Q44&gt;=3,"경계사례","약한연결")))</x:f>
        <x:v>강한사례</x:v>
      </x:c>
      <x:c r="S44" s="66" t="str">
        <x:v>S23;S24</x:v>
      </x:c>
      <x:c r="T44" s="66" t="str">
        <x:v>https://www.hankyung.com/article/2018041836011</x:v>
      </x:c>
      <x:c r="U44" s="66" t="str">
        <x:v>혼합-테마 주도 | 완료 | 업종 접점형</x:v>
      </x:c>
    </x:row>
    <x:row r="45">
      <x:c r="A45" s="66" t="str">
        <x:v>KR-P013</x:v>
      </x:c>
      <x:c r="B45" s="66" t="str">
        <x:v>기존 검증원장</x:v>
      </x:c>
      <x:c r="C45" s="66" t="str">
        <x:v>2018</x:v>
      </x:c>
      <x:c r="D45" s="66" t="str">
        <x:v>성인·투자자</x:v>
      </x:c>
      <x:c r="E45" s="66" t="str">
        <x:v>정치·정책·사회</x:v>
      </x:c>
      <x:c r="F45" s="66" t="str">
        <x:v>정상회담</x:v>
      </x:c>
      <x:c r="G45" s="66" t="str">
        <x:v>아난티</x:v>
      </x:c>
      <x:c r="H45" s="67" t="str">
        <x:v>025980</x:v>
      </x:c>
      <x:c r="I45" s="66" t="str">
        <x:v>KOSDAQ</x:v>
      </x:c>
      <x:c r="J45" s="66" t="str">
        <x:v>미확인</x:v>
      </x:c>
      <x:c r="K45" s="66" t="str">
        <x:v>정상회담 기대 때 반복 급등</x:v>
      </x:c>
      <x:c r="L45" s="312"/>
      <x:c r="M45" s="336" t="n">
        <x:v>2</x:v>
      </x:c>
      <x:c r="N45" s="336" t="n">
        <x:v>1</x:v>
      </x:c>
      <x:c r="O45" s="336" t="n">
        <x:v>1</x:v>
      </x:c>
      <x:c r="P45" s="336" t="n">
        <x:v>1</x:v>
      </x:c>
      <x:c r="Q45" s="336" t="n">
        <x:f>M45+N45+O45</x:f>
        <x:v>4</x:v>
      </x:c>
      <x:c r="R45" s="66" t="str">
        <x:f>IF(O45=0,"가격미확인",IF(Q45&gt;=5,"강한사례",IF(Q45&gt;=3,"경계사례","약한연결")))</x:f>
        <x:v>경계사례</x:v>
      </x:c>
      <x:c r="S45" s="66" t="str">
        <x:v>S23;S24</x:v>
      </x:c>
      <x:c r="T45" s="66" t="str">
        <x:v>https://www.hankyung.com/article/2018041836011</x:v>
      </x:c>
      <x:c r="U45" s="66" t="str">
        <x:v>혼합-테마 주도 | 완료 | 실질 연결이 있는 혼합형</x:v>
      </x:c>
    </x:row>
    <x:row r="46">
      <x:c r="A46" s="66" t="str">
        <x:v>KR-P014</x:v>
      </x:c>
      <x:c r="B46" s="66" t="str">
        <x:v>기존 검증원장</x:v>
      </x:c>
      <x:c r="C46" s="66" t="str">
        <x:v>2018</x:v>
      </x:c>
      <x:c r="D46" s="66" t="str">
        <x:v>성인·투자자</x:v>
      </x:c>
      <x:c r="E46" s="66" t="str">
        <x:v>정치·정책·사회</x:v>
      </x:c>
      <x:c r="F46" s="66" t="str">
        <x:v>정상회담</x:v>
      </x:c>
      <x:c r="G46" s="66" t="str">
        <x:v>신원</x:v>
      </x:c>
      <x:c r="H46" s="67" t="str">
        <x:v>009270</x:v>
      </x:c>
      <x:c r="I46" s="66" t="str">
        <x:v>KOSPI</x:v>
      </x:c>
      <x:c r="J46" s="66" t="str">
        <x:v>미확인</x:v>
      </x:c>
      <x:c r="K46" s="66" t="str">
        <x:v>남북경협주 동반 급등</x:v>
      </x:c>
      <x:c r="L46" s="312"/>
      <x:c r="M46" s="336" t="n">
        <x:v>2</x:v>
      </x:c>
      <x:c r="N46" s="336" t="n">
        <x:v>1</x:v>
      </x:c>
      <x:c r="O46" s="336" t="n">
        <x:v>1</x:v>
      </x:c>
      <x:c r="P46" s="336" t="n">
        <x:v>1</x:v>
      </x:c>
      <x:c r="Q46" s="336" t="n">
        <x:f>M46+N46+O46</x:f>
        <x:v>4</x:v>
      </x:c>
      <x:c r="R46" s="66" t="str">
        <x:f>IF(O46=0,"가격미확인",IF(Q46&gt;=5,"강한사례",IF(Q46&gt;=3,"경계사례","약한연결")))</x:f>
        <x:v>경계사례</x:v>
      </x:c>
      <x:c r="S46" s="66" t="str">
        <x:v>S23</x:v>
      </x:c>
      <x:c r="T46" s="66" t="str">
        <x:v>https://www.hankyung.com/article/2018041836011</x:v>
      </x:c>
      <x:c r="U46" s="66" t="str">
        <x:v>혼합-테마 주도 | 완료 | 실질 연결이 있는 혼합형</x:v>
      </x:c>
    </x:row>
    <x:row r="47">
      <x:c r="A47" s="66" t="str">
        <x:v>KR-P015</x:v>
      </x:c>
      <x:c r="B47" s="66" t="str">
        <x:v>기존 검증원장</x:v>
      </x:c>
      <x:c r="C47" s="66" t="str">
        <x:v>2020</x:v>
      </x:c>
      <x:c r="D47" s="66" t="str">
        <x:v>성인·투자자</x:v>
      </x:c>
      <x:c r="E47" s="66" t="str">
        <x:v>정치·정책·사회</x:v>
      </x:c>
      <x:c r="F47" s="66" t="str">
        <x:v>가덕도 특별법</x:v>
      </x:c>
      <x:c r="G47" s="66" t="str">
        <x:v>영화금속</x:v>
      </x:c>
      <x:c r="H47" s="67" t="str">
        <x:v>012280</x:v>
      </x:c>
      <x:c r="I47" s="66" t="str">
        <x:v>KOSPI</x:v>
      </x:c>
      <x:c r="J47" s="66" t="str">
        <x:v>하락</x:v>
      </x:c>
      <x:c r="K47" s="66" t="str">
        <x:v>법 통과 후 -14.44%로 상승분 반납</x:v>
      </x:c>
      <x:c r="L47" s="312" t="n">
        <x:v>-14.44</x:v>
      </x:c>
      <x:c r="M47" s="336" t="n">
        <x:v>2</x:v>
      </x:c>
      <x:c r="N47" s="336" t="n">
        <x:v>1</x:v>
      </x:c>
      <x:c r="O47" s="336" t="n">
        <x:v>2</x:v>
      </x:c>
      <x:c r="P47" s="336" t="n">
        <x:v>0</x:v>
      </x:c>
      <x:c r="Q47" s="336" t="n">
        <x:f>M47+N47+O47</x:f>
        <x:v>5</x:v>
      </x:c>
      <x:c r="R47" s="66" t="str">
        <x:f>IF(O47=0,"가격미확인",IF(Q47&gt;=5,"강한사례",IF(Q47&gt;=3,"경계사례","약한연결")))</x:f>
        <x:v>강한사례</x:v>
      </x:c>
      <x:c r="S47" s="66" t="str">
        <x:v>S25</x:v>
      </x:c>
      <x:c r="T47" s="66" t="str">
        <x:v>https://www.newstomato.com/ReadNews.aspx?no=1030362</x:v>
      </x:c>
      <x:c r="U47" s="66" t="str">
        <x:v>혼합-테마 주도 | 완료 | 지리적 인접성</x:v>
      </x:c>
    </x:row>
    <x:row r="48">
      <x:c r="A48" s="66" t="str">
        <x:v>KR-P016</x:v>
      </x:c>
      <x:c r="B48" s="66" t="str">
        <x:v>기존 검증원장</x:v>
      </x:c>
      <x:c r="C48" s="66" t="str">
        <x:v>2020</x:v>
      </x:c>
      <x:c r="D48" s="66" t="str">
        <x:v>성인·투자자</x:v>
      </x:c>
      <x:c r="E48" s="66" t="str">
        <x:v>정치·정책·사회</x:v>
      </x:c>
      <x:c r="F48" s="66" t="str">
        <x:v>가덕도 특별법</x:v>
      </x:c>
      <x:c r="G48" s="66" t="str">
        <x:v>동방선기</x:v>
      </x:c>
      <x:c r="H48" s="67" t="str">
        <x:v>099410</x:v>
      </x:c>
      <x:c r="I48" s="66" t="str">
        <x:v>KOSDAQ</x:v>
      </x:c>
      <x:c r="J48" s="66" t="str">
        <x:v>하락</x:v>
      </x:c>
      <x:c r="K48" s="66" t="str">
        <x:v>법 통과 후 -15.88%로 상승분 반납</x:v>
      </x:c>
      <x:c r="L48" s="312" t="n">
        <x:v>-15.88</x:v>
      </x:c>
      <x:c r="M48" s="336" t="n">
        <x:v>2</x:v>
      </x:c>
      <x:c r="N48" s="336" t="n">
        <x:v>1</x:v>
      </x:c>
      <x:c r="O48" s="336" t="n">
        <x:v>2</x:v>
      </x:c>
      <x:c r="P48" s="336" t="n">
        <x:v>0</x:v>
      </x:c>
      <x:c r="Q48" s="336" t="n">
        <x:f>M48+N48+O48</x:f>
        <x:v>5</x:v>
      </x:c>
      <x:c r="R48" s="66" t="str">
        <x:f>IF(O48=0,"가격미확인",IF(Q48&gt;=5,"강한사례",IF(Q48&gt;=3,"경계사례","약한연결")))</x:f>
        <x:v>강한사례</x:v>
      </x:c>
      <x:c r="S48" s="66" t="str">
        <x:v>S25</x:v>
      </x:c>
      <x:c r="T48" s="66" t="str">
        <x:v>https://www.newstomato.com/ReadNews.aspx?no=1030362</x:v>
      </x:c>
      <x:c r="U48" s="66" t="str">
        <x:v>혼합-테마 주도 | 완료 | 지리적 인접성</x:v>
      </x:c>
    </x:row>
    <x:row r="49">
      <x:c r="A49" s="66" t="str">
        <x:v>KR-P017</x:v>
      </x:c>
      <x:c r="B49" s="66" t="str">
        <x:v>기존 검증원장</x:v>
      </x:c>
      <x:c r="C49" s="66" t="str">
        <x:v>2020</x:v>
      </x:c>
      <x:c r="D49" s="66" t="str">
        <x:v>성인·투자자</x:v>
      </x:c>
      <x:c r="E49" s="66" t="str">
        <x:v>정치·정책·사회</x:v>
      </x:c>
      <x:c r="F49" s="66" t="str">
        <x:v>가덕도 특별법</x:v>
      </x:c>
      <x:c r="G49" s="66" t="str">
        <x:v>삼보산업</x:v>
      </x:c>
      <x:c r="H49" s="67" t="str">
        <x:v>009620</x:v>
      </x:c>
      <x:c r="I49" s="66" t="str">
        <x:v>KOSDAQ</x:v>
      </x:c>
      <x:c r="J49" s="66" t="str">
        <x:v>하락</x:v>
      </x:c>
      <x:c r="K49" s="66" t="str">
        <x:v>법 통과 후 -16.62%로 상승분 반납</x:v>
      </x:c>
      <x:c r="L49" s="312" t="n">
        <x:v>-16.62</x:v>
      </x:c>
      <x:c r="M49" s="336" t="n">
        <x:v>2</x:v>
      </x:c>
      <x:c r="N49" s="336" t="n">
        <x:v>1</x:v>
      </x:c>
      <x:c r="O49" s="336" t="n">
        <x:v>2</x:v>
      </x:c>
      <x:c r="P49" s="336" t="n">
        <x:v>0</x:v>
      </x:c>
      <x:c r="Q49" s="336" t="n">
        <x:f>M49+N49+O49</x:f>
        <x:v>5</x:v>
      </x:c>
      <x:c r="R49" s="66" t="str">
        <x:f>IF(O49=0,"가격미확인",IF(Q49&gt;=5,"강한사례",IF(Q49&gt;=3,"경계사례","약한연결")))</x:f>
        <x:v>강한사례</x:v>
      </x:c>
      <x:c r="S49" s="66" t="str">
        <x:v>S25</x:v>
      </x:c>
      <x:c r="T49" s="66" t="str">
        <x:v>https://www.newstomato.com/ReadNews.aspx?no=1030362</x:v>
      </x:c>
      <x:c r="U49" s="66" t="str">
        <x:v>혼합-테마 주도 | 완료 | 지역 테마</x:v>
      </x:c>
    </x:row>
    <x:row r="50">
      <x:c r="A50" s="66" t="str">
        <x:v>KR-P018</x:v>
      </x:c>
      <x:c r="B50" s="66" t="str">
        <x:v>기존 검증원장</x:v>
      </x:c>
      <x:c r="C50" s="66" t="str">
        <x:v>2025</x:v>
      </x:c>
      <x:c r="D50" s="66" t="str">
        <x:v>성인·투자자</x:v>
      </x:c>
      <x:c r="E50" s="66" t="str">
        <x:v>정치·정책·사회</x:v>
      </x:c>
      <x:c r="F50" s="66" t="str">
        <x:v>세종 이전</x:v>
      </x:c>
      <x:c r="G50" s="66" t="str">
        <x:v>프럼파스트</x:v>
      </x:c>
      <x:c r="H50" s="67" t="str">
        <x:v>035200</x:v>
      </x:c>
      <x:c r="I50" s="66" t="str">
        <x:v>KOSDAQ</x:v>
      </x:c>
      <x:c r="J50" s="66" t="str">
        <x:v>상승</x:v>
      </x:c>
      <x:c r="K50" s="66" t="str">
        <x:v>기사 당일 5.36%</x:v>
      </x:c>
      <x:c r="L50" s="312" t="n">
        <x:v>5.36</x:v>
      </x:c>
      <x:c r="M50" s="336" t="n">
        <x:v>2</x:v>
      </x:c>
      <x:c r="N50" s="336" t="n">
        <x:v>1</x:v>
      </x:c>
      <x:c r="O50" s="336" t="n">
        <x:v>2</x:v>
      </x:c>
      <x:c r="P50" s="336" t="n">
        <x:v>0</x:v>
      </x:c>
      <x:c r="Q50" s="336" t="n">
        <x:f>M50+N50+O50</x:f>
        <x:v>5</x:v>
      </x:c>
      <x:c r="R50" s="66" t="str">
        <x:f>IF(O50=0,"가격미확인",IF(Q50&gt;=5,"강한사례",IF(Q50&gt;=3,"경계사례","약한연결")))</x:f>
        <x:v>강한사례</x:v>
      </x:c>
      <x:c r="S50" s="66" t="str">
        <x:v>S26</x:v>
      </x:c>
      <x:c r="T50" s="66" t="str">
        <x:v>https://robonews.stockplus.com/articles/809122</x:v>
      </x:c>
      <x:c r="U50" s="66" t="str">
        <x:v>혼합-테마 주도 | 완료 | 자산 위치형</x:v>
      </x:c>
    </x:row>
    <x:row r="51">
      <x:c r="A51" s="66" t="str">
        <x:v>KR-P019</x:v>
      </x:c>
      <x:c r="B51" s="66" t="str">
        <x:v>기존 검증원장</x:v>
      </x:c>
      <x:c r="C51" s="66" t="str">
        <x:v>2025</x:v>
      </x:c>
      <x:c r="D51" s="66" t="str">
        <x:v>성인·투자자</x:v>
      </x:c>
      <x:c r="E51" s="66" t="str">
        <x:v>정치·정책·사회</x:v>
      </x:c>
      <x:c r="F51" s="66" t="str">
        <x:v>세종 이전</x:v>
      </x:c>
      <x:c r="G51" s="66" t="str">
        <x:v>유라테크</x:v>
      </x:c>
      <x:c r="H51" s="67" t="str">
        <x:v>048430</x:v>
      </x:c>
      <x:c r="I51" s="66" t="str">
        <x:v>KOSDAQ</x:v>
      </x:c>
      <x:c r="J51" s="66" t="str">
        <x:v>상승</x:v>
      </x:c>
      <x:c r="K51" s="66" t="str">
        <x:v>기사 당일 7.67%</x:v>
      </x:c>
      <x:c r="L51" s="312" t="n">
        <x:v>7.67</x:v>
      </x:c>
      <x:c r="M51" s="336" t="n">
        <x:v>2</x:v>
      </x:c>
      <x:c r="N51" s="336" t="n">
        <x:v>1</x:v>
      </x:c>
      <x:c r="O51" s="336" t="n">
        <x:v>2</x:v>
      </x:c>
      <x:c r="P51" s="336" t="n">
        <x:v>0</x:v>
      </x:c>
      <x:c r="Q51" s="336" t="n">
        <x:f>M51+N51+O51</x:f>
        <x:v>5</x:v>
      </x:c>
      <x:c r="R51" s="66" t="str">
        <x:f>IF(O51=0,"가격미확인",IF(Q51&gt;=5,"강한사례",IF(Q51&gt;=3,"경계사례","약한연결")))</x:f>
        <x:v>강한사례</x:v>
      </x:c>
      <x:c r="S51" s="66" t="str">
        <x:v>S26</x:v>
      </x:c>
      <x:c r="T51" s="66" t="str">
        <x:v>https://robonews.stockplus.com/articles/809122</x:v>
      </x:c>
      <x:c r="U51" s="66" t="str">
        <x:v>혼합-테마 주도 | 완료 | 지역 테마</x:v>
      </x:c>
    </x:row>
    <x:row r="52">
      <x:c r="A52" s="66" t="str">
        <x:v>KR-P020</x:v>
      </x:c>
      <x:c r="B52" s="66" t="str">
        <x:v>기존 검증원장</x:v>
      </x:c>
      <x:c r="C52" s="66" t="str">
        <x:v>미상</x:v>
      </x:c>
      <x:c r="D52" s="66" t="str">
        <x:v>성인·투자자</x:v>
      </x:c>
      <x:c r="E52" s="66" t="str">
        <x:v>정치·정책·사회</x:v>
      </x:c>
      <x:c r="F52" s="66" t="str">
        <x:v>세종 이전</x:v>
      </x:c>
      <x:c r="G52" s="66" t="str">
        <x:v>대주산업</x:v>
      </x:c>
      <x:c r="H52" s="67" t="str">
        <x:v>003310</x:v>
      </x:c>
      <x:c r="I52" s="66" t="str">
        <x:v>KOSDAQ</x:v>
      </x:c>
      <x:c r="J52" s="66" t="str">
        <x:v>미확인</x:v>
      </x:c>
      <x:c r="K52" s="66" t="str">
        <x:v>정책 뉴스 때 반복 급등</x:v>
      </x:c>
      <x:c r="L52" s="312"/>
      <x:c r="M52" s="336" t="n">
        <x:v>2</x:v>
      </x:c>
      <x:c r="N52" s="336" t="n">
        <x:v>1</x:v>
      </x:c>
      <x:c r="O52" s="336" t="n">
        <x:v>1</x:v>
      </x:c>
      <x:c r="P52" s="336" t="n">
        <x:v>0</x:v>
      </x:c>
      <x:c r="Q52" s="336" t="n">
        <x:f>M52+N52+O52</x:f>
        <x:v>4</x:v>
      </x:c>
      <x:c r="R52" s="66" t="str">
        <x:f>IF(O52=0,"가격미확인",IF(Q52&gt;=5,"강한사례",IF(Q52&gt;=3,"경계사례","약한연결")))</x:f>
        <x:v>경계사례</x:v>
      </x:c>
      <x:c r="S52" s="66" t="str">
        <x:v>S26</x:v>
      </x:c>
      <x:c r="T52" s="66" t="str">
        <x:v>https://robonews.stockplus.com/articles/809122</x:v>
      </x:c>
      <x:c r="U52" s="66" t="str">
        <x:v>후보-추가검증 | 추가검증 | 신뢰 가능한 가격 기사 보강 필요</x:v>
      </x:c>
    </x:row>
    <x:row r="53">
      <x:c r="A53" s="66" t="str">
        <x:v>KR-P021</x:v>
      </x:c>
      <x:c r="B53" s="66" t="str">
        <x:v>기존 검증원장</x:v>
      </x:c>
      <x:c r="C53" s="66" t="str">
        <x:v>미상</x:v>
      </x:c>
      <x:c r="D53" s="66" t="str">
        <x:v>성인·투자자</x:v>
      </x:c>
      <x:c r="E53" s="66" t="str">
        <x:v>정치·정책·사회</x:v>
      </x:c>
      <x:c r="F53" s="66" t="str">
        <x:v>새만금 개발</x:v>
      </x:c>
      <x:c r="G53" s="66" t="str">
        <x:v>페이퍼코리아</x:v>
      </x:c>
      <x:c r="H53" s="67" t="str">
        <x:v>001020</x:v>
      </x:c>
      <x:c r="I53" s="66" t="str">
        <x:v>KOSPI</x:v>
      </x:c>
      <x:c r="J53" s="66" t="str">
        <x:v>상승</x:v>
      </x:c>
      <x:c r="K53" s="66" t="str">
        <x:v>관련 뉴스에서 약 15% 상승 사례</x:v>
      </x:c>
      <x:c r="L53" s="312" t="n">
        <x:v>15</x:v>
      </x:c>
      <x:c r="M53" s="336" t="n">
        <x:v>2</x:v>
      </x:c>
      <x:c r="N53" s="336" t="n">
        <x:v>1</x:v>
      </x:c>
      <x:c r="O53" s="336" t="n">
        <x:v>2</x:v>
      </x:c>
      <x:c r="P53" s="336" t="n">
        <x:v>0</x:v>
      </x:c>
      <x:c r="Q53" s="336" t="n">
        <x:f>M53+N53+O53</x:f>
        <x:v>5</x:v>
      </x:c>
      <x:c r="R53" s="66" t="str">
        <x:f>IF(O53=0,"가격미확인",IF(Q53&gt;=5,"강한사례",IF(Q53&gt;=3,"경계사례","약한연결")))</x:f>
        <x:v>강한사례</x:v>
      </x:c>
      <x:c r="S53" s="66" t="str">
        <x:v>S26</x:v>
      </x:c>
      <x:c r="T53" s="66" t="str">
        <x:v>https://robonews.stockplus.com/articles/809122</x:v>
      </x:c>
      <x:c r="U53" s="66" t="str">
        <x:v>혼합-테마 주도 | 추가검증 | 원문 가격 기사 추가 필요</x:v>
      </x:c>
    </x:row>
    <x:row r="54">
      <x:c r="A54" s="66" t="str">
        <x:v>KR-P022</x:v>
      </x:c>
      <x:c r="B54" s="66" t="str">
        <x:v>기존 검증원장</x:v>
      </x:c>
      <x:c r="C54" s="66" t="str">
        <x:v>2024</x:v>
      </x:c>
      <x:c r="D54" s="66" t="str">
        <x:v>성인·투자자</x:v>
      </x:c>
      <x:c r="E54" s="66" t="str">
        <x:v>정치·정책·사회</x:v>
      </x:c>
      <x:c r="F54" s="66" t="str">
        <x:v>동해 심해 가스전</x:v>
      </x:c>
      <x:c r="G54" s="66" t="str">
        <x:v>한국가스공사</x:v>
      </x:c>
      <x:c r="H54" s="67" t="str">
        <x:v>036460</x:v>
      </x:c>
      <x:c r="I54" s="66" t="str">
        <x:v>KOSPI</x:v>
      </x:c>
      <x:c r="J54" s="66" t="str">
        <x:v>상승</x:v>
      </x:c>
      <x:c r="K54" s="66" t="str">
        <x:v>발표 뒤 38% 상승</x:v>
      </x:c>
      <x:c r="L54" s="312" t="n">
        <x:v>38</x:v>
      </x:c>
      <x:c r="M54" s="336" t="n">
        <x:v>2</x:v>
      </x:c>
      <x:c r="N54" s="336" t="n">
        <x:v>1</x:v>
      </x:c>
      <x:c r="O54" s="336" t="n">
        <x:v>2</x:v>
      </x:c>
      <x:c r="P54" s="336" t="n">
        <x:v>1</x:v>
      </x:c>
      <x:c r="Q54" s="336" t="n">
        <x:f>M54+N54+O54</x:f>
        <x:v>5</x:v>
      </x:c>
      <x:c r="R54" s="66" t="str">
        <x:f>IF(O54=0,"가격미확인",IF(Q54&gt;=5,"강한사례",IF(Q54&gt;=3,"경계사례","약한연결")))</x:f>
        <x:v>강한사례</x:v>
      </x:c>
      <x:c r="S54" s="66" t="str">
        <x:v>S27;S28;S30</x:v>
      </x:c>
      <x:c r="T54" s="66" t="str">
        <x:v>https://www.hani.co.kr/arti/economy/finance/1143176.html</x:v>
      </x:c>
      <x:c r="U54" s="66" t="str">
        <x:v>혼합-테마 주도 | 완료 | 프로젝트 실패 뒤 급락</x:v>
      </x:c>
    </x:row>
    <x:row r="55">
      <x:c r="A55" s="66" t="str">
        <x:v>KR-P023</x:v>
      </x:c>
      <x:c r="B55" s="66" t="str">
        <x:v>기존 검증원장</x:v>
      </x:c>
      <x:c r="C55" s="66" t="str">
        <x:v>2024</x:v>
      </x:c>
      <x:c r="D55" s="66" t="str">
        <x:v>성인·투자자</x:v>
      </x:c>
      <x:c r="E55" s="66" t="str">
        <x:v>정치·정책·사회</x:v>
      </x:c>
      <x:c r="F55" s="66" t="str">
        <x:v>동해 심해 가스전</x:v>
      </x:c>
      <x:c r="G55" s="66" t="str">
        <x:v>한국석유</x:v>
      </x:c>
      <x:c r="H55" s="67" t="str">
        <x:v>004090</x:v>
      </x:c>
      <x:c r="I55" s="66" t="str">
        <x:v>KOSPI</x:v>
      </x:c>
      <x:c r="J55" s="66" t="str">
        <x:v>상승</x:v>
      </x:c>
      <x:c r="K55" s="66" t="str">
        <x:v>발표 당일 상한가; 경제성 없음 뒤 -13.8%</x:v>
      </x:c>
      <x:c r="L55" s="312" t="n">
        <x:v>29.9</x:v>
      </x:c>
      <x:c r="M55" s="336" t="n">
        <x:v>2</x:v>
      </x:c>
      <x:c r="N55" s="336" t="n">
        <x:v>1</x:v>
      </x:c>
      <x:c r="O55" s="336" t="n">
        <x:v>2</x:v>
      </x:c>
      <x:c r="P55" s="336" t="n">
        <x:v>0</x:v>
      </x:c>
      <x:c r="Q55" s="336" t="n">
        <x:f>M55+N55+O55</x:f>
        <x:v>5</x:v>
      </x:c>
      <x:c r="R55" s="66" t="str">
        <x:f>IF(O55=0,"가격미확인",IF(Q55&gt;=5,"강한사례",IF(Q55&gt;=3,"경계사례","약한연결")))</x:f>
        <x:v>강한사례</x:v>
      </x:c>
      <x:c r="S55" s="66" t="str">
        <x:v>S27;S30</x:v>
      </x:c>
      <x:c r="T55" s="66" t="str">
        <x:v>https://www.hani.co.kr/arti/economy/finance/1143176.html</x:v>
      </x:c>
      <x:c r="U55" s="66" t="str">
        <x:v>강한 밈 | 완료 | 이름·업종 착시 성격 강함</x:v>
      </x:c>
    </x:row>
    <x:row r="56">
      <x:c r="A56" s="66" t="str">
        <x:v>KR-P024</x:v>
      </x:c>
      <x:c r="B56" s="66" t="str">
        <x:v>기존 검증원장</x:v>
      </x:c>
      <x:c r="C56" s="66" t="str">
        <x:v>2024</x:v>
      </x:c>
      <x:c r="D56" s="66" t="str">
        <x:v>성인·투자자</x:v>
      </x:c>
      <x:c r="E56" s="66" t="str">
        <x:v>정치·정책·사회</x:v>
      </x:c>
      <x:c r="F56" s="66" t="str">
        <x:v>동해 심해 가스전</x:v>
      </x:c>
      <x:c r="G56" s="66" t="str">
        <x:v>흥구석유</x:v>
      </x:c>
      <x:c r="H56" s="67" t="str">
        <x:v>024060</x:v>
      </x:c>
      <x:c r="I56" s="66" t="str">
        <x:v>KOSDAQ</x:v>
      </x:c>
      <x:c r="J56" s="66" t="str">
        <x:v>상승</x:v>
      </x:c>
      <x:c r="K56" s="66" t="str">
        <x:v>발표 당일 상한가; 경제성 없음 뒤 -9.08%</x:v>
      </x:c>
      <x:c r="L56" s="312" t="n">
        <x:v>29.9</x:v>
      </x:c>
      <x:c r="M56" s="336" t="n">
        <x:v>2</x:v>
      </x:c>
      <x:c r="N56" s="336" t="n">
        <x:v>1</x:v>
      </x:c>
      <x:c r="O56" s="336" t="n">
        <x:v>2</x:v>
      </x:c>
      <x:c r="P56" s="336" t="n">
        <x:v>0</x:v>
      </x:c>
      <x:c r="Q56" s="336" t="n">
        <x:f>M56+N56+O56</x:f>
        <x:v>5</x:v>
      </x:c>
      <x:c r="R56" s="66" t="str">
        <x:f>IF(O56=0,"가격미확인",IF(Q56&gt;=5,"강한사례",IF(Q56&gt;=3,"경계사례","약한연결")))</x:f>
        <x:v>강한사례</x:v>
      </x:c>
      <x:c r="S56" s="66" t="str">
        <x:v>S27;S30</x:v>
      </x:c>
      <x:c r="T56" s="66" t="str">
        <x:v>https://www.hani.co.kr/arti/economy/finance/1143176.html</x:v>
      </x:c>
      <x:c r="U56" s="66" t="str">
        <x:v>강한 밈 | 완료 | 업종명 연상</x:v>
      </x:c>
    </x:row>
    <x:row r="57">
      <x:c r="A57" s="66" t="str">
        <x:v>KR-P025</x:v>
      </x:c>
      <x:c r="B57" s="66" t="str">
        <x:v>기존 검증원장</x:v>
      </x:c>
      <x:c r="C57" s="66" t="str">
        <x:v>2024</x:v>
      </x:c>
      <x:c r="D57" s="66" t="str">
        <x:v>성인·투자자</x:v>
      </x:c>
      <x:c r="E57" s="66" t="str">
        <x:v>정치·정책·사회</x:v>
      </x:c>
      <x:c r="F57" s="66" t="str">
        <x:v>동해 심해 가스전</x:v>
      </x:c>
      <x:c r="G57" s="66" t="str">
        <x:v>동양철관</x:v>
      </x:c>
      <x:c r="H57" s="67" t="str">
        <x:v>008970</x:v>
      </x:c>
      <x:c r="I57" s="66" t="str">
        <x:v>KOSPI</x:v>
      </x:c>
      <x:c r="J57" s="66" t="str">
        <x:v>미확인</x:v>
      </x:c>
      <x:c r="K57" s="66" t="str">
        <x:v>2연속 상한가 뒤 3일째 장중 +21.53%</x:v>
      </x:c>
      <x:c r="L57" s="312"/>
      <x:c r="M57" s="336" t="n">
        <x:v>2</x:v>
      </x:c>
      <x:c r="N57" s="336" t="n">
        <x:v>1</x:v>
      </x:c>
      <x:c r="O57" s="336" t="n">
        <x:v>1</x:v>
      </x:c>
      <x:c r="P57" s="336" t="n">
        <x:v>0</x:v>
      </x:c>
      <x:c r="Q57" s="336" t="n">
        <x:f>M57+N57+O57</x:f>
        <x:v>4</x:v>
      </x:c>
      <x:c r="R57" s="66" t="str">
        <x:f>IF(O57=0,"가격미확인",IF(Q57&gt;=5,"강한사례",IF(Q57&gt;=3,"경계사례","약한연결")))</x:f>
        <x:v>경계사례</x:v>
      </x:c>
      <x:c r="S57" s="66" t="str">
        <x:v>S27;S29;S30</x:v>
      </x:c>
      <x:c r="T57" s="66" t="str">
        <x:v>https://www.hani.co.kr/arti/economy/finance/1143176.html</x:v>
      </x:c>
      <x:c r="U57" s="66" t="str">
        <x:v>혼합-테마 주도 | 완료 | 사업 접점 있으나 시차 큼</x:v>
      </x:c>
    </x:row>
    <x:row r="58">
      <x:c r="A58" s="66" t="str">
        <x:v>KR-P026</x:v>
      </x:c>
      <x:c r="B58" s="66" t="str">
        <x:v>기존 검증원장</x:v>
      </x:c>
      <x:c r="C58" s="66" t="str">
        <x:v>2024</x:v>
      </x:c>
      <x:c r="D58" s="66" t="str">
        <x:v>성인·투자자</x:v>
      </x:c>
      <x:c r="E58" s="66" t="str">
        <x:v>정치·정책·사회</x:v>
      </x:c>
      <x:c r="F58" s="66" t="str">
        <x:v>동해 심해 가스전</x:v>
      </x:c>
      <x:c r="G58" s="66" t="str">
        <x:v>화성밸브</x:v>
      </x:c>
      <x:c r="H58" s="67" t="str">
        <x:v>039610</x:v>
      </x:c>
      <x:c r="I58" s="66" t="str">
        <x:v>KOSDAQ</x:v>
      </x:c>
      <x:c r="J58" s="66" t="str">
        <x:v>상승</x:v>
      </x:c>
      <x:c r="K58" s="66" t="str">
        <x:v>발표 당일 상한가</x:v>
      </x:c>
      <x:c r="L58" s="312" t="n">
        <x:v>29.9</x:v>
      </x:c>
      <x:c r="M58" s="336" t="n">
        <x:v>2</x:v>
      </x:c>
      <x:c r="N58" s="336" t="n">
        <x:v>1</x:v>
      </x:c>
      <x:c r="O58" s="336" t="n">
        <x:v>2</x:v>
      </x:c>
      <x:c r="P58" s="336" t="n">
        <x:v>0</x:v>
      </x:c>
      <x:c r="Q58" s="336" t="n">
        <x:f>M58+N58+O58</x:f>
        <x:v>5</x:v>
      </x:c>
      <x:c r="R58" s="66" t="str">
        <x:f>IF(O58=0,"가격미확인",IF(Q58&gt;=5,"강한사례",IF(Q58&gt;=3,"경계사례","약한연결")))</x:f>
        <x:v>강한사례</x:v>
      </x:c>
      <x:c r="S58" s="66" t="str">
        <x:v>S27;S30</x:v>
      </x:c>
      <x:c r="T58" s="66" t="str">
        <x:v>https://www.hani.co.kr/arti/economy/finance/1143176.html</x:v>
      </x:c>
      <x:c r="U58" s="66" t="str">
        <x:v>혼합-테마 주도 | 완료 | 사업 접점 있으나 수주 미확정</x:v>
      </x:c>
    </x:row>
    <x:row r="59">
      <x:c r="A59" s="66" t="str">
        <x:v>KR-P027</x:v>
      </x:c>
      <x:c r="B59" s="66" t="str">
        <x:v>기존 검증원장</x:v>
      </x:c>
      <x:c r="C59" s="66" t="str">
        <x:v>2024</x:v>
      </x:c>
      <x:c r="D59" s="66" t="str">
        <x:v>성인·투자자</x:v>
      </x:c>
      <x:c r="E59" s="66" t="str">
        <x:v>정치·정책·사회</x:v>
      </x:c>
      <x:c r="F59" s="66" t="str">
        <x:v>동해 심해 가스전</x:v>
      </x:c>
      <x:c r="G59" s="66" t="str">
        <x:v>대성에너지</x:v>
      </x:c>
      <x:c r="H59" s="67" t="str">
        <x:v>117580</x:v>
      </x:c>
      <x:c r="I59" s="66" t="str">
        <x:v>KOSPI</x:v>
      </x:c>
      <x:c r="J59" s="66" t="str">
        <x:v>상승</x:v>
      </x:c>
      <x:c r="K59" s="66" t="str">
        <x:v>발표 당일 상한가</x:v>
      </x:c>
      <x:c r="L59" s="312" t="n">
        <x:v>29.9</x:v>
      </x:c>
      <x:c r="M59" s="336" t="n">
        <x:v>2</x:v>
      </x:c>
      <x:c r="N59" s="336" t="n">
        <x:v>1</x:v>
      </x:c>
      <x:c r="O59" s="336" t="n">
        <x:v>2</x:v>
      </x:c>
      <x:c r="P59" s="336" t="n">
        <x:v>0</x:v>
      </x:c>
      <x:c r="Q59" s="336" t="n">
        <x:f>M59+N59+O59</x:f>
        <x:v>5</x:v>
      </x:c>
      <x:c r="R59" s="66" t="str">
        <x:f>IF(O59=0,"가격미확인",IF(Q59&gt;=5,"강한사례",IF(Q59&gt;=3,"경계사례","약한연결")))</x:f>
        <x:v>강한사례</x:v>
      </x:c>
      <x:c r="S59" s="66" t="str">
        <x:v>S27</x:v>
      </x:c>
      <x:c r="T59" s="66" t="str">
        <x:v>https://www.hani.co.kr/arti/economy/finance/1143176.html</x:v>
      </x:c>
      <x:c r="U59" s="66" t="str">
        <x:v>강한 밈 | 완료 | 가스라는 단어 연상</x:v>
      </x:c>
    </x:row>
    <x:row r="60">
      <x:c r="A60" s="66" t="str">
        <x:v>KR-P028</x:v>
      </x:c>
      <x:c r="B60" s="66" t="str">
        <x:v>기존 검증원장</x:v>
      </x:c>
      <x:c r="C60" s="66" t="str">
        <x:v>2024</x:v>
      </x:c>
      <x:c r="D60" s="66" t="str">
        <x:v>성인·투자자</x:v>
      </x:c>
      <x:c r="E60" s="66" t="str">
        <x:v>정치·정책·사회</x:v>
      </x:c>
      <x:c r="F60" s="66" t="str">
        <x:v>동해 심해 가스전</x:v>
      </x:c>
      <x:c r="G60" s="66" t="str">
        <x:v>중앙에너비스</x:v>
      </x:c>
      <x:c r="H60" s="67" t="str">
        <x:v>000440</x:v>
      </x:c>
      <x:c r="I60" s="66" t="str">
        <x:v>KOSDAQ</x:v>
      </x:c>
      <x:c r="J60" s="66" t="str">
        <x:v>상승</x:v>
      </x:c>
      <x:c r="K60" s="66" t="str">
        <x:v>발표 당일 상한가</x:v>
      </x:c>
      <x:c r="L60" s="312" t="n">
        <x:v>29.9</x:v>
      </x:c>
      <x:c r="M60" s="336" t="n">
        <x:v>2</x:v>
      </x:c>
      <x:c r="N60" s="336" t="n">
        <x:v>1</x:v>
      </x:c>
      <x:c r="O60" s="336" t="n">
        <x:v>2</x:v>
      </x:c>
      <x:c r="P60" s="336" t="n">
        <x:v>0</x:v>
      </x:c>
      <x:c r="Q60" s="336" t="n">
        <x:f>M60+N60+O60</x:f>
        <x:v>5</x:v>
      </x:c>
      <x:c r="R60" s="66" t="str">
        <x:f>IF(O60=0,"가격미확인",IF(Q60&gt;=5,"강한사례",IF(Q60&gt;=3,"경계사례","약한연결")))</x:f>
        <x:v>강한사례</x:v>
      </x:c>
      <x:c r="S60" s="66" t="str">
        <x:v>S27</x:v>
      </x:c>
      <x:c r="T60" s="66" t="str">
        <x:v>https://www.hani.co.kr/arti/economy/finance/1143176.html</x:v>
      </x:c>
      <x:c r="U60" s="66" t="str">
        <x:v>강한 밈 | 완료 | 에너지 연상</x:v>
      </x:c>
    </x:row>
    <x:row r="61">
      <x:c r="A61" s="66" t="str">
        <x:v>KR-C002</x:v>
      </x:c>
      <x:c r="B61" s="66" t="str">
        <x:v>기존 검증원장</x:v>
      </x:c>
      <x:c r="C61" s="66" t="str">
        <x:v>2021</x:v>
      </x:c>
      <x:c r="D61" s="66" t="str">
        <x:v>팬덤·전연령</x:v>
      </x:c>
      <x:c r="E61" s="66" t="str">
        <x:v>콘텐츠·팬덤</x:v>
      </x:c>
      <x:c r="F61" s="66" t="str">
        <x:v>오징어게임</x:v>
      </x:c>
      <x:c r="G61" s="66" t="str">
        <x:v>버킷스튜디오</x:v>
      </x:c>
      <x:c r="H61" s="67" t="str">
        <x:v>066410</x:v>
      </x:c>
      <x:c r="I61" s="66" t="str">
        <x:v>KOSDAQ</x:v>
      </x:c>
      <x:c r="J61" s="66" t="str">
        <x:v>미확인</x:v>
      </x:c>
      <x:c r="K61" s="66" t="str">
        <x:v>상한가를 거듭</x:v>
      </x:c>
      <x:c r="L61" s="312"/>
      <x:c r="M61" s="336" t="n">
        <x:v>2</x:v>
      </x:c>
      <x:c r="N61" s="336" t="n">
        <x:v>1</x:v>
      </x:c>
      <x:c r="O61" s="336" t="n">
        <x:v>1</x:v>
      </x:c>
      <x:c r="P61" s="336" t="n">
        <x:v>1</x:v>
      </x:c>
      <x:c r="Q61" s="336" t="n">
        <x:f>M61+N61+O61</x:f>
        <x:v>4</x:v>
      </x:c>
      <x:c r="R61" s="66" t="str">
        <x:f>IF(O61=0,"가격미확인",IF(Q61&gt;=5,"강한사례",IF(Q61&gt;=3,"경계사례","약한연결")))</x:f>
        <x:v>경계사례</x:v>
      </x:c>
      <x:c r="S61" s="66" t="str">
        <x:v>S33;S34</x:v>
      </x:c>
      <x:c r="T61" s="66" t="str">
        <x:v>https://www.thebell.co.kr/front/newsview.asp?code=00&amp;key=202109281446039240101152</x:v>
      </x:c>
      <x:c r="U61" s="66" t="str">
        <x:v>혼합-테마 주도 | 완료 | 배우 소속사 지분의 간접성</x:v>
      </x:c>
    </x:row>
    <x:row r="62">
      <x:c r="A62" s="66" t="str">
        <x:v>KR-C003</x:v>
      </x:c>
      <x:c r="B62" s="66" t="str">
        <x:v>기존 검증원장</x:v>
      </x:c>
      <x:c r="C62" s="66" t="str">
        <x:v>2021</x:v>
      </x:c>
      <x:c r="D62" s="66" t="str">
        <x:v>팬덤·전연령</x:v>
      </x:c>
      <x:c r="E62" s="66" t="str">
        <x:v>콘텐츠·팬덤</x:v>
      </x:c>
      <x:c r="F62" s="66" t="str">
        <x:v>오징어게임</x:v>
      </x:c>
      <x:c r="G62" s="66" t="str">
        <x:v>쇼박스</x:v>
      </x:c>
      <x:c r="H62" s="67" t="str">
        <x:v>086980</x:v>
      </x:c>
      <x:c r="I62" s="66" t="str">
        <x:v>KOSDAQ</x:v>
      </x:c>
      <x:c r="J62" s="66" t="str">
        <x:v>미확인</x:v>
      </x:c>
      <x:c r="K62" s="66" t="str">
        <x:v>흥행 뉴스 뒤 급등</x:v>
      </x:c>
      <x:c r="L62" s="312"/>
      <x:c r="M62" s="336" t="n">
        <x:v>2</x:v>
      </x:c>
      <x:c r="N62" s="336" t="n">
        <x:v>1</x:v>
      </x:c>
      <x:c r="O62" s="336" t="n">
        <x:v>1</x:v>
      </x:c>
      <x:c r="P62" s="336" t="n">
        <x:v>1</x:v>
      </x:c>
      <x:c r="Q62" s="336" t="n">
        <x:f>M62+N62+O62</x:f>
        <x:v>4</x:v>
      </x:c>
      <x:c r="R62" s="66" t="str">
        <x:f>IF(O62=0,"가격미확인",IF(Q62&gt;=5,"강한사례",IF(Q62&gt;=3,"경계사례","약한연결")))</x:f>
        <x:v>경계사례</x:v>
      </x:c>
      <x:c r="S62" s="66" t="str">
        <x:v>S34</x:v>
      </x:c>
      <x:c r="T62" s="66" t="str">
        <x:v>https://www.dnews.co.kr/m_home/view.jsp?idxno=202109231456413960423</x:v>
      </x:c>
      <x:c r="U62" s="66" t="str">
        <x:v>강한 밈 | 완료 | 과거 인연 재소환</x:v>
      </x:c>
    </x:row>
    <x:row r="63">
      <x:c r="A63" s="66" t="str">
        <x:v>KR-X001</x:v>
      </x:c>
      <x:c r="B63" s="66" t="str">
        <x:v>기존 검증원장</x:v>
      </x:c>
      <x:c r="C63" s="66" t="str">
        <x:v>2020</x:v>
      </x:c>
      <x:c r="D63" s="66" t="str">
        <x:v>팬덤·전연령</x:v>
      </x:c>
      <x:c r="E63" s="66" t="str">
        <x:v>콘텐츠·팬덤</x:v>
      </x:c>
      <x:c r="F63" s="66" t="str">
        <x:v>기생충</x:v>
      </x:c>
      <x:c r="G63" s="66" t="str">
        <x:v>바른손이앤에이</x:v>
      </x:c>
      <x:c r="H63" s="67" t="str">
        <x:v>035620</x:v>
      </x:c>
      <x:c r="I63" s="66" t="str">
        <x:v>KOSDAQ</x:v>
      </x:c>
      <x:c r="J63" s="66" t="str">
        <x:v>미확인</x:v>
      </x:c>
      <x:c r="K63" s="66" t="str">
        <x:v>수상 당일 급등</x:v>
      </x:c>
      <x:c r="L63" s="312"/>
      <x:c r="M63" s="336" t="n">
        <x:v>2</x:v>
      </x:c>
      <x:c r="N63" s="336" t="n">
        <x:v>1</x:v>
      </x:c>
      <x:c r="O63" s="336" t="n">
        <x:v>1</x:v>
      </x:c>
      <x:c r="P63" s="336" t="n">
        <x:v>1</x:v>
      </x:c>
      <x:c r="Q63" s="336" t="n">
        <x:f>M63+N63+O63</x:f>
        <x:v>4</x:v>
      </x:c>
      <x:c r="R63" s="66" t="str">
        <x:f>IF(O63=0,"가격미확인",IF(Q63&gt;=5,"강한사례",IF(Q63&gt;=3,"경계사례","약한연결")))</x:f>
        <x:v>경계사례</x:v>
      </x:c>
      <x:c r="S63" s="66" t="str">
        <x:v>S35</x:v>
      </x:c>
      <x:c r="T63" s="66" t="str">
        <x:v>https://www.edaily.co.kr/News/Read?mediaCodeNo=257&amp;newsId=04142646625669208</x:v>
      </x:c>
      <x:c r="U63" s="66" t="str">
        <x:v>제외-직접 사업 | 완료 | 순수 밈이 아니라 사업 성과</x:v>
      </x:c>
    </x:row>
    <x:row r="64">
      <x:c r="A64" s="66" t="str">
        <x:v>KR-X002</x:v>
      </x:c>
      <x:c r="B64" s="66" t="str">
        <x:v>기존 검증원장</x:v>
      </x:c>
      <x:c r="C64" s="66" t="str">
        <x:v>2020</x:v>
      </x:c>
      <x:c r="D64" s="66" t="str">
        <x:v>팬덤·전연령</x:v>
      </x:c>
      <x:c r="E64" s="66" t="str">
        <x:v>콘텐츠·팬덤</x:v>
      </x:c>
      <x:c r="F64" s="66" t="str">
        <x:v>기생충</x:v>
      </x:c>
      <x:c r="G64" s="66" t="str">
        <x:v>바른손</x:v>
      </x:c>
      <x:c r="H64" s="67" t="str">
        <x:v>018700</x:v>
      </x:c>
      <x:c r="I64" s="66" t="str">
        <x:v>KOSDAQ</x:v>
      </x:c>
      <x:c r="J64" s="66" t="str">
        <x:v>상승</x:v>
      </x:c>
      <x:c r="K64" s="66" t="str">
        <x:v>당일 상한가</x:v>
      </x:c>
      <x:c r="L64" s="312" t="n">
        <x:v>29.9</x:v>
      </x:c>
      <x:c r="M64" s="336" t="n">
        <x:v>2</x:v>
      </x:c>
      <x:c r="N64" s="336" t="n">
        <x:v>1</x:v>
      </x:c>
      <x:c r="O64" s="336" t="n">
        <x:v>2</x:v>
      </x:c>
      <x:c r="P64" s="336" t="n">
        <x:v>1</x:v>
      </x:c>
      <x:c r="Q64" s="336" t="n">
        <x:f>M64+N64+O64</x:f>
        <x:v>5</x:v>
      </x:c>
      <x:c r="R64" s="66" t="str">
        <x:f>IF(O64=0,"가격미확인",IF(Q64&gt;=5,"강한사례",IF(Q64&gt;=3,"경계사례","약한연결")))</x:f>
        <x:v>강한사례</x:v>
      </x:c>
      <x:c r="S64" s="66" t="str">
        <x:v>S35</x:v>
      </x:c>
      <x:c r="T64" s="66" t="str">
        <x:v>https://www.edaily.co.kr/News/Read?mediaCodeNo=257&amp;newsId=04142646625669208</x:v>
      </x:c>
      <x:c r="U64" s="66" t="str">
        <x:v>제외-직접 사업 | 완료 | 비교용 제외 사례</x:v>
      </x:c>
    </x:row>
    <x:row r="65">
      <x:c r="A65" s="66" t="str">
        <x:v>KR-SNS001</x:v>
      </x:c>
      <x:c r="B65" s="66" t="str">
        <x:v>기존 검증원장</x:v>
      </x:c>
      <x:c r="C65" s="66" t="str">
        <x:v>2026</x:v>
      </x:c>
      <x:c r="D65" s="66" t="str">
        <x:v>전연령</x:v>
      </x:c>
      <x:c r="E65" s="66" t="str">
        <x:v>식품·소비</x:v>
      </x:c>
      <x:c r="F65" s="66" t="str">
        <x:v>두바이 쫀득쿠키</x:v>
      </x:c>
      <x:c r="G65" s="66" t="str">
        <x:v>흥국에프엔비</x:v>
      </x:c>
      <x:c r="H65" s="67" t="str">
        <x:v>189980</x:v>
      </x:c>
      <x:c r="I65" s="66" t="str">
        <x:v>KOSDAQ</x:v>
      </x:c>
      <x:c r="J65" s="66" t="str">
        <x:v>상승</x:v>
      </x:c>
      <x:c r="K65" s="66" t="str">
        <x:v>원재료 공급 확대 소식에 상한가</x:v>
      </x:c>
      <x:c r="L65" s="312" t="n">
        <x:v>29.98</x:v>
      </x:c>
      <x:c r="M65" s="336" t="n">
        <x:v>2</x:v>
      </x:c>
      <x:c r="N65" s="336" t="n">
        <x:v>2</x:v>
      </x:c>
      <x:c r="O65" s="336" t="n">
        <x:v>2</x:v>
      </x:c>
      <x:c r="P65" s="336" t="n">
        <x:v>1</x:v>
      </x:c>
      <x:c r="Q65" s="336" t="n">
        <x:f>M65+N65+O65</x:f>
        <x:v>6</x:v>
      </x:c>
      <x:c r="R65" s="66" t="str">
        <x:f>IF(O65=0,"가격미확인",IF(Q65&gt;=5,"강한사례",IF(Q65&gt;=3,"경계사례","약한연결")))</x:f>
        <x:v>강한사례</x:v>
      </x:c>
      <x:c r="S65" s="66" t="str">
        <x:v>S50,S51</x:v>
      </x:c>
      <x:c r="T65" s="66" t="str"/>
      <x:c r="U65" s="66" t="str">
        <x:v>바이럴-사업직결 | 완료 | 두쫀쿠 대표 사례. 유행이 실제 공급망 매출로 연결되지만 유행 수명은 짧을 수 있음</x:v>
      </x:c>
    </x:row>
    <x:row r="66">
      <x:c r="A66" s="66" t="str">
        <x:v>KR-SNS002</x:v>
      </x:c>
      <x:c r="B66" s="66" t="str">
        <x:v>기존 검증원장</x:v>
      </x:c>
      <x:c r="C66" s="66" t="str">
        <x:v>2026</x:v>
      </x:c>
      <x:c r="D66" s="66" t="str">
        <x:v>전연령</x:v>
      </x:c>
      <x:c r="E66" s="66" t="str">
        <x:v>식품·소비</x:v>
      </x:c>
      <x:c r="F66" s="66" t="str">
        <x:v>두바이 쫀득쿠키</x:v>
      </x:c>
      <x:c r="G66" s="66" t="str">
        <x:v>BGF리테일</x:v>
      </x:c>
      <x:c r="H66" s="67" t="str">
        <x:v>282330</x:v>
      </x:c>
      <x:c r="I66" s="66" t="str">
        <x:v>KOSPI</x:v>
      </x:c>
      <x:c r="J66" s="66" t="str">
        <x:v>미확인</x:v>
      </x:c>
      <x:c r="K66" s="66" t="str">
        <x:v>증권사 목표주가 14.5만→15.5만원 상향; 단기 주가 수치 미확인</x:v>
      </x:c>
      <x:c r="L66" s="312"/>
      <x:c r="M66" s="336" t="n">
        <x:v>2</x:v>
      </x:c>
      <x:c r="N66" s="336" t="n">
        <x:v>1</x:v>
      </x:c>
      <x:c r="O66" s="336" t="n">
        <x:v>0</x:v>
      </x:c>
      <x:c r="P66" s="336" t="n">
        <x:v>1</x:v>
      </x:c>
      <x:c r="Q66" s="336" t="n">
        <x:f>M66+N66+O66</x:f>
        <x:v>3</x:v>
      </x:c>
      <x:c r="R66" s="66" t="str">
        <x:f>IF(O66=0,"가격미확인",IF(Q66&gt;=5,"강한사례",IF(Q66&gt;=3,"경계사례","약한연결")))</x:f>
        <x:v>가격미확인</x:v>
      </x:c>
      <x:c r="S66" s="66" t="str">
        <x:v>S51</x:v>
      </x:c>
      <x:c r="T66" s="66" t="str">
        <x:v>https://v.daum.net/v/20260216170225596</x:v>
      </x:c>
      <x:c r="U66" s="66" t="str">
        <x:v>후보-추가검증 | 가격검증 | 실제 수혜는 확인되나 유행만의 주가 효과를 분리하기 어려움</x:v>
      </x:c>
    </x:row>
    <x:row r="67">
      <x:c r="A67" s="66" t="str">
        <x:v>KR-SNS003</x:v>
      </x:c>
      <x:c r="B67" s="66" t="str">
        <x:v>기존 검증원장</x:v>
      </x:c>
      <x:c r="C67" s="66" t="str">
        <x:v>2026</x:v>
      </x:c>
      <x:c r="D67" s="66" t="str">
        <x:v>전연령</x:v>
      </x:c>
      <x:c r="E67" s="66" t="str">
        <x:v>식품·소비</x:v>
      </x:c>
      <x:c r="F67" s="66" t="str">
        <x:v>두바이 쫀득쿠키</x:v>
      </x:c>
      <x:c r="G67" s="66" t="str">
        <x:v>신세계푸드</x:v>
      </x:c>
      <x:c r="H67" s="67" t="str">
        <x:v>031440</x:v>
      </x:c>
      <x:c r="I67" s="66" t="str">
        <x:v>KOSPI</x:v>
      </x:c>
      <x:c r="J67" s="66" t="str">
        <x:v>미확인</x:v>
      </x:c>
      <x:c r="K67" s="66" t="str">
        <x:v>판매 확대는 확인; 독립적 주가 상승 수치 미확인</x:v>
      </x:c>
      <x:c r="L67" s="312"/>
      <x:c r="M67" s="336" t="n">
        <x:v>2</x:v>
      </x:c>
      <x:c r="N67" s="336" t="n">
        <x:v>2</x:v>
      </x:c>
      <x:c r="O67" s="336" t="n">
        <x:v>0</x:v>
      </x:c>
      <x:c r="P67" s="336" t="n">
        <x:v>1</x:v>
      </x:c>
      <x:c r="Q67" s="336" t="n">
        <x:f>M67+N67+O67</x:f>
        <x:v>4</x:v>
      </x:c>
      <x:c r="R67" s="66" t="str">
        <x:f>IF(O67=0,"가격미확인",IF(Q67&gt;=5,"강한사례",IF(Q67&gt;=3,"경계사례","약한연결")))</x:f>
        <x:v>가격미확인</x:v>
      </x:c>
      <x:c r="S67" s="66" t="str">
        <x:v>S52</x:v>
      </x:c>
      <x:c r="T67" s="66" t="str">
        <x:v>https://zdnet.co.kr/view/?no=20260204091035</x:v>
      </x:c>
      <x:c r="U67" s="66" t="str">
        <x:v>후보-추가검증 | 추가검증 | 주가 이벤트 윈도우와 다른 공시 동시 여부를 추가 확인</x:v>
      </x:c>
    </x:row>
    <x:row r="68">
      <x:c r="A68" s="66" t="str">
        <x:v>KR-SNS004</x:v>
      </x:c>
      <x:c r="B68" s="66" t="str">
        <x:v>기존 검증원장</x:v>
      </x:c>
      <x:c r="C68" s="66" t="str">
        <x:v>2014</x:v>
      </x:c>
      <x:c r="D68" s="66" t="str">
        <x:v>전연령</x:v>
      </x:c>
      <x:c r="E68" s="66" t="str">
        <x:v>식품·소비</x:v>
      </x:c>
      <x:c r="F68" s="66" t="str">
        <x:v>불닭볶음면 챌린지</x:v>
      </x:c>
      <x:c r="G68" s="66" t="str">
        <x:v>삼양식품</x:v>
      </x:c>
      <x:c r="H68" s="67" t="str">
        <x:v>003230</x:v>
      </x:c>
      <x:c r="I68" s="66" t="str">
        <x:v>KOSPI</x:v>
      </x:c>
      <x:c r="J68" s="66" t="str">
        <x:v>상승</x:v>
      </x:c>
      <x:c r="K68" s="66" t="str">
        <x:v>2024년 주가 254% 상승</x:v>
      </x:c>
      <x:c r="L68" s="312" t="n">
        <x:v>254</x:v>
      </x:c>
      <x:c r="M68" s="336" t="n">
        <x:v>2</x:v>
      </x:c>
      <x:c r="N68" s="336" t="n">
        <x:v>2</x:v>
      </x:c>
      <x:c r="O68" s="336" t="n">
        <x:v>2</x:v>
      </x:c>
      <x:c r="P68" s="336" t="n">
        <x:v>1</x:v>
      </x:c>
      <x:c r="Q68" s="336" t="n">
        <x:f>M68+N68+O68</x:f>
        <x:v>6</x:v>
      </x:c>
      <x:c r="R68" s="66" t="str">
        <x:f>IF(O68=0,"가격미확인",IF(Q68&gt;=5,"강한사례",IF(Q68&gt;=3,"경계사례","약한연결")))</x:f>
        <x:v>강한사례</x:v>
      </x:c>
      <x:c r="S68" s="66" t="str">
        <x:v>S53</x:v>
      </x:c>
      <x:c r="T68" s="66" t="str">
        <x:v>https://www.hankyung.com/article/2024052637231</x:v>
      </x:c>
      <x:c r="U68" s="66" t="str">
        <x:v>바이럴-사업직결 | 완료 | 순수 밈주가 아니라 바이럴→매출→주가의 전형</x:v>
      </x:c>
    </x:row>
    <x:row r="69">
      <x:c r="A69" s="66" t="str">
        <x:v>KR-SNS005</x:v>
      </x:c>
      <x:c r="B69" s="66" t="str">
        <x:v>기존 검증원장</x:v>
      </x:c>
      <x:c r="C69" s="66" t="str">
        <x:v>2022</x:v>
      </x:c>
      <x:c r="D69" s="66" t="str">
        <x:v>전연령</x:v>
      </x:c>
      <x:c r="E69" s="66" t="str">
        <x:v>식품·소비</x:v>
      </x:c>
      <x:c r="F69" s="66" t="str">
        <x:v>포켓몬빵·띠부씰</x:v>
      </x:c>
      <x:c r="G69" s="66" t="str">
        <x:v>SPC삼립</x:v>
      </x:c>
      <x:c r="H69" s="67" t="str">
        <x:v>005610</x:v>
      </x:c>
      <x:c r="I69" s="66" t="str">
        <x:v>KOSPI</x:v>
      </x:c>
      <x:c r="J69" s="66" t="str">
        <x:v>상승</x:v>
      </x:c>
      <x:c r="K69" s="66" t="str">
        <x:v>2월 20% 상승 뒤 열풍이 주가를 추가로 밀어올림</x:v>
      </x:c>
      <x:c r="L69" s="312" t="n">
        <x:v>20</x:v>
      </x:c>
      <x:c r="M69" s="336" t="n">
        <x:v>2</x:v>
      </x:c>
      <x:c r="N69" s="336" t="n">
        <x:v>2</x:v>
      </x:c>
      <x:c r="O69" s="336" t="n">
        <x:v>2</x:v>
      </x:c>
      <x:c r="P69" s="336" t="n">
        <x:v>1</x:v>
      </x:c>
      <x:c r="Q69" s="336" t="n">
        <x:f>M69+N69+O69</x:f>
        <x:v>6</x:v>
      </x:c>
      <x:c r="R69" s="66" t="str">
        <x:f>IF(O69=0,"가격미확인",IF(Q69&gt;=5,"강한사례",IF(Q69&gt;=3,"경계사례","약한연결")))</x:f>
        <x:v>강한사례</x:v>
      </x:c>
      <x:c r="S69" s="66" t="str">
        <x:v>S54</x:v>
      </x:c>
      <x:c r="T69" s="66" t="str">
        <x:v>https://www.hankyung.com/article/2022031072561</x:v>
      </x:c>
      <x:c r="U69" s="66" t="str">
        <x:v>바이럴-사업직결 | 완료 | SNS 유행과 실제 판매가 결합된 사례</x:v>
      </x:c>
    </x:row>
    <x:row r="70">
      <x:c r="A70" s="66" t="str">
        <x:v>KR-SNS006</x:v>
      </x:c>
      <x:c r="B70" s="66" t="str">
        <x:v>기존 검증원장</x:v>
      </x:c>
      <x:c r="C70" s="66" t="str">
        <x:v>2025</x:v>
      </x:c>
      <x:c r="D70" s="66" t="str">
        <x:v>전연령</x:v>
      </x:c>
      <x:c r="E70" s="66" t="str">
        <x:v>식품·소비</x:v>
      </x:c>
      <x:c r="F70" s="66" t="str">
        <x:v>크보빵·야구 스티커</x:v>
      </x:c>
      <x:c r="G70" s="66" t="str">
        <x:v>SPC삼립</x:v>
      </x:c>
      <x:c r="H70" s="67" t="str">
        <x:v>005610</x:v>
      </x:c>
      <x:c r="I70" s="66" t="str">
        <x:v>KOSPI</x:v>
      </x:c>
      <x:c r="J70" s="66" t="str">
        <x:v>상승</x:v>
      </x:c>
      <x:c r="K70" s="66" t="str">
        <x:v>판매 호조 보도일 8% 급등</x:v>
      </x:c>
      <x:c r="L70" s="312" t="n">
        <x:v>8</x:v>
      </x:c>
      <x:c r="M70" s="336" t="n">
        <x:v>2</x:v>
      </x:c>
      <x:c r="N70" s="336" t="n">
        <x:v>2</x:v>
      </x:c>
      <x:c r="O70" s="336" t="n">
        <x:v>2</x:v>
      </x:c>
      <x:c r="P70" s="336" t="n">
        <x:v>1</x:v>
      </x:c>
      <x:c r="Q70" s="336" t="n">
        <x:f>M70+N70+O70</x:f>
        <x:v>6</x:v>
      </x:c>
      <x:c r="R70" s="66" t="str">
        <x:f>IF(O70=0,"가격미확인",IF(Q70&gt;=5,"강한사례",IF(Q70&gt;=3,"경계사례","약한연결")))</x:f>
        <x:v>강한사례</x:v>
      </x:c>
      <x:c r="S70" s="66" t="str">
        <x:v>S55</x:v>
      </x:c>
      <x:c r="T70" s="66" t="str">
        <x:v>https://www.hankyung.com/article/202503257174L</x:v>
      </x:c>
      <x:c r="U70" s="66" t="str">
        <x:v>바이럴-사업직결 | 완료 | 팬덤 소비가 종목 모멘텀으로 번진 단기 사례</x:v>
      </x:c>
    </x:row>
    <x:row r="71">
      <x:c r="A71" s="66" t="str">
        <x:v>KR-SNS007</x:v>
      </x:c>
      <x:c r="B71" s="66" t="str">
        <x:v>기존 검증원장</x:v>
      </x:c>
      <x:c r="C71" s="66" t="str">
        <x:v>2023</x:v>
      </x:c>
      <x:c r="D71" s="66" t="str">
        <x:v>10~40대 중심</x:v>
      </x:c>
      <x:c r="E71" s="66" t="str">
        <x:v>뷰티·패션</x:v>
      </x:c>
      <x:c r="F71" s="66" t="str">
        <x:v>리들샷</x:v>
      </x:c>
      <x:c r="G71" s="66" t="str">
        <x:v>브이티</x:v>
      </x:c>
      <x:c r="H71" s="67" t="str">
        <x:v>018290</x:v>
      </x:c>
      <x:c r="I71" s="66" t="str">
        <x:v>KOSDAQ</x:v>
      </x:c>
      <x:c r="J71" s="66" t="str">
        <x:v>상승</x:v>
      </x:c>
      <x:c r="K71" s="66" t="str">
        <x:v>2023년 당시 연초 대비 3배 이상 상승</x:v>
      </x:c>
      <x:c r="L71" s="312" t="n">
        <x:v>200</x:v>
      </x:c>
      <x:c r="M71" s="336" t="n">
        <x:v>2</x:v>
      </x:c>
      <x:c r="N71" s="336" t="n">
        <x:v>2</x:v>
      </x:c>
      <x:c r="O71" s="336" t="n">
        <x:v>2</x:v>
      </x:c>
      <x:c r="P71" s="336" t="n">
        <x:v>1</x:v>
      </x:c>
      <x:c r="Q71" s="336" t="n">
        <x:f>M71+N71+O71</x:f>
        <x:v>6</x:v>
      </x:c>
      <x:c r="R71" s="66" t="str">
        <x:f>IF(O71=0,"가격미확인",IF(Q71&gt;=5,"강한사례",IF(Q71&gt;=3,"경계사례","약한연결")))</x:f>
        <x:v>강한사례</x:v>
      </x:c>
      <x:c r="S71" s="66" t="str">
        <x:v>S56</x:v>
      </x:c>
      <x:c r="T71" s="66" t="str">
        <x:v>https://www.mt.co.kr/stock/2023/09/19/2023091809273513453</x:v>
      </x:c>
      <x:c r="U71" s="66" t="str">
        <x:v>바이럴-사업직결 | 완료 | 뷰티 분야의 두쫀쿠형 직접 수혜 사례</x:v>
      </x:c>
    </x:row>
    <x:row r="72">
      <x:c r="A72" s="66" t="str">
        <x:v>KR-SNS008</x:v>
      </x:c>
      <x:c r="B72" s="66" t="str">
        <x:v>기존 검증원장</x:v>
      </x:c>
      <x:c r="C72" s="66" t="str">
        <x:v>2023</x:v>
      </x:c>
      <x:c r="D72" s="66" t="str">
        <x:v>전연령</x:v>
      </x:c>
      <x:c r="E72" s="66" t="str">
        <x:v>식품·소비</x:v>
      </x:c>
      <x:c r="F72" s="66" t="str">
        <x:v>미국 냉동김밥 품절</x:v>
      </x:c>
      <x:c r="G72" s="66" t="str">
        <x:v>우양</x:v>
      </x:c>
      <x:c r="H72" s="67" t="str">
        <x:v>103840</x:v>
      </x:c>
      <x:c r="I72" s="66" t="str">
        <x:v>KOSDAQ</x:v>
      </x:c>
      <x:c r="J72" s="66" t="str">
        <x:v>미확인</x:v>
      </x:c>
      <x:c r="K72" s="66" t="str">
        <x:v>K푸드 SNS 열풍 수혜 보고서·주가 관심 확대; 정확 수치 미확인</x:v>
      </x:c>
      <x:c r="L72" s="312"/>
      <x:c r="M72" s="336" t="n">
        <x:v>2</x:v>
      </x:c>
      <x:c r="N72" s="336" t="n">
        <x:v>2</x:v>
      </x:c>
      <x:c r="O72" s="336" t="n">
        <x:v>0</x:v>
      </x:c>
      <x:c r="P72" s="336" t="n">
        <x:v>1</x:v>
      </x:c>
      <x:c r="Q72" s="336" t="n">
        <x:f>M72+N72+O72</x:f>
        <x:v>4</x:v>
      </x:c>
      <x:c r="R72" s="66" t="str">
        <x:f>IF(O72=0,"가격미확인",IF(Q72&gt;=5,"강한사례",IF(Q72&gt;=3,"경계사례","약한연결")))</x:f>
        <x:v>가격미확인</x:v>
      </x:c>
      <x:c r="S72" s="66" t="str">
        <x:v>S57</x:v>
      </x:c>
      <x:c r="T72" s="66" t="str">
        <x:v>https://www.mk.co.kr/en/stock/10948440</x:v>
      </x:c>
      <x:c r="U72" s="66" t="str">
        <x:v>혼합-테마 주도 | 추가검증 | 같은 품목≠같은 공급사라는 과잉연결 위험</x:v>
      </x:c>
    </x:row>
    <x:row r="73">
      <x:c r="A73" s="66" t="str">
        <x:v>KR-SNS009</x:v>
      </x:c>
      <x:c r="B73" s="66" t="str">
        <x:v>기존 검증원장</x:v>
      </x:c>
      <x:c r="C73" s="66" t="str">
        <x:v>2025</x:v>
      </x:c>
      <x:c r="D73" s="66" t="str">
        <x:v>전연령</x:v>
      </x:c>
      <x:c r="E73" s="66" t="str">
        <x:v>식품·소비</x:v>
      </x:c>
      <x:c r="F73" s="66" t="str">
        <x:v>케이팝 데몬 헌터스·김밥</x:v>
      </x:c>
      <x:c r="G73" s="66" t="str">
        <x:v>우양</x:v>
      </x:c>
      <x:c r="H73" s="67" t="str">
        <x:v>103840</x:v>
      </x:c>
      <x:c r="I73" s="66" t="str">
        <x:v>KOSDAQ</x:v>
      </x:c>
      <x:c r="J73" s="66" t="str">
        <x:v>미확인</x:v>
      </x:c>
      <x:c r="K73" s="66" t="str">
        <x:v>관련 기대감으로 상승 보도; 정확 상승률 미기재</x:v>
      </x:c>
      <x:c r="L73" s="312"/>
      <x:c r="M73" s="336" t="n">
        <x:v>2</x:v>
      </x:c>
      <x:c r="N73" s="336" t="n">
        <x:v>0</x:v>
      </x:c>
      <x:c r="O73" s="336" t="n">
        <x:v>1</x:v>
      </x:c>
      <x:c r="P73" s="336" t="n">
        <x:v>1</x:v>
      </x:c>
      <x:c r="Q73" s="336" t="n">
        <x:f>M73+N73+O73</x:f>
        <x:v>3</x:v>
      </x:c>
      <x:c r="R73" s="66" t="str">
        <x:f>IF(O73=0,"가격미확인",IF(Q73&gt;=5,"강한사례",IF(Q73&gt;=3,"경계사례","약한연결")))</x:f>
        <x:v>경계사례</x:v>
      </x:c>
      <x:c r="S73" s="66" t="str">
        <x:v>S58</x:v>
      </x:c>
      <x:c r="T73" s="66" t="str">
        <x:v>https://www.asiae.co.kr/en/article/2025082214344404232</x:v>
      </x:c>
      <x:c r="U73" s="66" t="str">
        <x:v>혼합-테마 주도 | 추가검증 | 콘텐츠→소비품목→제조사로 이어지는 2단계 연결</x:v>
      </x:c>
    </x:row>
    <x:row r="74">
      <x:c r="A74" s="66" t="str">
        <x:v>KR-SNS010</x:v>
      </x:c>
      <x:c r="B74" s="66" t="str">
        <x:v>기존 검증원장</x:v>
      </x:c>
      <x:c r="C74" s="66" t="str">
        <x:v>2020</x:v>
      </x:c>
      <x:c r="D74" s="66" t="str">
        <x:v>팬덤·전연령</x:v>
      </x:c>
      <x:c r="E74" s="66" t="str">
        <x:v>콘텐츠·팬덤</x:v>
      </x:c>
      <x:c r="F74" s="66" t="str">
        <x:v>아기상어 유튜브 세계 1위</x:v>
      </x:c>
      <x:c r="G74" s="66" t="str">
        <x:v>삼성출판사</x:v>
      </x:c>
      <x:c r="H74" s="67" t="str">
        <x:v>068290</x:v>
      </x:c>
      <x:c r="I74" s="66" t="str">
        <x:v>KOSPI</x:v>
      </x:c>
      <x:c r="J74" s="66" t="str">
        <x:v>상승</x:v>
      </x:c>
      <x:c r="K74" s="66" t="str">
        <x:v>당일 약 10% 상승</x:v>
      </x:c>
      <x:c r="L74" s="312" t="n">
        <x:v>10</x:v>
      </x:c>
      <x:c r="M74" s="336" t="n">
        <x:v>2</x:v>
      </x:c>
      <x:c r="N74" s="336" t="n">
        <x:v>2</x:v>
      </x:c>
      <x:c r="O74" s="336" t="n">
        <x:v>2</x:v>
      </x:c>
      <x:c r="P74" s="336" t="n">
        <x:v>0</x:v>
      </x:c>
      <x:c r="Q74" s="336" t="n">
        <x:f>M74+N74+O74</x:f>
        <x:v>6</x:v>
      </x:c>
      <x:c r="R74" s="66" t="str">
        <x:f>IF(O74=0,"가격미확인",IF(Q74&gt;=5,"강한사례",IF(Q74&gt;=3,"경계사례","약한연결")))</x:f>
        <x:v>강한사례</x:v>
      </x:c>
      <x:c r="S74" s="66" t="str">
        <x:v>S59</x:v>
      </x:c>
      <x:c r="T74" s="66" t="str">
        <x:v>https://securities.miraeasset.com/bbs/download/2079218.pdf?attachmentId=2079218</x:v>
      </x:c>
      <x:c r="U74" s="66" t="str">
        <x:v>혼합-테마 주도 | 완료 | 조회수 이벤트가 지분 테마로 번진 사례</x:v>
      </x:c>
    </x:row>
    <x:row r="75">
      <x:c r="A75" s="66" t="str">
        <x:v>KR-SNS011</x:v>
      </x:c>
      <x:c r="B75" s="66" t="str">
        <x:v>기존 검증원장</x:v>
      </x:c>
      <x:c r="C75" s="66" t="str">
        <x:v>2023</x:v>
      </x:c>
      <x:c r="D75" s="66" t="str">
        <x:v>팬덤·전연령</x:v>
      </x:c>
      <x:c r="E75" s="66" t="str">
        <x:v>콘텐츠·팬덤</x:v>
      </x:c>
      <x:c r="F75" s="66" t="str">
        <x:v>아기상어 제작사 IPO 기대</x:v>
      </x:c>
      <x:c r="G75" s="66" t="str">
        <x:v>삼성출판사</x:v>
      </x:c>
      <x:c r="H75" s="67" t="str">
        <x:v>068290</x:v>
      </x:c>
      <x:c r="I75" s="66" t="str">
        <x:v>KOSPI</x:v>
      </x:c>
      <x:c r="J75" s="66" t="str">
        <x:v>상승</x:v>
      </x:c>
      <x:c r="K75" s="66" t="str">
        <x:v>상장 추진 보도에 상한가</x:v>
      </x:c>
      <x:c r="L75" s="312" t="n">
        <x:v>29.99</x:v>
      </x:c>
      <x:c r="M75" s="336" t="n">
        <x:v>2</x:v>
      </x:c>
      <x:c r="N75" s="336" t="n">
        <x:v>2</x:v>
      </x:c>
      <x:c r="O75" s="336" t="n">
        <x:v>2</x:v>
      </x:c>
      <x:c r="P75" s="336" t="n">
        <x:v>1</x:v>
      </x:c>
      <x:c r="Q75" s="336" t="n">
        <x:f>M75+N75+O75</x:f>
        <x:v>6</x:v>
      </x:c>
      <x:c r="R75" s="66" t="str">
        <x:f>IF(O75=0,"가격미확인",IF(Q75&gt;=5,"강한사례",IF(Q75&gt;=3,"경계사례","약한연결")))</x:f>
        <x:v>강한사례</x:v>
      </x:c>
      <x:c r="S75" s="66" t="str">
        <x:v>S60</x:v>
      </x:c>
      <x:c r="T75" s="66" t="str">
        <x:v>https://files-scs.pstatic.net/2023/09/06/wxc6Edf0J8/230906%28%EC%88%98%29%20Signal%20Report.pdf</x:v>
      </x:c>
      <x:c r="U75" s="66" t="str">
        <x:v>혼합-테마 주도 | 완료 | 콘텐츠 인기가 지분·IPO 기대와 결합</x:v>
      </x:c>
    </x:row>
    <x:row r="76">
      <x:c r="A76" s="66" t="str">
        <x:v>KR-SNS012</x:v>
      </x:c>
      <x:c r="B76" s="66" t="str">
        <x:v>기존 검증원장</x:v>
      </x:c>
      <x:c r="C76" s="66" t="str">
        <x:v>2020</x:v>
      </x:c>
      <x:c r="D76" s="66" t="str">
        <x:v>전연령</x:v>
      </x:c>
      <x:c r="E76" s="66" t="str">
        <x:v>식품·소비</x:v>
      </x:c>
      <x:c r="F76" s="66" t="str">
        <x:v>기생충 짜파구리</x:v>
      </x:c>
      <x:c r="G76" s="66" t="str">
        <x:v>농심</x:v>
      </x:c>
      <x:c r="H76" s="67" t="str">
        <x:v>004370</x:v>
      </x:c>
      <x:c r="I76" s="66" t="str">
        <x:v>KOSPI</x:v>
      </x:c>
      <x:c r="J76" s="66" t="str">
        <x:v>미확인</x:v>
      </x:c>
      <x:c r="K76" s="66" t="str">
        <x:v>농심 주가도 급등 보도; 정확 수치 미기재</x:v>
      </x:c>
      <x:c r="L76" s="312"/>
      <x:c r="M76" s="336" t="n">
        <x:v>2</x:v>
      </x:c>
      <x:c r="N76" s="336" t="n">
        <x:v>2</x:v>
      </x:c>
      <x:c r="O76" s="336" t="n">
        <x:v>1</x:v>
      </x:c>
      <x:c r="P76" s="336" t="n">
        <x:v>1</x:v>
      </x:c>
      <x:c r="Q76" s="336" t="n">
        <x:f>M76+N76+O76</x:f>
        <x:v>5</x:v>
      </x:c>
      <x:c r="R76" s="66" t="str">
        <x:f>IF(O76=0,"가격미확인",IF(Q76&gt;=5,"강한사례",IF(Q76&gt;=3,"경계사례","약한연결")))</x:f>
        <x:v>강한사례</x:v>
      </x:c>
      <x:c r="S76" s="66" t="str">
        <x:v>S61</x:v>
      </x:c>
      <x:c r="T76" s="66" t="str">
        <x:v>https://www.hankyung.com/article/202002132639Y</x:v>
      </x:c>
      <x:c r="U76" s="66" t="str">
        <x:v>바이럴-사업직결 | 완료 | 콘텐츠 노출이 실물 소비와 주가에 동시에 연결</x:v>
      </x:c>
    </x:row>
    <x:row r="77">
      <x:c r="A77" s="66" t="str">
        <x:v>KR-SNS013</x:v>
      </x:c>
      <x:c r="B77" s="66" t="str">
        <x:v>기존 검증원장</x:v>
      </x:c>
      <x:c r="C77" s="66" t="str">
        <x:v>2014</x:v>
      </x:c>
      <x:c r="D77" s="66" t="str">
        <x:v>전연령</x:v>
      </x:c>
      <x:c r="E77" s="66" t="str">
        <x:v>식품·소비</x:v>
      </x:c>
      <x:c r="F77" s="66" t="str">
        <x:v>허니버터칩 품절</x:v>
      </x:c>
      <x:c r="G77" s="66" t="str">
        <x:v>크라운제과(당시)</x:v>
      </x:c>
      <x:c r="H77" s="67" t="str">
        <x:v>005740</x:v>
      </x:c>
      <x:c r="I77" s="66" t="str">
        <x:v>KOSPI</x:v>
      </x:c>
      <x:c r="J77" s="66" t="str">
        <x:v>상승</x:v>
      </x:c>
      <x:c r="K77" s="66" t="str">
        <x:v>2014-11-21 전일 대비 9.7%, 전년 동기 대비 26.6% 상승</x:v>
      </x:c>
      <x:c r="L77" s="312" t="n">
        <x:v>9.7</x:v>
      </x:c>
      <x:c r="M77" s="336" t="n">
        <x:v>2</x:v>
      </x:c>
      <x:c r="N77" s="336" t="n">
        <x:v>2</x:v>
      </x:c>
      <x:c r="O77" s="336" t="n">
        <x:v>2</x:v>
      </x:c>
      <x:c r="P77" s="336" t="n">
        <x:v>1</x:v>
      </x:c>
      <x:c r="Q77" s="336" t="n">
        <x:f>M77+N77+O77</x:f>
        <x:v>6</x:v>
      </x:c>
      <x:c r="R77" s="66" t="str">
        <x:f>IF(O77=0,"가격미확인",IF(Q77&gt;=5,"강한사례",IF(Q77&gt;=3,"경계사례","약한연결")))</x:f>
        <x:v>강한사례</x:v>
      </x:c>
      <x:c r="S77" s="66" t="str">
        <x:v>S62</x:v>
      </x:c>
      <x:c r="T77" s="66" t="str">
        <x:v>https://pdf.etoday.co.kr/daily/pdf/detoday01058.pdf</x:v>
      </x:c>
      <x:c r="U77" s="66" t="str">
        <x:v>바이럴-사업직결 | 완료 | 한국형 바이럴 식품주의 대표 선행 사례</x:v>
      </x:c>
    </x:row>
    <x:row r="78">
      <x:c r="A78" s="66" t="str">
        <x:v>KR-SNS014</x:v>
      </x:c>
      <x:c r="B78" s="66" t="str">
        <x:v>기존 검증원장</x:v>
      </x:c>
      <x:c r="C78" s="66" t="str">
        <x:v>2016</x:v>
      </x:c>
      <x:c r="D78" s="66" t="str">
        <x:v>전연령</x:v>
      </x:c>
      <x:c r="E78" s="66" t="str">
        <x:v>식품·소비</x:v>
      </x:c>
      <x:c r="F78" s="66" t="str">
        <x:v>허니버터칩 후광</x:v>
      </x:c>
      <x:c r="G78" s="66" t="str">
        <x:v>해태제과식품</x:v>
      </x:c>
      <x:c r="H78" s="67" t="str">
        <x:v>101530</x:v>
      </x:c>
      <x:c r="I78" s="66" t="str">
        <x:v>KOSPI</x:v>
      </x:c>
      <x:c r="J78" s="66" t="str">
        <x:v>상승</x:v>
      </x:c>
      <x:c r="K78" s="66" t="str">
        <x:v>상장 7일 만에 공모가의 4.5배</x:v>
      </x:c>
      <x:c r="L78" s="312" t="n">
        <x:v>350</x:v>
      </x:c>
      <x:c r="M78" s="336" t="n">
        <x:v>2</x:v>
      </x:c>
      <x:c r="N78" s="336" t="n">
        <x:v>2</x:v>
      </x:c>
      <x:c r="O78" s="336" t="n">
        <x:v>2</x:v>
      </x:c>
      <x:c r="P78" s="336" t="n">
        <x:v>1</x:v>
      </x:c>
      <x:c r="Q78" s="336" t="n">
        <x:f>M78+N78+O78</x:f>
        <x:v>6</x:v>
      </x:c>
      <x:c r="R78" s="66" t="str">
        <x:f>IF(O78=0,"가격미확인",IF(Q78&gt;=5,"강한사례",IF(Q78&gt;=3,"경계사례","약한연결")))</x:f>
        <x:v>강한사례</x:v>
      </x:c>
      <x:c r="S78" s="66" t="str">
        <x:v>S63</x:v>
      </x:c>
      <x:c r="T78" s="66" t="str">
        <x:v>https://www.yna.co.kr/view/AKR20161018175251030</x:v>
      </x:c>
      <x:c r="U78" s="66" t="str">
        <x:v>바이럴-사업직결 | 완료 | 유행 상품의 장기 가치 과대평가 위험을 보여줌</x:v>
      </x:c>
    </x:row>
    <x:row r="79">
      <x:c r="A79" s="66" t="str">
        <x:v>KR-SNS015</x:v>
      </x:c>
      <x:c r="B79" s="66" t="str">
        <x:v>기존 검증원장</x:v>
      </x:c>
      <x:c r="C79" s="66" t="str">
        <x:v>2025</x:v>
      </x:c>
      <x:c r="D79" s="66" t="str">
        <x:v>10~40대 중심</x:v>
      </x:c>
      <x:c r="E79" s="66" t="str">
        <x:v>뷰티·패션</x:v>
      </x:c>
      <x:c r="F79" s="66" t="str">
        <x:v>메디큐브·AGE-R</x:v>
      </x:c>
      <x:c r="G79" s="66" t="str">
        <x:v>에이피알</x:v>
      </x:c>
      <x:c r="H79" s="67" t="str">
        <x:v>278470</x:v>
      </x:c>
      <x:c r="I79" s="66" t="str">
        <x:v>KOSPI</x:v>
      </x:c>
      <x:c r="J79" s="66" t="str">
        <x:v>상승</x:v>
      </x:c>
      <x:c r="K79" s="66" t="str">
        <x:v>2026년 4월 기준 연초 대비 80.04% 상승</x:v>
      </x:c>
      <x:c r="L79" s="312" t="n">
        <x:v>80.04</x:v>
      </x:c>
      <x:c r="M79" s="336" t="n">
        <x:v>2</x:v>
      </x:c>
      <x:c r="N79" s="336" t="n">
        <x:v>2</x:v>
      </x:c>
      <x:c r="O79" s="336" t="n">
        <x:v>2</x:v>
      </x:c>
      <x:c r="P79" s="336" t="n">
        <x:v>1</x:v>
      </x:c>
      <x:c r="Q79" s="336" t="n">
        <x:f>M79+N79+O79</x:f>
        <x:v>6</x:v>
      </x:c>
      <x:c r="R79" s="66" t="str">
        <x:f>IF(O79=0,"가격미확인",IF(Q79&gt;=5,"강한사례",IF(Q79&gt;=3,"경계사례","약한연결")))</x:f>
        <x:v>강한사례</x:v>
      </x:c>
      <x:c r="S79" s="66" t="str">
        <x:v>S64</x:v>
      </x:c>
      <x:c r="T79" s="66" t="str">
        <x:v>https://www.hankyung.com/article/2026041910781</x:v>
      </x:c>
      <x:c r="U79" s="66" t="str">
        <x:v>바이럴-사업직결 | 완료 | SNS 신호가 실적에 반영된 뒤 주가가 재평가된 사례</x:v>
      </x:c>
    </x:row>
    <x:row r="80">
      <x:c r="A80" s="66" t="str">
        <x:v>KR-SNS016</x:v>
      </x:c>
      <x:c r="B80" s="66" t="str">
        <x:v>기존 검증원장</x:v>
      </x:c>
      <x:c r="C80" s="66" t="str">
        <x:v>2024</x:v>
      </x:c>
      <x:c r="D80" s="66" t="str">
        <x:v>10~40대 중심</x:v>
      </x:c>
      <x:c r="E80" s="66" t="str">
        <x:v>뷰티·패션</x:v>
      </x:c>
      <x:c r="F80" s="66" t="str">
        <x:v>K뷰티 글로벌 바이럴</x:v>
      </x:c>
      <x:c r="G80" s="66" t="str">
        <x:v>실리콘투</x:v>
      </x:c>
      <x:c r="H80" s="67" t="str">
        <x:v>257720</x:v>
      </x:c>
      <x:c r="I80" s="66" t="str">
        <x:v>KOSDAQ</x:v>
      </x:c>
      <x:c r="J80" s="66" t="str">
        <x:v>상승</x:v>
      </x:c>
      <x:c r="K80" s="66" t="str">
        <x:v>2024년 기사 기준 연초 이후 주가 5배 이상</x:v>
      </x:c>
      <x:c r="L80" s="312" t="n">
        <x:v>400</x:v>
      </x:c>
      <x:c r="M80" s="336" t="n">
        <x:v>2</x:v>
      </x:c>
      <x:c r="N80" s="336" t="n">
        <x:v>1</x:v>
      </x:c>
      <x:c r="O80" s="336" t="n">
        <x:v>2</x:v>
      </x:c>
      <x:c r="P80" s="336" t="n">
        <x:v>1</x:v>
      </x:c>
      <x:c r="Q80" s="336" t="n">
        <x:f>M80+N80+O80</x:f>
        <x:v>5</x:v>
      </x:c>
      <x:c r="R80" s="66" t="str">
        <x:f>IF(O80=0,"가격미확인",IF(Q80&gt;=5,"강한사례",IF(Q80&gt;=3,"경계사례","약한연결")))</x:f>
        <x:v>강한사례</x:v>
      </x:c>
      <x:c r="S80" s="66" t="str">
        <x:v>S65</x:v>
      </x:c>
      <x:c r="T80" s="66" t="str">
        <x:v>https://www.newstof.com/news/articleView.html?idxno=23122</x:v>
      </x:c>
      <x:c r="U80" s="66" t="str">
        <x:v>혼합-테마 주도 | 완료 | 개별 밈보다 여러 바이럴 브랜드를 묶는 유통 레이어</x:v>
      </x:c>
    </x:row>
    <x:row r="81">
      <x:c r="A81" s="66" t="str">
        <x:v>KR-H001</x:v>
      </x:c>
      <x:c r="B81" s="66" t="str">
        <x:v>기존 검증원장</x:v>
      </x:c>
      <x:c r="C81" s="66" t="str">
        <x:v>2009</x:v>
      </x:c>
      <x:c r="D81" s="66" t="str">
        <x:v>성인·투자자</x:v>
      </x:c>
      <x:c r="E81" s="66" t="str">
        <x:v>정치·정책·사회</x:v>
      </x:c>
      <x:c r="F81" s="66" t="str">
        <x:v>4대강 조기 착공</x:v>
      </x:c>
      <x:c r="G81" s="66" t="str">
        <x:v>특수건설</x:v>
      </x:c>
      <x:c r="H81" s="67" t="str">
        <x:v>026150</x:v>
      </x:c>
      <x:c r="I81" s="66" t="str">
        <x:v>KOSDAQ</x:v>
      </x:c>
      <x:c r="J81" s="66" t="str">
        <x:v>상승</x:v>
      </x:c>
      <x:c r="K81" s="66" t="str">
        <x:v>장중 가격제한폭 수준 상승</x:v>
      </x:c>
      <x:c r="L81" s="312" t="n">
        <x:v>14.94</x:v>
      </x:c>
      <x:c r="M81" s="336" t="n">
        <x:v>2</x:v>
      </x:c>
      <x:c r="N81" s="336" t="n">
        <x:v>1</x:v>
      </x:c>
      <x:c r="O81" s="336" t="n">
        <x:v>2</x:v>
      </x:c>
      <x:c r="P81" s="336" t="n">
        <x:v>1</x:v>
      </x:c>
      <x:c r="Q81" s="336" t="n">
        <x:f>M81+N81+O81</x:f>
        <x:v>5</x:v>
      </x:c>
      <x:c r="R81" s="66" t="str">
        <x:f>IF(O81=0,"가격미확인",IF(Q81&gt;=5,"강한사례",IF(Q81&gt;=3,"경계사례","약한연결")))</x:f>
        <x:v>강한사례</x:v>
      </x:c>
      <x:c r="S81" s="66" t="str">
        <x:v>S92</x:v>
      </x:c>
      <x:c r="T81" s="66" t="str">
        <x:v>https://www.hankyung.com/article/2009110944476</x:v>
      </x:c>
      <x:c r="U81" s="66" t="str">
        <x:v>혼합-테마 주도 | 완료 | 정책 테마와 실제 건설업 연결이 함께 존재</x:v>
      </x:c>
    </x:row>
    <x:row r="82">
      <x:c r="A82" s="66" t="str">
        <x:v>KR-H002</x:v>
      </x:c>
      <x:c r="B82" s="66" t="str">
        <x:v>기존 검증원장</x:v>
      </x:c>
      <x:c r="C82" s="66" t="str">
        <x:v>2009</x:v>
      </x:c>
      <x:c r="D82" s="66" t="str">
        <x:v>성인·투자자</x:v>
      </x:c>
      <x:c r="E82" s="66" t="str">
        <x:v>정치·정책·사회</x:v>
      </x:c>
      <x:c r="F82" s="66" t="str">
        <x:v>4대강 조기 착공</x:v>
      </x:c>
      <x:c r="G82" s="66" t="str">
        <x:v>동신건설</x:v>
      </x:c>
      <x:c r="H82" s="67" t="str">
        <x:v>025950</x:v>
      </x:c>
      <x:c r="I82" s="66" t="str">
        <x:v>KOSDAQ</x:v>
      </x:c>
      <x:c r="J82" s="66" t="str">
        <x:v>상승</x:v>
      </x:c>
      <x:c r="K82" s="66" t="str">
        <x:v>장중 가격제한폭 수준 상승</x:v>
      </x:c>
      <x:c r="L82" s="312" t="n">
        <x:v>14.9</x:v>
      </x:c>
      <x:c r="M82" s="336" t="n">
        <x:v>2</x:v>
      </x:c>
      <x:c r="N82" s="336" t="n">
        <x:v>1</x:v>
      </x:c>
      <x:c r="O82" s="336" t="n">
        <x:v>2</x:v>
      </x:c>
      <x:c r="P82" s="336" t="n">
        <x:v>1</x:v>
      </x:c>
      <x:c r="Q82" s="336" t="n">
        <x:f>M82+N82+O82</x:f>
        <x:v>5</x:v>
      </x:c>
      <x:c r="R82" s="66" t="str">
        <x:f>IF(O82=0,"가격미확인",IF(Q82&gt;=5,"강한사례",IF(Q82&gt;=3,"경계사례","약한연결")))</x:f>
        <x:v>강한사례</x:v>
      </x:c>
      <x:c r="S82" s="66" t="str">
        <x:v>S92</x:v>
      </x:c>
      <x:c r="T82" s="66" t="str">
        <x:v>https://www.hankyung.com/article/2009110944476</x:v>
      </x:c>
      <x:c r="U82" s="66" t="str">
        <x:v>혼합-테마 주도 | 완료 | 기업-사건 행 기준</x:v>
      </x:c>
    </x:row>
    <x:row r="83">
      <x:c r="A83" s="66" t="str">
        <x:v>KR-H003</x:v>
      </x:c>
      <x:c r="B83" s="66" t="str">
        <x:v>기존 검증원장</x:v>
      </x:c>
      <x:c r="C83" s="66" t="str">
        <x:v>2009</x:v>
      </x:c>
      <x:c r="D83" s="66" t="str">
        <x:v>성인·투자자</x:v>
      </x:c>
      <x:c r="E83" s="66" t="str">
        <x:v>정치·정책·사회</x:v>
      </x:c>
      <x:c r="F83" s="66" t="str">
        <x:v>4대강 조기 착공</x:v>
      </x:c>
      <x:c r="G83" s="66" t="str">
        <x:v>이화공영</x:v>
      </x:c>
      <x:c r="H83" s="67" t="str">
        <x:v>001840</x:v>
      </x:c>
      <x:c r="I83" s="66" t="str">
        <x:v>KOSDAQ</x:v>
      </x:c>
      <x:c r="J83" s="66" t="str">
        <x:v>상승</x:v>
      </x:c>
      <x:c r="K83" s="66" t="str">
        <x:v>장중 가격제한폭 수준 상승</x:v>
      </x:c>
      <x:c r="L83" s="312" t="n">
        <x:v>14.77</x:v>
      </x:c>
      <x:c r="M83" s="336" t="n">
        <x:v>2</x:v>
      </x:c>
      <x:c r="N83" s="336" t="n">
        <x:v>1</x:v>
      </x:c>
      <x:c r="O83" s="336" t="n">
        <x:v>2</x:v>
      </x:c>
      <x:c r="P83" s="336" t="n">
        <x:v>1</x:v>
      </x:c>
      <x:c r="Q83" s="336" t="n">
        <x:f>M83+N83+O83</x:f>
        <x:v>5</x:v>
      </x:c>
      <x:c r="R83" s="66" t="str">
        <x:f>IF(O83=0,"가격미확인",IF(Q83&gt;=5,"강한사례",IF(Q83&gt;=3,"경계사례","약한연결")))</x:f>
        <x:v>강한사례</x:v>
      </x:c>
      <x:c r="S83" s="66" t="str">
        <x:v>S92</x:v>
      </x:c>
      <x:c r="T83" s="66" t="str">
        <x:v>https://www.hankyung.com/article/2009110944476</x:v>
      </x:c>
      <x:c r="U83" s="66" t="str">
        <x:v>혼합-테마 주도 | 완료 | 정책 기대가 가격을 촉발</x:v>
      </x:c>
    </x:row>
    <x:row r="84">
      <x:c r="A84" s="66" t="str">
        <x:v>KR-H004</x:v>
      </x:c>
      <x:c r="B84" s="66" t="str">
        <x:v>기존 검증원장</x:v>
      </x:c>
      <x:c r="C84" s="66" t="str">
        <x:v>2009</x:v>
      </x:c>
      <x:c r="D84" s="66" t="str">
        <x:v>성인·투자자</x:v>
      </x:c>
      <x:c r="E84" s="66" t="str">
        <x:v>정치·정책·사회</x:v>
      </x:c>
      <x:c r="F84" s="66" t="str">
        <x:v>4대강 조기 착공</x:v>
      </x:c>
      <x:c r="G84" s="66" t="str">
        <x:v>삼목정공(현 삼목에스폼)</x:v>
      </x:c>
      <x:c r="H84" s="67" t="str">
        <x:v>018310</x:v>
      </x:c>
      <x:c r="I84" s="66" t="str">
        <x:v>KOSDAQ</x:v>
      </x:c>
      <x:c r="J84" s="66" t="str">
        <x:v>상승</x:v>
      </x:c>
      <x:c r="K84" s="66" t="str">
        <x:v>장중 가격제한폭 수준 상승</x:v>
      </x:c>
      <x:c r="L84" s="312" t="n">
        <x:v>14.9</x:v>
      </x:c>
      <x:c r="M84" s="336" t="n">
        <x:v>2</x:v>
      </x:c>
      <x:c r="N84" s="336" t="n">
        <x:v>2</x:v>
      </x:c>
      <x:c r="O84" s="336" t="n">
        <x:v>2</x:v>
      </x:c>
      <x:c r="P84" s="336" t="n">
        <x:v>1</x:v>
      </x:c>
      <x:c r="Q84" s="336" t="n">
        <x:f>M84+N84+O84</x:f>
        <x:v>6</x:v>
      </x:c>
      <x:c r="R84" s="66" t="str">
        <x:f>IF(O84=0,"가격미확인",IF(Q84&gt;=5,"강한사례",IF(Q84&gt;=3,"경계사례","약한연결")))</x:f>
        <x:v>강한사례</x:v>
      </x:c>
      <x:c r="S84" s="66" t="str">
        <x:v>S92</x:v>
      </x:c>
      <x:c r="T84" s="66" t="str">
        <x:v>https://www.hankyung.com/article/2009110944476</x:v>
      </x:c>
      <x:c r="U84" s="66" t="str">
        <x:v>혼합-테마 주도 | 완료 | 현재 사명과 당시 사명 병기</x:v>
      </x:c>
    </x:row>
    <x:row r="85">
      <x:c r="A85" s="66" t="str">
        <x:v>KR-H005</x:v>
      </x:c>
      <x:c r="B85" s="66" t="str">
        <x:v>기존 검증원장</x:v>
      </x:c>
      <x:c r="C85" s="66" t="str">
        <x:v>2009</x:v>
      </x:c>
      <x:c r="D85" s="66" t="str">
        <x:v>성인·투자자</x:v>
      </x:c>
      <x:c r="E85" s="66" t="str">
        <x:v>정치·정책·사회</x:v>
      </x:c>
      <x:c r="F85" s="66" t="str">
        <x:v>4대강 조기 착공</x:v>
      </x:c>
      <x:c r="G85" s="66" t="str">
        <x:v>울트라건설</x:v>
      </x:c>
      <x:c r="H85" s="67" t="str">
        <x:v>004320</x:v>
      </x:c>
      <x:c r="I85" s="66" t="str">
        <x:v>KOSDAQ</x:v>
      </x:c>
      <x:c r="J85" s="66" t="str">
        <x:v>상승</x:v>
      </x:c>
      <x:c r="K85" s="66" t="str">
        <x:v>장중 가격제한폭 수준 상승</x:v>
      </x:c>
      <x:c r="L85" s="312" t="n">
        <x:v>14.55</x:v>
      </x:c>
      <x:c r="M85" s="336" t="n">
        <x:v>2</x:v>
      </x:c>
      <x:c r="N85" s="336" t="n">
        <x:v>1</x:v>
      </x:c>
      <x:c r="O85" s="336" t="n">
        <x:v>2</x:v>
      </x:c>
      <x:c r="P85" s="336" t="n">
        <x:v>1</x:v>
      </x:c>
      <x:c r="Q85" s="336" t="n">
        <x:f>M85+N85+O85</x:f>
        <x:v>5</x:v>
      </x:c>
      <x:c r="R85" s="66" t="str">
        <x:f>IF(O85=0,"가격미확인",IF(Q85&gt;=5,"강한사례",IF(Q85&gt;=3,"경계사례","약한연결")))</x:f>
        <x:v>강한사례</x:v>
      </x:c>
      <x:c r="S85" s="66" t="str">
        <x:v>S92</x:v>
      </x:c>
      <x:c r="T85" s="66" t="str">
        <x:v>https://www.hankyung.com/article/2009110944476</x:v>
      </x:c>
      <x:c r="U85" s="66" t="str">
        <x:v>혼합-테마 주도 | 완료 | 역사 사례; 현재 투자대상 아님</x:v>
      </x:c>
    </x:row>
    <x:row r="86">
      <x:c r="A86" s="66" t="str">
        <x:v>KR-H006</x:v>
      </x:c>
      <x:c r="B86" s="66" t="str">
        <x:v>기존 검증원장</x:v>
      </x:c>
      <x:c r="C86" s="66" t="str">
        <x:v>2009</x:v>
      </x:c>
      <x:c r="D86" s="66" t="str">
        <x:v>성인·투자자</x:v>
      </x:c>
      <x:c r="E86" s="66" t="str">
        <x:v>정치·정책·사회</x:v>
      </x:c>
      <x:c r="F86" s="66" t="str">
        <x:v>4대강 조기 착공</x:v>
      </x:c>
      <x:c r="G86" s="66" t="str">
        <x:v>신천개발</x:v>
      </x:c>
      <x:c r="H86" s="67" t="str">
        <x:v>004060</x:v>
      </x:c>
      <x:c r="I86" s="66" t="str">
        <x:v>KOSDAQ</x:v>
      </x:c>
      <x:c r="J86" s="66" t="str">
        <x:v>상승</x:v>
      </x:c>
      <x:c r="K86" s="66" t="str">
        <x:v>장중 가격제한폭 수준 상승</x:v>
      </x:c>
      <x:c r="L86" s="312" t="n">
        <x:v>14.95</x:v>
      </x:c>
      <x:c r="M86" s="336" t="n">
        <x:v>2</x:v>
      </x:c>
      <x:c r="N86" s="336" t="n">
        <x:v>2</x:v>
      </x:c>
      <x:c r="O86" s="336" t="n">
        <x:v>2</x:v>
      </x:c>
      <x:c r="P86" s="336" t="n">
        <x:v>0</x:v>
      </x:c>
      <x:c r="Q86" s="336" t="n">
        <x:f>M86+N86+O86</x:f>
        <x:v>6</x:v>
      </x:c>
      <x:c r="R86" s="66" t="str">
        <x:f>IF(O86=0,"가격미확인",IF(Q86&gt;=5,"강한사례",IF(Q86&gt;=3,"경계사례","약한연결")))</x:f>
        <x:v>강한사례</x:v>
      </x:c>
      <x:c r="S86" s="66" t="str">
        <x:v>S92</x:v>
      </x:c>
      <x:c r="T86" s="66" t="str">
        <x:v>https://www.hankyung.com/article/2009110944476</x:v>
      </x:c>
      <x:c r="U86" s="66" t="str">
        <x:v>혼합-테마 주도 | 완료 | 역사 회사명·티커는 후속 기업연혁 확인 권장</x:v>
      </x:c>
    </x:row>
    <x:row r="87">
      <x:c r="A87" s="66" t="str">
        <x:v>KR-H007</x:v>
      </x:c>
      <x:c r="B87" s="66" t="str">
        <x:v>기존 검증원장</x:v>
      </x:c>
      <x:c r="C87" s="66" t="str">
        <x:v>2009</x:v>
      </x:c>
      <x:c r="D87" s="66" t="str">
        <x:v>성인·투자자</x:v>
      </x:c>
      <x:c r="E87" s="66" t="str">
        <x:v>정치·정책·사회</x:v>
      </x:c>
      <x:c r="F87" s="66" t="str">
        <x:v>4대강 조기 착공</x:v>
      </x:c>
      <x:c r="G87" s="66" t="str">
        <x:v>삼호개발</x:v>
      </x:c>
      <x:c r="H87" s="67" t="str">
        <x:v>010960</x:v>
      </x:c>
      <x:c r="I87" s="66" t="str">
        <x:v>KOSPI</x:v>
      </x:c>
      <x:c r="J87" s="66" t="str">
        <x:v>상승</x:v>
      </x:c>
      <x:c r="K87" s="66" t="str">
        <x:v>장중 가격제한폭 수준 상승</x:v>
      </x:c>
      <x:c r="L87" s="312" t="n">
        <x:v>14.88</x:v>
      </x:c>
      <x:c r="M87" s="336" t="n">
        <x:v>2</x:v>
      </x:c>
      <x:c r="N87" s="336" t="n">
        <x:v>1</x:v>
      </x:c>
      <x:c r="O87" s="336" t="n">
        <x:v>2</x:v>
      </x:c>
      <x:c r="P87" s="336" t="n">
        <x:v>1</x:v>
      </x:c>
      <x:c r="Q87" s="336" t="n">
        <x:f>M87+N87+O87</x:f>
        <x:v>5</x:v>
      </x:c>
      <x:c r="R87" s="66" t="str">
        <x:f>IF(O87=0,"가격미확인",IF(Q87&gt;=5,"강한사례",IF(Q87&gt;=3,"경계사례","약한연결")))</x:f>
        <x:v>강한사례</x:v>
      </x:c>
      <x:c r="S87" s="66" t="str">
        <x:v>S92</x:v>
      </x:c>
      <x:c r="T87" s="66" t="str">
        <x:v>https://www.hankyung.com/article/2009110944476</x:v>
      </x:c>
      <x:c r="U87" s="66" t="str">
        <x:v>혼합-테마 주도 | 완료 | 정책 테마</x:v>
      </x:c>
    </x:row>
    <x:row r="88">
      <x:c r="A88" s="66" t="str">
        <x:v>KR-H008</x:v>
      </x:c>
      <x:c r="B88" s="66" t="str">
        <x:v>기존 검증원장</x:v>
      </x:c>
      <x:c r="C88" s="66" t="str">
        <x:v>2009</x:v>
      </x:c>
      <x:c r="D88" s="66" t="str">
        <x:v>전연령</x:v>
      </x:c>
      <x:c r="E88" s="66" t="str">
        <x:v>식품·소비</x:v>
      </x:c>
      <x:c r="F88" s="66" t="str">
        <x:v>자전거 산업 활성화</x:v>
      </x:c>
      <x:c r="G88" s="66" t="str">
        <x:v>삼천리자전거</x:v>
      </x:c>
      <x:c r="H88" s="67" t="str">
        <x:v>024950</x:v>
      </x:c>
      <x:c r="I88" s="66" t="str">
        <x:v>KOSDAQ</x:v>
      </x:c>
      <x:c r="J88" s="66" t="str">
        <x:v>상승</x:v>
      </x:c>
      <x:c r="K88" s="66" t="str">
        <x:v>상한가</x:v>
      </x:c>
      <x:c r="L88" s="312" t="n">
        <x:v>14.83</x:v>
      </x:c>
      <x:c r="M88" s="336" t="n">
        <x:v>2</x:v>
      </x:c>
      <x:c r="N88" s="336" t="n">
        <x:v>2</x:v>
      </x:c>
      <x:c r="O88" s="336" t="n">
        <x:v>2</x:v>
      </x:c>
      <x:c r="P88" s="336" t="n">
        <x:v>1</x:v>
      </x:c>
      <x:c r="Q88" s="336" t="n">
        <x:f>M88+N88+O88</x:f>
        <x:v>6</x:v>
      </x:c>
      <x:c r="R88" s="66" t="str">
        <x:f>IF(O88=0,"가격미확인",IF(Q88&gt;=5,"강한사례",IF(Q88&gt;=3,"경계사례","약한연결")))</x:f>
        <x:v>강한사례</x:v>
      </x:c>
      <x:c r="S88" s="66" t="str">
        <x:v>S94;S95</x:v>
      </x:c>
      <x:c r="T88" s="66" t="str">
        <x:v>https://www.hankyung.com/article/2009050436866</x:v>
      </x:c>
      <x:c r="U88" s="66" t="str">
        <x:v>사업연결+테마 | 완료 | 밈 단독이 아니라 정책·생활유행 혼합</x:v>
      </x:c>
    </x:row>
    <x:row r="89">
      <x:c r="A89" s="66" t="str">
        <x:v>KR-H009</x:v>
      </x:c>
      <x:c r="B89" s="66" t="str">
        <x:v>기존 검증원장</x:v>
      </x:c>
      <x:c r="C89" s="66" t="str">
        <x:v>2009</x:v>
      </x:c>
      <x:c r="D89" s="66" t="str">
        <x:v>전연령</x:v>
      </x:c>
      <x:c r="E89" s="66" t="str">
        <x:v>식품·소비</x:v>
      </x:c>
      <x:c r="F89" s="66" t="str">
        <x:v>자전거 산업 활성화</x:v>
      </x:c>
      <x:c r="G89" s="66" t="str">
        <x:v>참좋은레져(현 참좋은여행)</x:v>
      </x:c>
      <x:c r="H89" s="67" t="str">
        <x:v>094850</x:v>
      </x:c>
      <x:c r="I89" s="66" t="str">
        <x:v>KOSDAQ</x:v>
      </x:c>
      <x:c r="J89" s="66" t="str">
        <x:v>상승</x:v>
      </x:c>
      <x:c r="K89" s="66" t="str">
        <x:v>상한가</x:v>
      </x:c>
      <x:c r="L89" s="312" t="n">
        <x:v>14.89</x:v>
      </x:c>
      <x:c r="M89" s="336" t="n">
        <x:v>2</x:v>
      </x:c>
      <x:c r="N89" s="336" t="n">
        <x:v>1</x:v>
      </x:c>
      <x:c r="O89" s="336" t="n">
        <x:v>2</x:v>
      </x:c>
      <x:c r="P89" s="336" t="n">
        <x:v>1</x:v>
      </x:c>
      <x:c r="Q89" s="336" t="n">
        <x:f>M89+N89+O89</x:f>
        <x:v>5</x:v>
      </x:c>
      <x:c r="R89" s="66" t="str">
        <x:f>IF(O89=0,"가격미확인",IF(Q89&gt;=5,"강한사례",IF(Q89&gt;=3,"경계사례","약한연결")))</x:f>
        <x:v>강한사례</x:v>
      </x:c>
      <x:c r="S89" s="66" t="str">
        <x:v>S94;S95</x:v>
      </x:c>
      <x:c r="T89" s="66" t="str">
        <x:v>https://www.hankyung.com/article/2009050436866</x:v>
      </x:c>
      <x:c r="U89" s="66" t="str">
        <x:v>사업연결+테마 | 완료 | 당시 사명 기준</x:v>
      </x:c>
    </x:row>
    <x:row r="90">
      <x:c r="A90" s="66" t="str">
        <x:v>KR-H010</x:v>
      </x:c>
      <x:c r="B90" s="66" t="str">
        <x:v>기존 검증원장</x:v>
      </x:c>
      <x:c r="C90" s="66" t="str">
        <x:v>2009</x:v>
      </x:c>
      <x:c r="D90" s="66" t="str">
        <x:v>전연령</x:v>
      </x:c>
      <x:c r="E90" s="66" t="str">
        <x:v>식품·소비</x:v>
      </x:c>
      <x:c r="F90" s="66" t="str">
        <x:v>자전거 산업 활성화</x:v>
      </x:c>
      <x:c r="G90" s="66" t="str">
        <x:v>에이모션</x:v>
      </x:c>
      <x:c r="H90" s="67" t="str">
        <x:v>031860</x:v>
      </x:c>
      <x:c r="I90" s="66" t="str">
        <x:v>KOSDAQ</x:v>
      </x:c>
      <x:c r="J90" s="66" t="str">
        <x:v>상승</x:v>
      </x:c>
      <x:c r="K90" s="66" t="str">
        <x:v>상한가</x:v>
      </x:c>
      <x:c r="L90" s="312" t="n">
        <x:v>14.75</x:v>
      </x:c>
      <x:c r="M90" s="336" t="n">
        <x:v>2</x:v>
      </x:c>
      <x:c r="N90" s="336" t="n">
        <x:v>1</x:v>
      </x:c>
      <x:c r="O90" s="336" t="n">
        <x:v>2</x:v>
      </x:c>
      <x:c r="P90" s="336" t="n">
        <x:v>1</x:v>
      </x:c>
      <x:c r="Q90" s="336" t="n">
        <x:f>M90+N90+O90</x:f>
        <x:v>5</x:v>
      </x:c>
      <x:c r="R90" s="66" t="str">
        <x:f>IF(O90=0,"가격미확인",IF(Q90&gt;=5,"강한사례",IF(Q90&gt;=3,"경계사례","약한연결")))</x:f>
        <x:v>강한사례</x:v>
      </x:c>
      <x:c r="S90" s="66" t="str">
        <x:v>S95</x:v>
      </x:c>
      <x:c r="T90" s="66" t="str">
        <x:v>https://www.asiae.co.kr/article/2009050409100200723</x:v>
      </x:c>
      <x:c r="U90" s="66" t="str">
        <x:v>사업연결+테마 | 완료 | 역사 상장사 사례</x:v>
      </x:c>
    </x:row>
    <x:row r="91">
      <x:c r="A91" s="66" t="str">
        <x:v>KR-H011</x:v>
      </x:c>
      <x:c r="B91" s="66" t="str">
        <x:v>기존 검증원장</x:v>
      </x:c>
      <x:c r="C91" s="66" t="str">
        <x:v>2009</x:v>
      </x:c>
      <x:c r="D91" s="66" t="str">
        <x:v>전연령</x:v>
      </x:c>
      <x:c r="E91" s="66" t="str">
        <x:v>식품·소비</x:v>
      </x:c>
      <x:c r="F91" s="66" t="str">
        <x:v>녹색성장·자전거도로</x:v>
      </x:c>
      <x:c r="G91" s="66" t="str">
        <x:v>참좋은레져(현 참좋은여행)</x:v>
      </x:c>
      <x:c r="H91" s="67" t="str">
        <x:v>094850</x:v>
      </x:c>
      <x:c r="I91" s="66" t="str">
        <x:v>KOSDAQ</x:v>
      </x:c>
      <x:c r="J91" s="66" t="str">
        <x:v>상승</x:v>
      </x:c>
      <x:c r="K91" s="66" t="str">
        <x:v>상한가</x:v>
      </x:c>
      <x:c r="L91" s="312" t="n">
        <x:v>14.93</x:v>
      </x:c>
      <x:c r="M91" s="336" t="n">
        <x:v>2</x:v>
      </x:c>
      <x:c r="N91" s="336" t="n">
        <x:v>1</x:v>
      </x:c>
      <x:c r="O91" s="336" t="n">
        <x:v>2</x:v>
      </x:c>
      <x:c r="P91" s="336" t="n">
        <x:v>1</x:v>
      </x:c>
      <x:c r="Q91" s="336" t="n">
        <x:f>M91+N91+O91</x:f>
        <x:v>5</x:v>
      </x:c>
      <x:c r="R91" s="66" t="str">
        <x:f>IF(O91=0,"가격미확인",IF(Q91&gt;=5,"강한사례",IF(Q91&gt;=3,"경계사례","약한연결")))</x:f>
        <x:v>강한사례</x:v>
      </x:c>
      <x:c r="S91" s="66" t="str">
        <x:v>S93</x:v>
      </x:c>
      <x:c r="T91" s="66" t="str">
        <x:v>https://www.yna.co.kr/amp/view/AKR20090420147100008</x:v>
      </x:c>
      <x:c r="U91" s="66" t="str">
        <x:v>사업연결+테마 | 완료 | 5월 4일 사례와 별도 이벤트</x:v>
      </x:c>
    </x:row>
    <x:row r="92">
      <x:c r="A92" s="66" t="str">
        <x:v>KR-H012</x:v>
      </x:c>
      <x:c r="B92" s="66" t="str">
        <x:v>기존 검증원장</x:v>
      </x:c>
      <x:c r="C92" s="66" t="str">
        <x:v>2009</x:v>
      </x:c>
      <x:c r="D92" s="66" t="str">
        <x:v>전연령</x:v>
      </x:c>
      <x:c r="E92" s="66" t="str">
        <x:v>식품·소비</x:v>
      </x:c>
      <x:c r="F92" s="66" t="str">
        <x:v>녹색성장·4대강</x:v>
      </x:c>
      <x:c r="G92" s="66" t="str">
        <x:v>특수건설</x:v>
      </x:c>
      <x:c r="H92" s="67" t="str">
        <x:v>026150</x:v>
      </x:c>
      <x:c r="I92" s="66" t="str">
        <x:v>KOSDAQ</x:v>
      </x:c>
      <x:c r="J92" s="66" t="str">
        <x:v>상승</x:v>
      </x:c>
      <x:c r="K92" s="66" t="str">
        <x:v>당일 상승</x:v>
      </x:c>
      <x:c r="L92" s="312" t="n">
        <x:v>6.02</x:v>
      </x:c>
      <x:c r="M92" s="336" t="n">
        <x:v>2</x:v>
      </x:c>
      <x:c r="N92" s="336" t="n">
        <x:v>1</x:v>
      </x:c>
      <x:c r="O92" s="336" t="n">
        <x:v>2</x:v>
      </x:c>
      <x:c r="P92" s="336" t="n">
        <x:v>1</x:v>
      </x:c>
      <x:c r="Q92" s="336" t="n">
        <x:f>M92+N92+O92</x:f>
        <x:v>5</x:v>
      </x:c>
      <x:c r="R92" s="66" t="str">
        <x:f>IF(O92=0,"가격미확인",IF(Q92&gt;=5,"강한사례",IF(Q92&gt;=3,"경계사례","약한연결")))</x:f>
        <x:v>강한사례</x:v>
      </x:c>
      <x:c r="S92" s="66" t="str">
        <x:v>S93</x:v>
      </x:c>
      <x:c r="T92" s="66" t="str">
        <x:v>https://www.yna.co.kr/amp/view/AKR20090420147100008</x:v>
      </x:c>
      <x:c r="U92" s="66" t="str">
        <x:v>혼합-테마 주도 | 완료 | 정책 연설 직후 반응</x:v>
      </x:c>
    </x:row>
    <x:row r="93">
      <x:c r="A93" s="66" t="str">
        <x:v>KR-H013</x:v>
      </x:c>
      <x:c r="B93" s="66" t="str">
        <x:v>기존 검증원장</x:v>
      </x:c>
      <x:c r="C93" s="66" t="str">
        <x:v>2009</x:v>
      </x:c>
      <x:c r="D93" s="66" t="str">
        <x:v>전연령</x:v>
      </x:c>
      <x:c r="E93" s="66" t="str">
        <x:v>식품·소비</x:v>
      </x:c>
      <x:c r="F93" s="66" t="str">
        <x:v>녹색성장·4대강</x:v>
      </x:c>
      <x:c r="G93" s="66" t="str">
        <x:v>이화공영</x:v>
      </x:c>
      <x:c r="H93" s="67" t="str">
        <x:v>001840</x:v>
      </x:c>
      <x:c r="I93" s="66" t="str">
        <x:v>KOSDAQ</x:v>
      </x:c>
      <x:c r="J93" s="66" t="str">
        <x:v>상승</x:v>
      </x:c>
      <x:c r="K93" s="66" t="str">
        <x:v>당일 상승</x:v>
      </x:c>
      <x:c r="L93" s="312" t="n">
        <x:v>4.02</x:v>
      </x:c>
      <x:c r="M93" s="336" t="n">
        <x:v>2</x:v>
      </x:c>
      <x:c r="N93" s="336" t="n">
        <x:v>1</x:v>
      </x:c>
      <x:c r="O93" s="336" t="n">
        <x:v>2</x:v>
      </x:c>
      <x:c r="P93" s="336" t="n">
        <x:v>1</x:v>
      </x:c>
      <x:c r="Q93" s="336" t="n">
        <x:f>M93+N93+O93</x:f>
        <x:v>5</x:v>
      </x:c>
      <x:c r="R93" s="66" t="str">
        <x:f>IF(O93=0,"가격미확인",IF(Q93&gt;=5,"강한사례",IF(Q93&gt;=3,"경계사례","약한연결")))</x:f>
        <x:v>강한사례</x:v>
      </x:c>
      <x:c r="S93" s="66" t="str">
        <x:v>S93</x:v>
      </x:c>
      <x:c r="T93" s="66" t="str">
        <x:v>https://www.yna.co.kr/amp/view/AKR20090420147100008</x:v>
      </x:c>
      <x:c r="U93" s="66" t="str">
        <x:v>혼합-테마 주도 | 완료 | 정책 연설 직후 반응</x:v>
      </x:c>
    </x:row>
    <x:row r="94">
      <x:c r="A94" s="66" t="str">
        <x:v>KR-H014</x:v>
      </x:c>
      <x:c r="B94" s="66" t="str">
        <x:v>기존 검증원장</x:v>
      </x:c>
      <x:c r="C94" s="66" t="str">
        <x:v>2009</x:v>
      </x:c>
      <x:c r="D94" s="66" t="str">
        <x:v>전연령</x:v>
      </x:c>
      <x:c r="E94" s="66" t="str">
        <x:v>식품·소비</x:v>
      </x:c>
      <x:c r="F94" s="66" t="str">
        <x:v>녹색성장·4대강</x:v>
      </x:c>
      <x:c r="G94" s="66" t="str">
        <x:v>한국선재</x:v>
      </x:c>
      <x:c r="H94" s="67" t="str">
        <x:v>025550</x:v>
      </x:c>
      <x:c r="I94" s="66" t="str">
        <x:v>KOSDAQ</x:v>
      </x:c>
      <x:c r="J94" s="66" t="str">
        <x:v>상승</x:v>
      </x:c>
      <x:c r="K94" s="66" t="str">
        <x:v>당일 상승</x:v>
      </x:c>
      <x:c r="L94" s="312" t="n">
        <x:v>5.5</x:v>
      </x:c>
      <x:c r="M94" s="336" t="n">
        <x:v>2</x:v>
      </x:c>
      <x:c r="N94" s="336" t="n">
        <x:v>2</x:v>
      </x:c>
      <x:c r="O94" s="336" t="n">
        <x:v>2</x:v>
      </x:c>
      <x:c r="P94" s="336" t="n">
        <x:v>0</x:v>
      </x:c>
      <x:c r="Q94" s="336" t="n">
        <x:f>M94+N94+O94</x:f>
        <x:v>6</x:v>
      </x:c>
      <x:c r="R94" s="66" t="str">
        <x:f>IF(O94=0,"가격미확인",IF(Q94&gt;=5,"강한사례",IF(Q94&gt;=3,"경계사례","약한연결")))</x:f>
        <x:v>강한사례</x:v>
      </x:c>
      <x:c r="S94" s="66" t="str">
        <x:v>S93</x:v>
      </x:c>
      <x:c r="T94" s="66" t="str">
        <x:v>https://www.yna.co.kr/amp/view/AKR20090420147100008</x:v>
      </x:c>
      <x:c r="U94" s="66" t="str">
        <x:v>혼합-테마 주도 | 완료 | 인과는 당일 기사 서술 기준</x:v>
      </x:c>
    </x:row>
    <x:row r="95">
      <x:c r="A95" s="66" t="str">
        <x:v>KR-H015</x:v>
      </x:c>
      <x:c r="B95" s="66" t="str">
        <x:v>기존 검증원장</x:v>
      </x:c>
      <x:c r="C95" s="66" t="str">
        <x:v>2009</x:v>
      </x:c>
      <x:c r="D95" s="66" t="str">
        <x:v>전연령</x:v>
      </x:c>
      <x:c r="E95" s="66" t="str">
        <x:v>식품·소비</x:v>
      </x:c>
      <x:c r="F95" s="66" t="str">
        <x:v>녹색성장·4대강</x:v>
      </x:c>
      <x:c r="G95" s="66" t="str">
        <x:v>홈센타(현 홈센타홀딩스)</x:v>
      </x:c>
      <x:c r="H95" s="67" t="str">
        <x:v>060560</x:v>
      </x:c>
      <x:c r="I95" s="66" t="str">
        <x:v>KOSDAQ</x:v>
      </x:c>
      <x:c r="J95" s="66" t="str">
        <x:v>상승</x:v>
      </x:c>
      <x:c r="K95" s="66" t="str">
        <x:v>당일 상승</x:v>
      </x:c>
      <x:c r="L95" s="312" t="n">
        <x:v>3.22</x:v>
      </x:c>
      <x:c r="M95" s="336" t="n">
        <x:v>2</x:v>
      </x:c>
      <x:c r="N95" s="336" t="n">
        <x:v>1</x:v>
      </x:c>
      <x:c r="O95" s="336" t="n">
        <x:v>2</x:v>
      </x:c>
      <x:c r="P95" s="336" t="n">
        <x:v>1</x:v>
      </x:c>
      <x:c r="Q95" s="336" t="n">
        <x:f>M95+N95+O95</x:f>
        <x:v>5</x:v>
      </x:c>
      <x:c r="R95" s="66" t="str">
        <x:f>IF(O95=0,"가격미확인",IF(Q95&gt;=5,"강한사례",IF(Q95&gt;=3,"경계사례","약한연결")))</x:f>
        <x:v>강한사례</x:v>
      </x:c>
      <x:c r="S95" s="66" t="str">
        <x:v>S93</x:v>
      </x:c>
      <x:c r="T95" s="66" t="str">
        <x:v>https://www.yna.co.kr/amp/view/AKR20090420147100008</x:v>
      </x:c>
      <x:c r="U95" s="66" t="str">
        <x:v>혼합-테마 주도 | 완료 | 현재 사명 병기</x:v>
      </x:c>
    </x:row>
    <x:row r="96">
      <x:c r="A96" s="66" t="str">
        <x:v>KR-H016</x:v>
      </x:c>
      <x:c r="B96" s="66" t="str">
        <x:v>기존 검증원장</x:v>
      </x:c>
      <x:c r="C96" s="66" t="str">
        <x:v>2009</x:v>
      </x:c>
      <x:c r="D96" s="66" t="str">
        <x:v>전연령</x:v>
      </x:c>
      <x:c r="E96" s="66" t="str">
        <x:v>식품·소비</x:v>
      </x:c>
      <x:c r="F96" s="66" t="str">
        <x:v>녹색성장·4대강</x:v>
      </x:c>
      <x:c r="G96" s="66" t="str">
        <x:v>미주제강</x:v>
      </x:c>
      <x:c r="H96" s="67" t="str">
        <x:v>002670</x:v>
      </x:c>
      <x:c r="I96" s="66" t="str">
        <x:v>KOSPI</x:v>
      </x:c>
      <x:c r="J96" s="66" t="str">
        <x:v>상승</x:v>
      </x:c>
      <x:c r="K96" s="66" t="str">
        <x:v>당일 상승</x:v>
      </x:c>
      <x:c r="L96" s="312" t="n">
        <x:v>7.35</x:v>
      </x:c>
      <x:c r="M96" s="336" t="n">
        <x:v>2</x:v>
      </x:c>
      <x:c r="N96" s="336" t="n">
        <x:v>1</x:v>
      </x:c>
      <x:c r="O96" s="336" t="n">
        <x:v>2</x:v>
      </x:c>
      <x:c r="P96" s="336" t="n">
        <x:v>0</x:v>
      </x:c>
      <x:c r="Q96" s="336" t="n">
        <x:f>M96+N96+O96</x:f>
        <x:v>5</x:v>
      </x:c>
      <x:c r="R96" s="66" t="str">
        <x:f>IF(O96=0,"가격미확인",IF(Q96&gt;=5,"강한사례",IF(Q96&gt;=3,"경계사례","약한연결")))</x:f>
        <x:v>강한사례</x:v>
      </x:c>
      <x:c r="S96" s="66" t="str">
        <x:v>S93</x:v>
      </x:c>
      <x:c r="T96" s="66" t="str">
        <x:v>https://www.yna.co.kr/amp/view/AKR20090420147100008</x:v>
      </x:c>
      <x:c r="U96" s="66" t="str">
        <x:v>혼합-테마 주도 | 완료 | 역사 사례; 현재 투자대상 아님</x:v>
      </x:c>
    </x:row>
    <x:row r="97">
      <x:c r="A97" s="66" t="str">
        <x:v>KR-H017</x:v>
      </x:c>
      <x:c r="B97" s="66" t="str">
        <x:v>기존 검증원장</x:v>
      </x:c>
      <x:c r="C97" s="66" t="str">
        <x:v>2010</x:v>
      </x:c>
      <x:c r="D97" s="66" t="str">
        <x:v>팬덤·전연령</x:v>
      </x:c>
      <x:c r="E97" s="66" t="str">
        <x:v>콘텐츠·팬덤</x:v>
      </x:c>
      <x:c r="F97" s="66" t="str">
        <x:v>아바타·3D 열풍</x:v>
      </x:c>
      <x:c r="G97" s="66" t="str">
        <x:v>케이디씨(현 광무)</x:v>
      </x:c>
      <x:c r="H97" s="67" t="str">
        <x:v>029480</x:v>
      </x:c>
      <x:c r="I97" s="66" t="str">
        <x:v>KOSDAQ</x:v>
      </x:c>
      <x:c r="J97" s="66" t="str">
        <x:v>미확인</x:v>
      </x:c>
      <x:c r="K97" s="66" t="str">
        <x:v>기사상 급등 후 하락 언급; 정확 수치 미제공</x:v>
      </x:c>
      <x:c r="L97" s="312"/>
      <x:c r="M97" s="336" t="n">
        <x:v>2</x:v>
      </x:c>
      <x:c r="N97" s="336" t="n">
        <x:v>1</x:v>
      </x:c>
      <x:c r="O97" s="336" t="n">
        <x:v>0</x:v>
      </x:c>
      <x:c r="P97" s="336" t="n">
        <x:v>1</x:v>
      </x:c>
      <x:c r="Q97" s="336" t="n">
        <x:f>M97+N97+O97</x:f>
        <x:v>3</x:v>
      </x:c>
      <x:c r="R97" s="66" t="str">
        <x:f>IF(O97=0,"가격미확인",IF(Q97&gt;=5,"강한사례",IF(Q97&gt;=3,"경계사례","약한연결")))</x:f>
        <x:v>가격미확인</x:v>
      </x:c>
      <x:c r="S97" s="66" t="str">
        <x:v>S96</x:v>
      </x:c>
      <x:c r="T97" s="66" t="str">
        <x:v>https://www.etoday.co.kr/news/view/283529</x:v>
      </x:c>
      <x:c r="U97" s="66" t="str">
        <x:v>후보-가격검증 | 부분 | 사실 기사 존재, 수치 미입력</x:v>
      </x:c>
    </x:row>
    <x:row r="98">
      <x:c r="A98" s="66" t="str">
        <x:v>KR-H018</x:v>
      </x:c>
      <x:c r="B98" s="66" t="str">
        <x:v>기존 검증원장</x:v>
      </x:c>
      <x:c r="C98" s="66" t="str">
        <x:v>2010</x:v>
      </x:c>
      <x:c r="D98" s="66" t="str">
        <x:v>팬덤·전연령</x:v>
      </x:c>
      <x:c r="E98" s="66" t="str">
        <x:v>콘텐츠·팬덤</x:v>
      </x:c>
      <x:c r="F98" s="66" t="str">
        <x:v>아바타·3D 열풍</x:v>
      </x:c>
      <x:c r="G98" s="66" t="str">
        <x:v>티엘아이</x:v>
      </x:c>
      <x:c r="H98" s="67" t="str">
        <x:v>062860</x:v>
      </x:c>
      <x:c r="I98" s="66" t="str">
        <x:v>KOSDAQ</x:v>
      </x:c>
      <x:c r="J98" s="66" t="str">
        <x:v>미확인</x:v>
      </x:c>
      <x:c r="K98" s="66" t="str">
        <x:v>기사상 꾸준한 상승세; 정확 수치 미제공</x:v>
      </x:c>
      <x:c r="L98" s="312"/>
      <x:c r="M98" s="336" t="n">
        <x:v>2</x:v>
      </x:c>
      <x:c r="N98" s="336" t="n">
        <x:v>1</x:v>
      </x:c>
      <x:c r="O98" s="336" t="n">
        <x:v>0</x:v>
      </x:c>
      <x:c r="P98" s="336" t="n">
        <x:v>1</x:v>
      </x:c>
      <x:c r="Q98" s="336" t="n">
        <x:f>M98+N98+O98</x:f>
        <x:v>3</x:v>
      </x:c>
      <x:c r="R98" s="66" t="str">
        <x:f>IF(O98=0,"가격미확인",IF(Q98&gt;=5,"강한사례",IF(Q98&gt;=3,"경계사례","약한연결")))</x:f>
        <x:v>가격미확인</x:v>
      </x:c>
      <x:c r="S98" s="66" t="str">
        <x:v>S96</x:v>
      </x:c>
      <x:c r="T98" s="66" t="str">
        <x:v>https://www.etoday.co.kr/news/view/283529</x:v>
      </x:c>
      <x:c r="U98" s="66" t="str">
        <x:v>후보-가격검증 | 부분 | 이후 상장 상태 변동은 별도 확인</x:v>
      </x:c>
    </x:row>
    <x:row r="99">
      <x:c r="A99" s="66" t="str">
        <x:v>KR-H019</x:v>
      </x:c>
      <x:c r="B99" s="66" t="str">
        <x:v>기존 검증원장</x:v>
      </x:c>
      <x:c r="C99" s="66" t="str">
        <x:v>2010</x:v>
      </x:c>
      <x:c r="D99" s="66" t="str">
        <x:v>팬덤·전연령</x:v>
      </x:c>
      <x:c r="E99" s="66" t="str">
        <x:v>콘텐츠·팬덤</x:v>
      </x:c>
      <x:c r="F99" s="66" t="str">
        <x:v>아바타·3D 열풍</x:v>
      </x:c>
      <x:c r="G99" s="66" t="str">
        <x:v>잘만테크</x:v>
      </x:c>
      <x:c r="H99" s="67" t="str">
        <x:v>090120</x:v>
      </x:c>
      <x:c r="I99" s="66" t="str">
        <x:v>KOSDAQ</x:v>
      </x:c>
      <x:c r="J99" s="66" t="str">
        <x:v>미확인</x:v>
      </x:c>
      <x:c r="K99" s="66" t="str">
        <x:v>기사상 꾸준한 상승세; 정확 수치 미제공</x:v>
      </x:c>
      <x:c r="L99" s="312"/>
      <x:c r="M99" s="336" t="n">
        <x:v>2</x:v>
      </x:c>
      <x:c r="N99" s="336" t="n">
        <x:v>1</x:v>
      </x:c>
      <x:c r="O99" s="336" t="n">
        <x:v>0</x:v>
      </x:c>
      <x:c r="P99" s="336" t="n">
        <x:v>1</x:v>
      </x:c>
      <x:c r="Q99" s="336" t="n">
        <x:f>M99+N99+O99</x:f>
        <x:v>3</x:v>
      </x:c>
      <x:c r="R99" s="66" t="str">
        <x:f>IF(O99=0,"가격미확인",IF(Q99&gt;=5,"강한사례",IF(Q99&gt;=3,"경계사례","약한연결")))</x:f>
        <x:v>가격미확인</x:v>
      </x:c>
      <x:c r="S99" s="66" t="str">
        <x:v>S96</x:v>
      </x:c>
      <x:c r="T99" s="66" t="str">
        <x:v>https://www.etoday.co.kr/news/view/283529</x:v>
      </x:c>
      <x:c r="U99" s="66" t="str">
        <x:v>후보-가격검증 | 부분 | 현재 투자대상 아님</x:v>
      </x:c>
    </x:row>
    <x:row r="100">
      <x:c r="A100" s="66" t="str">
        <x:v>KR-H020</x:v>
      </x:c>
      <x:c r="B100" s="66" t="str">
        <x:v>기존 검증원장</x:v>
      </x:c>
      <x:c r="C100" s="66" t="str">
        <x:v>2010</x:v>
      </x:c>
      <x:c r="D100" s="66" t="str">
        <x:v>전연령·투자자</x:v>
      </x:c>
      <x:c r="E100" s="66" t="str">
        <x:v>기술·플랫폼</x:v>
      </x:c>
      <x:c r="F100" s="66" t="str">
        <x:v>아이폰·스마트폰 확산</x:v>
      </x:c>
      <x:c r="G100" s="66" t="str">
        <x:v>디지텍시스템</x:v>
      </x:c>
      <x:c r="H100" s="67" t="str">
        <x:v>091690</x:v>
      </x:c>
      <x:c r="I100" s="66" t="str">
        <x:v>KOSDAQ</x:v>
      </x:c>
      <x:c r="J100" s="66" t="str">
        <x:v>미확인</x:v>
      </x:c>
      <x:c r="K100" s="66" t="str">
        <x:v>수혜주로 주목; 원문 정확 수치 미제공</x:v>
      </x:c>
      <x:c r="L100" s="312"/>
      <x:c r="M100" s="336" t="n">
        <x:v>2</x:v>
      </x:c>
      <x:c r="N100" s="336" t="n">
        <x:v>1</x:v>
      </x:c>
      <x:c r="O100" s="336" t="n">
        <x:v>0</x:v>
      </x:c>
      <x:c r="P100" s="336" t="n">
        <x:v>1</x:v>
      </x:c>
      <x:c r="Q100" s="336" t="n">
        <x:f>M100+N100+O100</x:f>
        <x:v>3</x:v>
      </x:c>
      <x:c r="R100" s="66" t="str">
        <x:f>IF(O100=0,"가격미확인",IF(Q100&gt;=5,"강한사례",IF(Q100&gt;=3,"경계사례","약한연결")))</x:f>
        <x:v>가격미확인</x:v>
      </x:c>
      <x:c r="S100" s="66" t="str">
        <x:v>S80;S96</x:v>
      </x:c>
      <x:c r="T100" s="66" t="str">
        <x:v>https://www.yna.co.kr/view/AKR20091128034700017</x:v>
      </x:c>
      <x:c r="U100" s="66" t="str">
        <x:v>후보-가격검증 | 부분 | 가격 데이터 후속 검증 필요</x:v>
      </x:c>
    </x:row>
    <x:row r="101">
      <x:c r="A101" s="66" t="str">
        <x:v>KR-H021</x:v>
      </x:c>
      <x:c r="B101" s="66" t="str">
        <x:v>기존 검증원장</x:v>
      </x:c>
      <x:c r="C101" s="66" t="str">
        <x:v>2010</x:v>
      </x:c>
      <x:c r="D101" s="66" t="str">
        <x:v>전연령·투자자</x:v>
      </x:c>
      <x:c r="E101" s="66" t="str">
        <x:v>기술·플랫폼</x:v>
      </x:c>
      <x:c r="F101" s="66" t="str">
        <x:v>아이폰·스마트폰 확산</x:v>
      </x:c>
      <x:c r="G101" s="66" t="str">
        <x:v>이엘케이</x:v>
      </x:c>
      <x:c r="H101" s="67" t="str">
        <x:v>094190</x:v>
      </x:c>
      <x:c r="I101" s="66" t="str">
        <x:v>KOSDAQ</x:v>
      </x:c>
      <x:c r="J101" s="66" t="str">
        <x:v>미확인</x:v>
      </x:c>
      <x:c r="K101" s="66" t="str">
        <x:v>수혜주로 주목; 원문 정확 수치 미제공</x:v>
      </x:c>
      <x:c r="L101" s="312"/>
      <x:c r="M101" s="336" t="n">
        <x:v>2</x:v>
      </x:c>
      <x:c r="N101" s="336" t="n">
        <x:v>1</x:v>
      </x:c>
      <x:c r="O101" s="336" t="n">
        <x:v>0</x:v>
      </x:c>
      <x:c r="P101" s="336" t="n">
        <x:v>1</x:v>
      </x:c>
      <x:c r="Q101" s="336" t="n">
        <x:f>M101+N101+O101</x:f>
        <x:v>3</x:v>
      </x:c>
      <x:c r="R101" s="66" t="str">
        <x:f>IF(O101=0,"가격미확인",IF(Q101&gt;=5,"강한사례",IF(Q101&gt;=3,"경계사례","약한연결")))</x:f>
        <x:v>가격미확인</x:v>
      </x:c>
      <x:c r="S101" s="66" t="str">
        <x:v>S80;S96</x:v>
      </x:c>
      <x:c r="T101" s="66" t="str">
        <x:v>https://www.yna.co.kr/view/AKR20091128034700017</x:v>
      </x:c>
      <x:c r="U101" s="66" t="str">
        <x:v>후보-가격검증 | 부분 | 가격 데이터 후속 검증 필요</x:v>
      </x:c>
    </x:row>
    <x:row r="102">
      <x:c r="A102" s="66" t="str">
        <x:v>KR-H022</x:v>
      </x:c>
      <x:c r="B102" s="66" t="str">
        <x:v>기존 검증원장</x:v>
      </x:c>
      <x:c r="C102" s="66" t="str">
        <x:v>2010</x:v>
      </x:c>
      <x:c r="D102" s="66" t="str">
        <x:v>전연령·투자자</x:v>
      </x:c>
      <x:c r="E102" s="66" t="str">
        <x:v>기술·플랫폼</x:v>
      </x:c>
      <x:c r="F102" s="66" t="str">
        <x:v>아이폰·스마트폰 확산</x:v>
      </x:c>
      <x:c r="G102" s="66" t="str">
        <x:v>멜파스</x:v>
      </x:c>
      <x:c r="H102" s="67" t="str">
        <x:v>096640</x:v>
      </x:c>
      <x:c r="I102" s="66" t="str">
        <x:v>KOSDAQ</x:v>
      </x:c>
      <x:c r="J102" s="66" t="str">
        <x:v>미확인</x:v>
      </x:c>
      <x:c r="K102" s="66" t="str">
        <x:v>수혜주로 주목; 원문 정확 수치 미제공</x:v>
      </x:c>
      <x:c r="L102" s="312"/>
      <x:c r="M102" s="336" t="n">
        <x:v>2</x:v>
      </x:c>
      <x:c r="N102" s="336" t="n">
        <x:v>1</x:v>
      </x:c>
      <x:c r="O102" s="336" t="n">
        <x:v>0</x:v>
      </x:c>
      <x:c r="P102" s="336" t="n">
        <x:v>1</x:v>
      </x:c>
      <x:c r="Q102" s="336" t="n">
        <x:f>M102+N102+O102</x:f>
        <x:v>3</x:v>
      </x:c>
      <x:c r="R102" s="66" t="str">
        <x:f>IF(O102=0,"가격미확인",IF(Q102&gt;=5,"강한사례",IF(Q102&gt;=3,"경계사례","약한연결")))</x:f>
        <x:v>가격미확인</x:v>
      </x:c>
      <x:c r="S102" s="66" t="str">
        <x:v>S80;S96</x:v>
      </x:c>
      <x:c r="T102" s="66" t="str">
        <x:v>https://www.yna.co.kr/view/AKR20091128034700017</x:v>
      </x:c>
      <x:c r="U102" s="66" t="str">
        <x:v>후보-가격검증 | 부분 | 가격 데이터 후속 검증 필요</x:v>
      </x:c>
    </x:row>
    <x:row r="103">
      <x:c r="A103" s="66" t="str">
        <x:v>KR-H023</x:v>
      </x:c>
      <x:c r="B103" s="66" t="str">
        <x:v>기존 검증원장</x:v>
      </x:c>
      <x:c r="C103" s="66" t="str">
        <x:v>2010</x:v>
      </x:c>
      <x:c r="D103" s="66" t="str">
        <x:v>전연령·투자자</x:v>
      </x:c>
      <x:c r="E103" s="66" t="str">
        <x:v>기술·플랫폼</x:v>
      </x:c>
      <x:c r="F103" s="66" t="str">
        <x:v>아이폰·스마트폰 확산</x:v>
      </x:c>
      <x:c r="G103" s="66" t="str">
        <x:v>디오텍(현 셀바스AI)</x:v>
      </x:c>
      <x:c r="H103" s="67" t="str">
        <x:v>108860</x:v>
      </x:c>
      <x:c r="I103" s="66" t="str">
        <x:v>KOSDAQ</x:v>
      </x:c>
      <x:c r="J103" s="66" t="str">
        <x:v>미확인</x:v>
      </x:c>
      <x:c r="K103" s="66" t="str">
        <x:v>관련주 관심; 원문 정확 수치 미제공</x:v>
      </x:c>
      <x:c r="L103" s="312"/>
      <x:c r="M103" s="336" t="n">
        <x:v>2</x:v>
      </x:c>
      <x:c r="N103" s="336" t="n">
        <x:v>1</x:v>
      </x:c>
      <x:c r="O103" s="336" t="n">
        <x:v>0</x:v>
      </x:c>
      <x:c r="P103" s="336" t="n">
        <x:v>1</x:v>
      </x:c>
      <x:c r="Q103" s="336" t="n">
        <x:f>M103+N103+O103</x:f>
        <x:v>3</x:v>
      </x:c>
      <x:c r="R103" s="66" t="str">
        <x:f>IF(O103=0,"가격미확인",IF(Q103&gt;=5,"강한사례",IF(Q103&gt;=3,"경계사례","약한연결")))</x:f>
        <x:v>가격미확인</x:v>
      </x:c>
      <x:c r="S103" s="66" t="str">
        <x:v>S80;S96</x:v>
      </x:c>
      <x:c r="T103" s="66" t="str">
        <x:v>https://www.yna.co.kr/view/AKR20091128034700017</x:v>
      </x:c>
      <x:c r="U103" s="66" t="str">
        <x:v>후보-가격검증 | 부분 | 현재 사명 병기</x:v>
      </x:c>
    </x:row>
    <x:row r="104">
      <x:c r="A104" s="66" t="str">
        <x:v>KR-H024</x:v>
      </x:c>
      <x:c r="B104" s="66" t="str">
        <x:v>기존 검증원장</x:v>
      </x:c>
      <x:c r="C104" s="66" t="str">
        <x:v>2010</x:v>
      </x:c>
      <x:c r="D104" s="66" t="str">
        <x:v>전연령·투자자</x:v>
      </x:c>
      <x:c r="E104" s="66" t="str">
        <x:v>기술·플랫폼</x:v>
      </x:c>
      <x:c r="F104" s="66" t="str">
        <x:v>아이폰·스마트폰 확산</x:v>
      </x:c>
      <x:c r="G104" s="66" t="str">
        <x:v>파트론</x:v>
      </x:c>
      <x:c r="H104" s="67" t="str">
        <x:v>091700</x:v>
      </x:c>
      <x:c r="I104" s="66" t="str">
        <x:v>KOSDAQ</x:v>
      </x:c>
      <x:c r="J104" s="66" t="str">
        <x:v>미확인</x:v>
      </x:c>
      <x:c r="K104" s="66" t="str">
        <x:v>관련주 관심; 원문 정확 수치 미제공</x:v>
      </x:c>
      <x:c r="L104" s="312"/>
      <x:c r="M104" s="336" t="n">
        <x:v>2</x:v>
      </x:c>
      <x:c r="N104" s="336" t="n">
        <x:v>1</x:v>
      </x:c>
      <x:c r="O104" s="336" t="n">
        <x:v>0</x:v>
      </x:c>
      <x:c r="P104" s="336" t="n">
        <x:v>1</x:v>
      </x:c>
      <x:c r="Q104" s="336" t="n">
        <x:f>M104+N104+O104</x:f>
        <x:v>3</x:v>
      </x:c>
      <x:c r="R104" s="66" t="str">
        <x:f>IF(O104=0,"가격미확인",IF(Q104&gt;=5,"강한사례",IF(Q104&gt;=3,"경계사례","약한연결")))</x:f>
        <x:v>가격미확인</x:v>
      </x:c>
      <x:c r="S104" s="66" t="str">
        <x:v>S80;S96</x:v>
      </x:c>
      <x:c r="T104" s="66" t="str">
        <x:v>https://www.yna.co.kr/view/AKR20091128034700017</x:v>
      </x:c>
      <x:c r="U104" s="66" t="str">
        <x:v>후보-가격검증 | 부분 | 기업-사건 후보 행</x:v>
      </x:c>
    </x:row>
    <x:row r="105">
      <x:c r="A105" s="66" t="str">
        <x:v>KR-H025</x:v>
      </x:c>
      <x:c r="B105" s="66" t="str">
        <x:v>기존 검증원장</x:v>
      </x:c>
      <x:c r="C105" s="66" t="str">
        <x:v>2010</x:v>
      </x:c>
      <x:c r="D105" s="66" t="str">
        <x:v>전연령·투자자</x:v>
      </x:c>
      <x:c r="E105" s="66" t="str">
        <x:v>기술·플랫폼</x:v>
      </x:c>
      <x:c r="F105" s="66" t="str">
        <x:v>아이폰·스마트폰 확산</x:v>
      </x:c>
      <x:c r="G105" s="66" t="str">
        <x:v>아모텍</x:v>
      </x:c>
      <x:c r="H105" s="67" t="str">
        <x:v>052710</x:v>
      </x:c>
      <x:c r="I105" s="66" t="str">
        <x:v>KOSDAQ</x:v>
      </x:c>
      <x:c r="J105" s="66" t="str">
        <x:v>미확인</x:v>
      </x:c>
      <x:c r="K105" s="66" t="str">
        <x:v>관련주 관심; 원문 정확 수치 미제공</x:v>
      </x:c>
      <x:c r="L105" s="312"/>
      <x:c r="M105" s="336" t="n">
        <x:v>2</x:v>
      </x:c>
      <x:c r="N105" s="336" t="n">
        <x:v>1</x:v>
      </x:c>
      <x:c r="O105" s="336" t="n">
        <x:v>0</x:v>
      </x:c>
      <x:c r="P105" s="336" t="n">
        <x:v>1</x:v>
      </x:c>
      <x:c r="Q105" s="336" t="n">
        <x:f>M105+N105+O105</x:f>
        <x:v>3</x:v>
      </x:c>
      <x:c r="R105" s="66" t="str">
        <x:f>IF(O105=0,"가격미확인",IF(Q105&gt;=5,"강한사례",IF(Q105&gt;=3,"경계사례","약한연결")))</x:f>
        <x:v>가격미확인</x:v>
      </x:c>
      <x:c r="S105" s="66" t="str">
        <x:v>S80;S96</x:v>
      </x:c>
      <x:c r="T105" s="66" t="str">
        <x:v>https://www.yna.co.kr/view/AKR20091128034700017</x:v>
      </x:c>
      <x:c r="U105" s="66" t="str">
        <x:v>후보-가격검증 | 부분 | 기업-사건 후보 행</x:v>
      </x:c>
    </x:row>
    <x:row r="106">
      <x:c r="A106" s="66" t="str">
        <x:v>DISC-2009-01</x:v>
      </x:c>
      <x:c r="B106" s="66" t="str">
        <x:v>추가 광범위탐색</x:v>
      </x:c>
      <x:c r="C106" s="66" t="n">
        <x:v>2009</x:v>
      </x:c>
      <x:c r="D106" s="66" t="str">
        <x:v>전연령</x:v>
      </x:c>
      <x:c r="E106" s="66" t="str">
        <x:v>건강·재난</x:v>
      </x:c>
      <x:c r="F106" s="66" t="str">
        <x:v>신종플루 확산</x:v>
      </x:c>
      <x:c r="G106" s="66" t="str">
        <x:v>GC녹십자</x:v>
      </x:c>
      <x:c r="H106" s="67" t="str">
        <x:v>006280</x:v>
      </x:c>
      <x:c r="I106" s="66" t="str">
        <x:v>KOSPI</x:v>
      </x:c>
      <x:c r="J106" s="66" t="str">
        <x:v>상승</x:v>
      </x:c>
      <x:c r="K106" s="66" t="str">
        <x:v>사망자 발생일 상한가</x:v>
      </x:c>
      <x:c r="L106" s="312" t="n">
        <x:v>14.9</x:v>
      </x:c>
      <x:c r="M106" s="336" t="n">
        <x:v>2</x:v>
      </x:c>
      <x:c r="N106" s="336" t="n">
        <x:v>2</x:v>
      </x:c>
      <x:c r="O106" s="336" t="n">
        <x:v>2</x:v>
      </x:c>
      <x:c r="P106" s="336" t="n">
        <x:v>1</x:v>
      </x:c>
      <x:c r="Q106" s="336" t="n">
        <x:f>M106+N106+O106</x:f>
        <x:v>6</x:v>
      </x:c>
      <x:c r="R106" s="66" t="str">
        <x:f>IF(O106=0,"가격미확인",IF(Q106&gt;=5,"강한사례",IF(Q106&gt;=3,"경계사례","약한연결")))</x:f>
        <x:v>강한사례</x:v>
      </x:c>
      <x:c r="S106" s="66" t="str">
        <x:v>S101</x:v>
      </x:c>
      <x:c r="T106" s="66" t="str">
        <x:v>https://cb.yna.co.kr/gate/big5/cn.yna.co.kr/view/AKR20090817168100008</x:v>
      </x:c>
      <x:c r="U106" s="66" t="str">
        <x:v>백신 직접 사업; 공포·실수혜 혼합</x:v>
      </x:c>
    </x:row>
    <x:row r="107">
      <x:c r="A107" s="66" t="str">
        <x:v>DISC-2009-02</x:v>
      </x:c>
      <x:c r="B107" s="66" t="str">
        <x:v>추가 광범위탐색</x:v>
      </x:c>
      <x:c r="C107" s="66" t="n">
        <x:v>2009</x:v>
      </x:c>
      <x:c r="D107" s="66" t="str">
        <x:v>전연령</x:v>
      </x:c>
      <x:c r="E107" s="66" t="str">
        <x:v>건강·재난</x:v>
      </x:c>
      <x:c r="F107" s="66" t="str">
        <x:v>신종플루 확산</x:v>
      </x:c>
      <x:c r="G107" s="66" t="str">
        <x:v>진원생명과학(당시 VGX인터)</x:v>
      </x:c>
      <x:c r="H107" s="67" t="str">
        <x:v>011000</x:v>
      </x:c>
      <x:c r="I107" s="66" t="str">
        <x:v>KOSPI</x:v>
      </x:c>
      <x:c r="J107" s="66" t="str">
        <x:v>상승</x:v>
      </x:c>
      <x:c r="K107" s="66" t="str">
        <x:v>사망자 발생일 상한가</x:v>
      </x:c>
      <x:c r="L107" s="312" t="n">
        <x:v>14.9</x:v>
      </x:c>
      <x:c r="M107" s="336" t="n">
        <x:v>2</x:v>
      </x:c>
      <x:c r="N107" s="336" t="n">
        <x:v>1</x:v>
      </x:c>
      <x:c r="O107" s="336" t="n">
        <x:v>2</x:v>
      </x:c>
      <x:c r="P107" s="336" t="n">
        <x:v>1</x:v>
      </x:c>
      <x:c r="Q107" s="336" t="n">
        <x:f>M107+N107+O107</x:f>
        <x:v>5</x:v>
      </x:c>
      <x:c r="R107" s="66" t="str">
        <x:f>IF(O107=0,"가격미확인",IF(Q107&gt;=5,"강한사례",IF(Q107&gt;=3,"경계사례","약한연결")))</x:f>
        <x:v>강한사례</x:v>
      </x:c>
      <x:c r="S107" s="66" t="str">
        <x:v>S101</x:v>
      </x:c>
      <x:c r="T107" s="66" t="str">
        <x:v>https://cb.yna.co.kr/gate/big5/cn.yna.co.kr/view/AKR20090817168100008</x:v>
      </x:c>
      <x:c r="U107" s="66" t="str">
        <x:v>당시 테마 분류</x:v>
      </x:c>
    </x:row>
    <x:row r="108">
      <x:c r="A108" s="66" t="str">
        <x:v>DISC-2009-03</x:v>
      </x:c>
      <x:c r="B108" s="66" t="str">
        <x:v>추가 광범위탐색</x:v>
      </x:c>
      <x:c r="C108" s="66" t="n">
        <x:v>2009</x:v>
      </x:c>
      <x:c r="D108" s="66" t="str">
        <x:v>전연령</x:v>
      </x:c>
      <x:c r="E108" s="66" t="str">
        <x:v>건강·재난</x:v>
      </x:c>
      <x:c r="F108" s="66" t="str">
        <x:v>신종플루 확산</x:v>
      </x:c>
      <x:c r="G108" s="66" t="str">
        <x:v>케이피엠테크</x:v>
      </x:c>
      <x:c r="H108" s="67" t="str">
        <x:v>042040</x:v>
      </x:c>
      <x:c r="I108" s="66" t="str">
        <x:v>KOSDAQ</x:v>
      </x:c>
      <x:c r="J108" s="66" t="str">
        <x:v>상승</x:v>
      </x:c>
      <x:c r="K108" s="66" t="str">
        <x:v>사망자 발생일 상한가</x:v>
      </x:c>
      <x:c r="L108" s="312" t="n">
        <x:v>14.9</x:v>
      </x:c>
      <x:c r="M108" s="336" t="n">
        <x:v>2</x:v>
      </x:c>
      <x:c r="N108" s="336" t="n">
        <x:v>1</x:v>
      </x:c>
      <x:c r="O108" s="336" t="n">
        <x:v>2</x:v>
      </x:c>
      <x:c r="P108" s="336" t="n">
        <x:v>1</x:v>
      </x:c>
      <x:c r="Q108" s="336" t="n">
        <x:f>M108+N108+O108</x:f>
        <x:v>5</x:v>
      </x:c>
      <x:c r="R108" s="66" t="str">
        <x:f>IF(O108=0,"가격미확인",IF(Q108&gt;=5,"강한사례",IF(Q108&gt;=3,"경계사례","약한연결")))</x:f>
        <x:v>강한사례</x:v>
      </x:c>
      <x:c r="S108" s="66" t="str">
        <x:v>S101</x:v>
      </x:c>
      <x:c r="T108" s="66" t="str">
        <x:v>https://cb.yna.co.kr/gate/big5/cn.yna.co.kr/view/AKR20090817168100008</x:v>
      </x:c>
      <x:c r="U108" s="66" t="str">
        <x:v>예방·방역 테마</x:v>
      </x:c>
    </x:row>
    <x:row r="109">
      <x:c r="A109" s="66" t="str">
        <x:v>DISC-2009-04</x:v>
      </x:c>
      <x:c r="B109" s="66" t="str">
        <x:v>추가 광범위탐색</x:v>
      </x:c>
      <x:c r="C109" s="66" t="n">
        <x:v>2009</x:v>
      </x:c>
      <x:c r="D109" s="66" t="str">
        <x:v>전연령</x:v>
      </x:c>
      <x:c r="E109" s="66" t="str">
        <x:v>건강·재난</x:v>
      </x:c>
      <x:c r="F109" s="66" t="str">
        <x:v>신종플루 확산</x:v>
      </x:c>
      <x:c r="G109" s="66" t="str">
        <x:v>대한뉴팜</x:v>
      </x:c>
      <x:c r="H109" s="67" t="str">
        <x:v>054670</x:v>
      </x:c>
      <x:c r="I109" s="66" t="str">
        <x:v>KOSDAQ</x:v>
      </x:c>
      <x:c r="J109" s="66" t="str">
        <x:v>상승</x:v>
      </x:c>
      <x:c r="K109" s="66" t="str">
        <x:v>사망자 발생일 상한가</x:v>
      </x:c>
      <x:c r="L109" s="312" t="n">
        <x:v>14.9</x:v>
      </x:c>
      <x:c r="M109" s="336" t="n">
        <x:v>2</x:v>
      </x:c>
      <x:c r="N109" s="336" t="n">
        <x:v>1</x:v>
      </x:c>
      <x:c r="O109" s="336" t="n">
        <x:v>2</x:v>
      </x:c>
      <x:c r="P109" s="336" t="n">
        <x:v>1</x:v>
      </x:c>
      <x:c r="Q109" s="336" t="n">
        <x:f>M109+N109+O109</x:f>
        <x:v>5</x:v>
      </x:c>
      <x:c r="R109" s="66" t="str">
        <x:f>IF(O109=0,"가격미확인",IF(Q109&gt;=5,"강한사례",IF(Q109&gt;=3,"경계사례","약한연결")))</x:f>
        <x:v>강한사례</x:v>
      </x:c>
      <x:c r="S109" s="66" t="str">
        <x:v>S101</x:v>
      </x:c>
      <x:c r="T109" s="66" t="str">
        <x:v>https://cb.yna.co.kr/gate/big5/cn.yna.co.kr/view/AKR20090817168100008</x:v>
      </x:c>
      <x:c r="U109" s="66" t="str">
        <x:v>의약 테마</x:v>
      </x:c>
    </x:row>
    <x:row r="110">
      <x:c r="A110" s="66" t="str">
        <x:v>DISC-2009-05</x:v>
      </x:c>
      <x:c r="B110" s="66" t="str">
        <x:v>추가 광범위탐색</x:v>
      </x:c>
      <x:c r="C110" s="66" t="n">
        <x:v>2009</x:v>
      </x:c>
      <x:c r="D110" s="66" t="str">
        <x:v>전연령</x:v>
      </x:c>
      <x:c r="E110" s="66" t="str">
        <x:v>건강·재난</x:v>
      </x:c>
      <x:c r="F110" s="66" t="str">
        <x:v>신종플루 확산</x:v>
      </x:c>
      <x:c r="G110" s="66" t="str">
        <x:v>제일바이오</x:v>
      </x:c>
      <x:c r="H110" s="67" t="str">
        <x:v>052670</x:v>
      </x:c>
      <x:c r="I110" s="66" t="str">
        <x:v>KOSDAQ</x:v>
      </x:c>
      <x:c r="J110" s="66" t="str">
        <x:v>상승</x:v>
      </x:c>
      <x:c r="K110" s="66" t="str">
        <x:v>사망자 발생일 상한가</x:v>
      </x:c>
      <x:c r="L110" s="312" t="n">
        <x:v>14.9</x:v>
      </x:c>
      <x:c r="M110" s="336" t="n">
        <x:v>2</x:v>
      </x:c>
      <x:c r="N110" s="336" t="n">
        <x:v>1</x:v>
      </x:c>
      <x:c r="O110" s="336" t="n">
        <x:v>2</x:v>
      </x:c>
      <x:c r="P110" s="336" t="n">
        <x:v>1</x:v>
      </x:c>
      <x:c r="Q110" s="336" t="n">
        <x:f>M110+N110+O110</x:f>
        <x:v>5</x:v>
      </x:c>
      <x:c r="R110" s="66" t="str">
        <x:f>IF(O110=0,"가격미확인",IF(Q110&gt;=5,"강한사례",IF(Q110&gt;=3,"경계사례","약한연결")))</x:f>
        <x:v>강한사례</x:v>
      </x:c>
      <x:c r="S110" s="66" t="str">
        <x:v>S101</x:v>
      </x:c>
      <x:c r="T110" s="66" t="str">
        <x:v>https://cb.yna.co.kr/gate/big5/cn.yna.co.kr/view/AKR20090817168100008</x:v>
      </x:c>
      <x:c r="U110" s="66" t="str">
        <x:v>역사 상장사</x:v>
      </x:c>
    </x:row>
    <x:row r="111">
      <x:c r="A111" s="66" t="str">
        <x:v>DISC-2009-06</x:v>
      </x:c>
      <x:c r="B111" s="66" t="str">
        <x:v>추가 광범위탐색</x:v>
      </x:c>
      <x:c r="C111" s="66" t="n">
        <x:v>2009</x:v>
      </x:c>
      <x:c r="D111" s="66" t="str">
        <x:v>전연령</x:v>
      </x:c>
      <x:c r="E111" s="66" t="str">
        <x:v>건강·재난</x:v>
      </x:c>
      <x:c r="F111" s="66" t="str">
        <x:v>신종플루 확산</x:v>
      </x:c>
      <x:c r="G111" s="66" t="str">
        <x:v>파루</x:v>
      </x:c>
      <x:c r="H111" s="67" t="str">
        <x:v>043200</x:v>
      </x:c>
      <x:c r="I111" s="66" t="str">
        <x:v>KOSDAQ</x:v>
      </x:c>
      <x:c r="J111" s="66" t="str">
        <x:v>상승</x:v>
      </x:c>
      <x:c r="K111" s="66" t="str">
        <x:v>사망자 발생일 상한가</x:v>
      </x:c>
      <x:c r="L111" s="312" t="n">
        <x:v>14.9</x:v>
      </x:c>
      <x:c r="M111" s="336" t="n">
        <x:v>2</x:v>
      </x:c>
      <x:c r="N111" s="336" t="n">
        <x:v>1</x:v>
      </x:c>
      <x:c r="O111" s="336" t="n">
        <x:v>2</x:v>
      </x:c>
      <x:c r="P111" s="336" t="n">
        <x:v>1</x:v>
      </x:c>
      <x:c r="Q111" s="336" t="n">
        <x:f>M111+N111+O111</x:f>
        <x:v>5</x:v>
      </x:c>
      <x:c r="R111" s="66" t="str">
        <x:f>IF(O111=0,"가격미확인",IF(Q111&gt;=5,"강한사례",IF(Q111&gt;=3,"경계사례","약한연결")))</x:f>
        <x:v>강한사례</x:v>
      </x:c>
      <x:c r="S111" s="66" t="str">
        <x:v>S101</x:v>
      </x:c>
      <x:c r="T111" s="66" t="str">
        <x:v>https://cb.yna.co.kr/gate/big5/cn.yna.co.kr/view/AKR20090817168100008</x:v>
      </x:c>
      <x:c r="U111" s="66" t="str">
        <x:v>방역 테마</x:v>
      </x:c>
    </x:row>
    <x:row r="112">
      <x:c r="A112" s="66" t="str">
        <x:v>DISC-2009-07</x:v>
      </x:c>
      <x:c r="B112" s="66" t="str">
        <x:v>추가 광범위탐색</x:v>
      </x:c>
      <x:c r="C112" s="66" t="n">
        <x:v>2009</x:v>
      </x:c>
      <x:c r="D112" s="66" t="str">
        <x:v>전연령</x:v>
      </x:c>
      <x:c r="E112" s="66" t="str">
        <x:v>건강·재난</x:v>
      </x:c>
      <x:c r="F112" s="66" t="str">
        <x:v>신종플루 확산</x:v>
      </x:c>
      <x:c r="G112" s="66" t="str">
        <x:v>중앙백신</x:v>
      </x:c>
      <x:c r="H112" s="67" t="str">
        <x:v>072020</x:v>
      </x:c>
      <x:c r="I112" s="66" t="str">
        <x:v>KOSDAQ</x:v>
      </x:c>
      <x:c r="J112" s="66" t="str">
        <x:v>상승</x:v>
      </x:c>
      <x:c r="K112" s="66" t="str">
        <x:v>사망자 발생일 상한가</x:v>
      </x:c>
      <x:c r="L112" s="312" t="n">
        <x:v>14.9</x:v>
      </x:c>
      <x:c r="M112" s="336" t="n">
        <x:v>2</x:v>
      </x:c>
      <x:c r="N112" s="336" t="n">
        <x:v>1</x:v>
      </x:c>
      <x:c r="O112" s="336" t="n">
        <x:v>2</x:v>
      </x:c>
      <x:c r="P112" s="336" t="n">
        <x:v>1</x:v>
      </x:c>
      <x:c r="Q112" s="336" t="n">
        <x:f>M112+N112+O112</x:f>
        <x:v>5</x:v>
      </x:c>
      <x:c r="R112" s="66" t="str">
        <x:f>IF(O112=0,"가격미확인",IF(Q112&gt;=5,"강한사례",IF(Q112&gt;=3,"경계사례","약한연결")))</x:f>
        <x:v>강한사례</x:v>
      </x:c>
      <x:c r="S112" s="66" t="str">
        <x:v>S101</x:v>
      </x:c>
      <x:c r="T112" s="66" t="str">
        <x:v>https://cb.yna.co.kr/gate/big5/cn.yna.co.kr/view/AKR20090817168100008</x:v>
      </x:c>
      <x:c r="U112" s="66" t="str">
        <x:v>동물백신에서 인체 유행으로 관심 전이 가능</x:v>
      </x:c>
    </x:row>
    <x:row r="113">
      <x:c r="A113" s="66" t="str">
        <x:v>DISC-2009-08</x:v>
      </x:c>
      <x:c r="B113" s="66" t="str">
        <x:v>추가 광범위탐색</x:v>
      </x:c>
      <x:c r="C113" s="66" t="n">
        <x:v>2009</x:v>
      </x:c>
      <x:c r="D113" s="66" t="str">
        <x:v>전연령</x:v>
      </x:c>
      <x:c r="E113" s="66" t="str">
        <x:v>건강·재난</x:v>
      </x:c>
      <x:c r="F113" s="66" t="str">
        <x:v>신종플루 확산</x:v>
      </x:c>
      <x:c r="G113" s="66" t="str">
        <x:v>씨티씨바이오</x:v>
      </x:c>
      <x:c r="H113" s="67" t="str">
        <x:v>060590</x:v>
      </x:c>
      <x:c r="I113" s="66" t="str">
        <x:v>KOSDAQ</x:v>
      </x:c>
      <x:c r="J113" s="66" t="str">
        <x:v>상승</x:v>
      </x:c>
      <x:c r="K113" s="66" t="str">
        <x:v>확산 뉴스에 상한가</x:v>
      </x:c>
      <x:c r="L113" s="312" t="n">
        <x:v>14.9</x:v>
      </x:c>
      <x:c r="M113" s="336" t="n">
        <x:v>2</x:v>
      </x:c>
      <x:c r="N113" s="336" t="n">
        <x:v>1</x:v>
      </x:c>
      <x:c r="O113" s="336" t="n">
        <x:v>2</x:v>
      </x:c>
      <x:c r="P113" s="336" t="n">
        <x:v>1</x:v>
      </x:c>
      <x:c r="Q113" s="336" t="n">
        <x:f>M113+N113+O113</x:f>
        <x:v>5</x:v>
      </x:c>
      <x:c r="R113" s="66" t="str">
        <x:f>IF(O113=0,"가격미확인",IF(Q113&gt;=5,"강한사례",IF(Q113&gt;=3,"경계사례","약한연결")))</x:f>
        <x:v>강한사례</x:v>
      </x:c>
      <x:c r="S113" s="66" t="str">
        <x:v>S100</x:v>
      </x:c>
      <x:c r="T113" s="66" t="str">
        <x:v>https://www.hankyung.com/article/2009082156686</x:v>
      </x:c>
      <x:c r="U113" s="66" t="str">
        <x:v>의약·백신 관련주 묶음</x:v>
      </x:c>
    </x:row>
    <x:row r="114">
      <x:c r="A114" s="66" t="str">
        <x:v>DISC-2009-09</x:v>
      </x:c>
      <x:c r="B114" s="66" t="str">
        <x:v>추가 광범위탐색</x:v>
      </x:c>
      <x:c r="C114" s="66" t="n">
        <x:v>2009</x:v>
      </x:c>
      <x:c r="D114" s="66" t="str">
        <x:v>전연령</x:v>
      </x:c>
      <x:c r="E114" s="66" t="str">
        <x:v>건강·재난</x:v>
      </x:c>
      <x:c r="F114" s="66" t="str">
        <x:v>신종플루 확산</x:v>
      </x:c>
      <x:c r="G114" s="66" t="str">
        <x:v>현대바이오랜드(당시 바이오랜드)</x:v>
      </x:c>
      <x:c r="H114" s="67" t="str">
        <x:v>052260</x:v>
      </x:c>
      <x:c r="I114" s="66" t="str">
        <x:v>KOSDAQ</x:v>
      </x:c>
      <x:c r="J114" s="66" t="str">
        <x:v>상승</x:v>
      </x:c>
      <x:c r="K114" s="66" t="str">
        <x:v>확산 뉴스에 상한가</x:v>
      </x:c>
      <x:c r="L114" s="312" t="n">
        <x:v>14.9</x:v>
      </x:c>
      <x:c r="M114" s="336" t="n">
        <x:v>2</x:v>
      </x:c>
      <x:c r="N114" s="336" t="n">
        <x:v>1</x:v>
      </x:c>
      <x:c r="O114" s="336" t="n">
        <x:v>2</x:v>
      </x:c>
      <x:c r="P114" s="336" t="n">
        <x:v>1</x:v>
      </x:c>
      <x:c r="Q114" s="336" t="n">
        <x:f>M114+N114+O114</x:f>
        <x:v>5</x:v>
      </x:c>
      <x:c r="R114" s="66" t="str">
        <x:f>IF(O114=0,"가격미확인",IF(Q114&gt;=5,"강한사례",IF(Q114&gt;=3,"경계사례","약한연결")))</x:f>
        <x:v>강한사례</x:v>
      </x:c>
      <x:c r="S114" s="66" t="str">
        <x:v>S100</x:v>
      </x:c>
      <x:c r="T114" s="66" t="str">
        <x:v>https://www.hankyung.com/article/2009082156686</x:v>
      </x:c>
      <x:c r="U114" s="66" t="str">
        <x:v>당시 관련주 분류</x:v>
      </x:c>
    </x:row>
    <x:row r="115">
      <x:c r="A115" s="66" t="str">
        <x:v>DISC-2009-10</x:v>
      </x:c>
      <x:c r="B115" s="66" t="str">
        <x:v>추가 광범위탐색</x:v>
      </x:c>
      <x:c r="C115" s="66" t="n">
        <x:v>2009</x:v>
      </x:c>
      <x:c r="D115" s="66" t="str">
        <x:v>전연령</x:v>
      </x:c>
      <x:c r="E115" s="66" t="str">
        <x:v>건강·재난</x:v>
      </x:c>
      <x:c r="F115" s="66" t="str">
        <x:v>신종플루 확산</x:v>
      </x:c>
      <x:c r="G115" s="66" t="str">
        <x:v>에스텍파마</x:v>
      </x:c>
      <x:c r="H115" s="67" t="str">
        <x:v>041910</x:v>
      </x:c>
      <x:c r="I115" s="66" t="str">
        <x:v>KOSDAQ</x:v>
      </x:c>
      <x:c r="J115" s="66" t="str">
        <x:v>상승</x:v>
      </x:c>
      <x:c r="K115" s="66" t="str">
        <x:v>확산 뉴스에 상한가</x:v>
      </x:c>
      <x:c r="L115" s="312" t="n">
        <x:v>14.9</x:v>
      </x:c>
      <x:c r="M115" s="336" t="n">
        <x:v>2</x:v>
      </x:c>
      <x:c r="N115" s="336" t="n">
        <x:v>1</x:v>
      </x:c>
      <x:c r="O115" s="336" t="n">
        <x:v>2</x:v>
      </x:c>
      <x:c r="P115" s="336" t="n">
        <x:v>1</x:v>
      </x:c>
      <x:c r="Q115" s="336" t="n">
        <x:f>M115+N115+O115</x:f>
        <x:v>5</x:v>
      </x:c>
      <x:c r="R115" s="66" t="str">
        <x:f>IF(O115=0,"가격미확인",IF(Q115&gt;=5,"강한사례",IF(Q115&gt;=3,"경계사례","약한연결")))</x:f>
        <x:v>강한사례</x:v>
      </x:c>
      <x:c r="S115" s="66" t="str">
        <x:v>S100</x:v>
      </x:c>
      <x:c r="T115" s="66" t="str">
        <x:v>https://www.hankyung.com/article/2009082156686</x:v>
      </x:c>
      <x:c r="U115" s="66" t="str">
        <x:v>의약 테마</x:v>
      </x:c>
    </x:row>
    <x:row r="116">
      <x:c r="A116" s="66" t="str">
        <x:v>DISC-2009-11</x:v>
      </x:c>
      <x:c r="B116" s="66" t="str">
        <x:v>추가 광범위탐색</x:v>
      </x:c>
      <x:c r="C116" s="66" t="n">
        <x:v>2009</x:v>
      </x:c>
      <x:c r="D116" s="66" t="str">
        <x:v>전연령</x:v>
      </x:c>
      <x:c r="E116" s="66" t="str">
        <x:v>건강·재난</x:v>
      </x:c>
      <x:c r="F116" s="66" t="str">
        <x:v>신종플루 확산</x:v>
      </x:c>
      <x:c r="G116" s="66" t="str">
        <x:v>에스디(당시 상장사)</x:v>
      </x:c>
      <x:c r="H116" s="67" t="str">
        <x:v>066930</x:v>
      </x:c>
      <x:c r="I116" s="66" t="str">
        <x:v>KOSDAQ</x:v>
      </x:c>
      <x:c r="J116" s="66" t="str">
        <x:v>상승</x:v>
      </x:c>
      <x:c r="K116" s="66" t="str">
        <x:v>확산 뉴스에 상한가</x:v>
      </x:c>
      <x:c r="L116" s="312" t="n">
        <x:v>14.9</x:v>
      </x:c>
      <x:c r="M116" s="336" t="n">
        <x:v>2</x:v>
      </x:c>
      <x:c r="N116" s="336" t="n">
        <x:v>2</x:v>
      </x:c>
      <x:c r="O116" s="336" t="n">
        <x:v>2</x:v>
      </x:c>
      <x:c r="P116" s="336" t="n">
        <x:v>1</x:v>
      </x:c>
      <x:c r="Q116" s="336" t="n">
        <x:f>M116+N116+O116</x:f>
        <x:v>6</x:v>
      </x:c>
      <x:c r="R116" s="66" t="str">
        <x:f>IF(O116=0,"가격미확인",IF(Q116&gt;=5,"강한사례",IF(Q116&gt;=3,"경계사례","약한연결")))</x:f>
        <x:v>강한사례</x:v>
      </x:c>
      <x:c r="S116" s="66" t="str">
        <x:v>S100</x:v>
      </x:c>
      <x:c r="T116" s="66" t="str">
        <x:v>https://www.hankyung.com/article/2009082156686</x:v>
      </x:c>
      <x:c r="U116" s="66" t="str">
        <x:v>진단 관련 역사 사례</x:v>
      </x:c>
    </x:row>
    <x:row r="117">
      <x:c r="A117" s="66" t="str">
        <x:v>DISC-2010-01</x:v>
      </x:c>
      <x:c r="B117" s="66" t="str">
        <x:v>추가 광범위탐색</x:v>
      </x:c>
      <x:c r="C117" s="66" t="n">
        <x:v>2010</x:v>
      </x:c>
      <x:c r="D117" s="66" t="str">
        <x:v>20~50대</x:v>
      </x:c>
      <x:c r="E117" s="66" t="str">
        <x:v>식품·소비</x:v>
      </x:c>
      <x:c r="F117" s="66" t="str">
        <x:v>막걸리 웰빙·복고 열풍</x:v>
      </x:c>
      <x:c r="G117" s="66" t="str">
        <x:v>국순당</x:v>
      </x:c>
      <x:c r="H117" s="67" t="str">
        <x:v>043650</x:v>
      </x:c>
      <x:c r="I117" s="66" t="str">
        <x:v>KOSDAQ</x:v>
      </x:c>
      <x:c r="J117" s="66" t="str">
        <x:v>상승</x:v>
      </x:c>
      <x:c r="K117" s="66" t="str">
        <x:v>연일 신고가 행진</x:v>
      </x:c>
      <x:c r="L117" s="312"/>
      <x:c r="M117" s="336" t="n">
        <x:v>2</x:v>
      </x:c>
      <x:c r="N117" s="336" t="n">
        <x:v>2</x:v>
      </x:c>
      <x:c r="O117" s="336" t="n">
        <x:v>1</x:v>
      </x:c>
      <x:c r="P117" s="336" t="n">
        <x:v>2</x:v>
      </x:c>
      <x:c r="Q117" s="336" t="n">
        <x:f>M117+N117+O117</x:f>
        <x:v>5</x:v>
      </x:c>
      <x:c r="R117" s="66" t="str">
        <x:f>IF(O117=0,"가격미확인",IF(Q117&gt;=5,"강한사례",IF(Q117&gt;=3,"경계사례","약한연결")))</x:f>
        <x:v>강한사례</x:v>
      </x:c>
      <x:c r="S117" s="66" t="str">
        <x:v>S102</x:v>
      </x:c>
      <x:c r="T117" s="66" t="str">
        <x:v>https://www.hankyung.com/article/2010050445286</x:v>
      </x:c>
      <x:c r="U117" s="66" t="str">
        <x:v>유행과 매출 성장·실적이 함께 작동</x:v>
      </x:c>
    </x:row>
    <x:row r="118">
      <x:c r="A118" s="66" t="str">
        <x:v>DISC-2010-02</x:v>
      </x:c>
      <x:c r="B118" s="66" t="str">
        <x:v>추가 광범위탐색</x:v>
      </x:c>
      <x:c r="C118" s="66" t="n">
        <x:v>2010</x:v>
      </x:c>
      <x:c r="D118" s="66" t="str">
        <x:v>전연령</x:v>
      </x:c>
      <x:c r="E118" s="66" t="str">
        <x:v>스포츠·행사</x:v>
      </x:c>
      <x:c r="F118" s="66" t="str">
        <x:v>남아공월드컵 치킨 수요 기대</x:v>
      </x:c>
      <x:c r="G118" s="66" t="str">
        <x:v>하림</x:v>
      </x:c>
      <x:c r="H118" s="67" t="str">
        <x:v>136480</x:v>
      </x:c>
      <x:c r="I118" s="66" t="str">
        <x:v>KOSDAQ</x:v>
      </x:c>
      <x:c r="J118" s="66" t="str">
        <x:v>상승→소멸</x:v>
      </x:c>
      <x:c r="K118" s="66" t="str">
        <x:v>급락장 중 약 8% 상승 후 16강 진출일 하락</x:v>
      </x:c>
      <x:c r="L118" s="312" t="n">
        <x:v>8</x:v>
      </x:c>
      <x:c r="M118" s="336" t="n">
        <x:v>2</x:v>
      </x:c>
      <x:c r="N118" s="336" t="n">
        <x:v>2</x:v>
      </x:c>
      <x:c r="O118" s="336" t="n">
        <x:v>2</x:v>
      </x:c>
      <x:c r="P118" s="336" t="n">
        <x:v>1</x:v>
      </x:c>
      <x:c r="Q118" s="336" t="n">
        <x:f>M118+N118+O118</x:f>
        <x:v>6</x:v>
      </x:c>
      <x:c r="R118" s="66" t="str">
        <x:f>IF(O118=0,"가격미확인",IF(Q118&gt;=5,"강한사례",IF(Q118&gt;=3,"경계사례","약한연결")))</x:f>
        <x:v>강한사례</x:v>
      </x:c>
      <x:c r="S118" s="66" t="str">
        <x:v>S103</x:v>
      </x:c>
      <x:c r="T118" s="66" t="str">
        <x:v>https://www.klca.or.kr/KLCADownload/eBook/P7013.pdf?Mode=PC</x:v>
      </x:c>
      <x:c r="U118" s="66" t="str">
        <x:v>경기 결과에 따라 테마 소멸</x:v>
      </x:c>
    </x:row>
    <x:row r="119">
      <x:c r="A119" s="66" t="str">
        <x:v>DISC-2010-03</x:v>
      </x:c>
      <x:c r="B119" s="66" t="str">
        <x:v>추가 광범위탐색</x:v>
      </x:c>
      <x:c r="C119" s="66" t="n">
        <x:v>2010</x:v>
      </x:c>
      <x:c r="D119" s="66" t="str">
        <x:v>전연령</x:v>
      </x:c>
      <x:c r="E119" s="66" t="str">
        <x:v>스포츠·행사</x:v>
      </x:c>
      <x:c r="F119" s="66" t="str">
        <x:v>남아공월드컵 치킨 수요 기대</x:v>
      </x:c>
      <x:c r="G119" s="66" t="str">
        <x:v>동우(당시 상장사)</x:v>
      </x:c>
      <x:c r="H119" s="67" t="str">
        <x:v>088910</x:v>
      </x:c>
      <x:c r="I119" s="66" t="str">
        <x:v>KOSDAQ</x:v>
      </x:c>
      <x:c r="J119" s="66" t="str">
        <x:v>상승→소멸</x:v>
      </x:c>
      <x:c r="K119" s="66" t="str">
        <x:v>급락장 중 약 4% 상승 후 테마 소멸</x:v>
      </x:c>
      <x:c r="L119" s="312" t="n">
        <x:v>4</x:v>
      </x:c>
      <x:c r="M119" s="336" t="n">
        <x:v>2</x:v>
      </x:c>
      <x:c r="N119" s="336" t="n">
        <x:v>2</x:v>
      </x:c>
      <x:c r="O119" s="336" t="n">
        <x:v>2</x:v>
      </x:c>
      <x:c r="P119" s="336" t="n">
        <x:v>1</x:v>
      </x:c>
      <x:c r="Q119" s="336" t="n">
        <x:f>M119+N119+O119</x:f>
        <x:v>6</x:v>
      </x:c>
      <x:c r="R119" s="66" t="str">
        <x:f>IF(O119=0,"가격미확인",IF(Q119&gt;=5,"강한사례",IF(Q119&gt;=3,"경계사례","약한연결")))</x:f>
        <x:v>강한사례</x:v>
      </x:c>
      <x:c r="S119" s="66" t="str">
        <x:v>S103</x:v>
      </x:c>
      <x:c r="T119" s="66" t="str">
        <x:v>https://www.klca.or.kr/KLCADownload/eBook/P7013.pdf?Mode=PC</x:v>
      </x:c>
      <x:c r="U119" s="66" t="str">
        <x:v>역사 상장사</x:v>
      </x:c>
    </x:row>
    <x:row r="120">
      <x:c r="A120" s="66" t="str">
        <x:v>DISC-2013-01</x:v>
      </x:c>
      <x:c r="B120" s="66" t="str">
        <x:v>추가 광범위탐색</x:v>
      </x:c>
      <x:c r="C120" s="66" t="n">
        <x:v>2013</x:v>
      </x:c>
      <x:c r="D120" s="66" t="str">
        <x:v>전연령</x:v>
      </x:c>
      <x:c r="E120" s="66" t="str">
        <x:v>소비자행동·논란</x:v>
      </x:c>
      <x:c r="F120" s="66" t="str">
        <x:v>남양유업 갑질 녹취·불매운동</x:v>
      </x:c>
      <x:c r="G120" s="66" t="str">
        <x:v>남양유업</x:v>
      </x:c>
      <x:c r="H120" s="67" t="str">
        <x:v>003920</x:v>
      </x:c>
      <x:c r="I120" s="66" t="str">
        <x:v>KOSPI</x:v>
      </x:c>
      <x:c r="J120" s="66" t="str">
        <x:v>하락</x:v>
      </x:c>
      <x:c r="K120" s="66" t="str">
        <x:v>논란 후 1주일 15% 하락</x:v>
      </x:c>
      <x:c r="L120" s="312" t="n">
        <x:v>-15</x:v>
      </x:c>
      <x:c r="M120" s="336" t="n">
        <x:v>2</x:v>
      </x:c>
      <x:c r="N120" s="336" t="n">
        <x:v>2</x:v>
      </x:c>
      <x:c r="O120" s="336" t="n">
        <x:v>2</x:v>
      </x:c>
      <x:c r="P120" s="336" t="n">
        <x:v>1</x:v>
      </x:c>
      <x:c r="Q120" s="336" t="n">
        <x:f>M120+N120+O120</x:f>
        <x:v>6</x:v>
      </x:c>
      <x:c r="R120" s="66" t="str">
        <x:f>IF(O120=0,"가격미확인",IF(Q120&gt;=5,"강한사례",IF(Q120&gt;=3,"경계사례","약한연결")))</x:f>
        <x:v>강한사례</x:v>
      </x:c>
      <x:c r="S120" s="66" t="str">
        <x:v>S104</x:v>
      </x:c>
      <x:c r="T120" s="66" t="str">
        <x:v>https://www.hankyung.com/article/2016060867496</x:v>
      </x:c>
      <x:c r="U120" s="66" t="str">
        <x:v>온라인 분노→불매→장기 브랜드 훼손</x:v>
      </x:c>
    </x:row>
    <x:row r="121">
      <x:c r="A121" s="66" t="str">
        <x:v>DISC-2015-01</x:v>
      </x:c>
      <x:c r="B121" s="66" t="str">
        <x:v>추가 광범위탐색</x:v>
      </x:c>
      <x:c r="C121" s="66" t="n">
        <x:v>2015</x:v>
      </x:c>
      <x:c r="D121" s="66" t="str">
        <x:v>중장년·건강소비층</x:v>
      </x:c>
      <x:c r="E121" s="66" t="str">
        <x:v>소비자행동·논란</x:v>
      </x:c>
      <x:c r="F121" s="66" t="str">
        <x:v>가짜 백수오 파동</x:v>
      </x:c>
      <x:c r="G121" s="66" t="str">
        <x:v>내츄럴엔도텍</x:v>
      </x:c>
      <x:c r="H121" s="67" t="str">
        <x:v>168330</x:v>
      </x:c>
      <x:c r="I121" s="66" t="str">
        <x:v>KOSDAQ</x:v>
      </x:c>
      <x:c r="J121" s="66" t="str">
        <x:v>하락</x:v>
      </x:c>
      <x:c r="K121" s="66" t="str">
        <x:v>발표 후 연속 급락</x:v>
      </x:c>
      <x:c r="L121" s="312"/>
      <x:c r="M121" s="336" t="n">
        <x:v>2</x:v>
      </x:c>
      <x:c r="N121" s="336" t="n">
        <x:v>2</x:v>
      </x:c>
      <x:c r="O121" s="336" t="n">
        <x:v>1</x:v>
      </x:c>
      <x:c r="P121" s="336" t="n">
        <x:v>1</x:v>
      </x:c>
      <x:c r="Q121" s="336" t="n">
        <x:f>M121+N121+O121</x:f>
        <x:v>5</x:v>
      </x:c>
      <x:c r="R121" s="66" t="str">
        <x:f>IF(O121=0,"가격미확인",IF(Q121&gt;=5,"강한사례",IF(Q121&gt;=3,"경계사례","약한연결")))</x:f>
        <x:v>강한사례</x:v>
      </x:c>
      <x:c r="S121" s="66" t="str">
        <x:v>S105</x:v>
      </x:c>
      <x:c r="T121" s="66" t="str">
        <x:v>https://www.hankyung.com/article/2015052481557</x:v>
      </x:c>
      <x:c r="U121" s="66" t="str">
        <x:v>신뢰 붕괴형 역유행</x:v>
      </x:c>
    </x:row>
    <x:row r="122">
      <x:c r="A122" s="66" t="str">
        <x:v>DISC-2019-01</x:v>
      </x:c>
      <x:c r="B122" s="66" t="str">
        <x:v>추가 광범위탐색</x:v>
      </x:c>
      <x:c r="C122" s="66" t="n">
        <x:v>2019</x:v>
      </x:c>
      <x:c r="D122" s="66" t="str">
        <x:v>전연령</x:v>
      </x:c>
      <x:c r="E122" s="66" t="str">
        <x:v>생활·환경</x:v>
      </x:c>
      <x:c r="F122" s="66" t="str">
        <x:v>미세먼지·공기청정기 수요</x:v>
      </x:c>
      <x:c r="G122" s="66" t="str">
        <x:v>위닉스</x:v>
      </x:c>
      <x:c r="H122" s="67" t="str">
        <x:v>044340</x:v>
      </x:c>
      <x:c r="I122" s="66" t="str">
        <x:v>KOSDAQ</x:v>
      </x:c>
      <x:c r="J122" s="66" t="str">
        <x:v>상승</x:v>
      </x:c>
      <x:c r="K122" s="66" t="str">
        <x:v>연초 이후 88.3% 상승</x:v>
      </x:c>
      <x:c r="L122" s="312" t="n">
        <x:v>88.3</x:v>
      </x:c>
      <x:c r="M122" s="336" t="n">
        <x:v>2</x:v>
      </x:c>
      <x:c r="N122" s="336" t="n">
        <x:v>2</x:v>
      </x:c>
      <x:c r="O122" s="336" t="n">
        <x:v>2</x:v>
      </x:c>
      <x:c r="P122" s="336" t="n">
        <x:v>2</x:v>
      </x:c>
      <x:c r="Q122" s="336" t="n">
        <x:f>M122+N122+O122</x:f>
        <x:v>6</x:v>
      </x:c>
      <x:c r="R122" s="66" t="str">
        <x:f>IF(O122=0,"가격미확인",IF(Q122&gt;=5,"강한사례",IF(Q122&gt;=3,"경계사례","약한연결")))</x:f>
        <x:v>강한사례</x:v>
      </x:c>
      <x:c r="S122" s="66" t="str">
        <x:v>S106</x:v>
      </x:c>
      <x:c r="T122" s="66" t="str">
        <x:v>https://www.newsis.com/view/NISX20190320_0000593330</x:v>
      </x:c>
      <x:c r="U122" s="66" t="str">
        <x:v>생활불편과 실제 제품수요 동반</x:v>
      </x:c>
    </x:row>
    <x:row r="123">
      <x:c r="A123" s="66" t="str">
        <x:v>DISC-2019-02</x:v>
      </x:c>
      <x:c r="B123" s="66" t="str">
        <x:v>추가 광범위탐색</x:v>
      </x:c>
      <x:c r="C123" s="66" t="n">
        <x:v>2019</x:v>
      </x:c>
      <x:c r="D123" s="66" t="str">
        <x:v>전연령</x:v>
      </x:c>
      <x:c r="E123" s="66" t="str">
        <x:v>생활·환경</x:v>
      </x:c>
      <x:c r="F123" s="66" t="str">
        <x:v>미세먼지·마스크 수요</x:v>
      </x:c>
      <x:c r="G123" s="66" t="str">
        <x:v>웰크론</x:v>
      </x:c>
      <x:c r="H123" s="67" t="str">
        <x:v>065950</x:v>
      </x:c>
      <x:c r="I123" s="66" t="str">
        <x:v>KOSDAQ</x:v>
      </x:c>
      <x:c r="J123" s="66" t="str">
        <x:v>상승</x:v>
      </x:c>
      <x:c r="K123" s="66" t="str">
        <x:v>연초 이후 57.3% 상승</x:v>
      </x:c>
      <x:c r="L123" s="312" t="n">
        <x:v>57.3</x:v>
      </x:c>
      <x:c r="M123" s="336" t="n">
        <x:v>2</x:v>
      </x:c>
      <x:c r="N123" s="336" t="n">
        <x:v>2</x:v>
      </x:c>
      <x:c r="O123" s="336" t="n">
        <x:v>2</x:v>
      </x:c>
      <x:c r="P123" s="336" t="n">
        <x:v>1</x:v>
      </x:c>
      <x:c r="Q123" s="336" t="n">
        <x:f>M123+N123+O123</x:f>
        <x:v>6</x:v>
      </x:c>
      <x:c r="R123" s="66" t="str">
        <x:f>IF(O123=0,"가격미확인",IF(Q123&gt;=5,"강한사례",IF(Q123&gt;=3,"경계사례","약한연결")))</x:f>
        <x:v>강한사례</x:v>
      </x:c>
      <x:c r="S123" s="66" t="str">
        <x:v>S106</x:v>
      </x:c>
      <x:c r="T123" s="66" t="str">
        <x:v>https://www.newsis.com/view/NISX20190320_0000593330</x:v>
      </x:c>
      <x:c r="U123" s="66" t="str">
        <x:v>마스크 직접 연결</x:v>
      </x:c>
    </x:row>
    <x:row r="124">
      <x:c r="A124" s="66" t="str">
        <x:v>DISC-2019-03</x:v>
      </x:c>
      <x:c r="B124" s="66" t="str">
        <x:v>추가 광범위탐색</x:v>
      </x:c>
      <x:c r="C124" s="66" t="n">
        <x:v>2019</x:v>
      </x:c>
      <x:c r="D124" s="66" t="str">
        <x:v>전연령</x:v>
      </x:c>
      <x:c r="E124" s="66" t="str">
        <x:v>생활·환경</x:v>
      </x:c>
      <x:c r="F124" s="66" t="str">
        <x:v>미세먼지·공기청정기 수요</x:v>
      </x:c>
      <x:c r="G124" s="66" t="str">
        <x:v>신일전자(당시 신일산업)</x:v>
      </x:c>
      <x:c r="H124" s="67" t="str">
        <x:v>002700</x:v>
      </x:c>
      <x:c r="I124" s="66" t="str">
        <x:v>KOSPI</x:v>
      </x:c>
      <x:c r="J124" s="66" t="str">
        <x:v>상승</x:v>
      </x:c>
      <x:c r="K124" s="66" t="str">
        <x:v>연초 이후 46% 상승</x:v>
      </x:c>
      <x:c r="L124" s="312" t="n">
        <x:v>46</x:v>
      </x:c>
      <x:c r="M124" s="336" t="n">
        <x:v>2</x:v>
      </x:c>
      <x:c r="N124" s="336" t="n">
        <x:v>2</x:v>
      </x:c>
      <x:c r="O124" s="336" t="n">
        <x:v>2</x:v>
      </x:c>
      <x:c r="P124" s="336" t="n">
        <x:v>2</x:v>
      </x:c>
      <x:c r="Q124" s="336" t="n">
        <x:f>M124+N124+O124</x:f>
        <x:v>6</x:v>
      </x:c>
      <x:c r="R124" s="66" t="str">
        <x:f>IF(O124=0,"가격미확인",IF(Q124&gt;=5,"강한사례",IF(Q124&gt;=3,"경계사례","약한연결")))</x:f>
        <x:v>강한사례</x:v>
      </x:c>
      <x:c r="S124" s="66" t="str">
        <x:v>S106</x:v>
      </x:c>
      <x:c r="T124" s="66" t="str">
        <x:v>https://www.newsis.com/view/NISX20190320_0000593330</x:v>
      </x:c>
      <x:c r="U124" s="66" t="str">
        <x:v>건강가전 수요</x:v>
      </x:c>
    </x:row>
    <x:row r="125">
      <x:c r="A125" s="66" t="str">
        <x:v>DISC-2019-04</x:v>
      </x:c>
      <x:c r="B125" s="66" t="str">
        <x:v>추가 광범위탐색</x:v>
      </x:c>
      <x:c r="C125" s="66" t="n">
        <x:v>2019</x:v>
      </x:c>
      <x:c r="D125" s="66" t="str">
        <x:v>전연령</x:v>
      </x:c>
      <x:c r="E125" s="66" t="str">
        <x:v>생활·환경</x:v>
      </x:c>
      <x:c r="F125" s="66" t="str">
        <x:v>미세먼지·공기청정기 수요</x:v>
      </x:c>
      <x:c r="G125" s="66" t="str">
        <x:v>대유위니아</x:v>
      </x:c>
      <x:c r="H125" s="67" t="str">
        <x:v>071460</x:v>
      </x:c>
      <x:c r="I125" s="66" t="str">
        <x:v>KOSDAQ</x:v>
      </x:c>
      <x:c r="J125" s="66" t="str">
        <x:v>상승</x:v>
      </x:c>
      <x:c r="K125" s="66" t="str">
        <x:v>연초 이후 38.7% 상승</x:v>
      </x:c>
      <x:c r="L125" s="312" t="n">
        <x:v>38.7</x:v>
      </x:c>
      <x:c r="M125" s="336" t="n">
        <x:v>2</x:v>
      </x:c>
      <x:c r="N125" s="336" t="n">
        <x:v>2</x:v>
      </x:c>
      <x:c r="O125" s="336" t="n">
        <x:v>2</x:v>
      </x:c>
      <x:c r="P125" s="336" t="n">
        <x:v>2</x:v>
      </x:c>
      <x:c r="Q125" s="336" t="n">
        <x:f>M125+N125+O125</x:f>
        <x:v>6</x:v>
      </x:c>
      <x:c r="R125" s="66" t="str">
        <x:f>IF(O125=0,"가격미확인",IF(Q125&gt;=5,"강한사례",IF(Q125&gt;=3,"경계사례","약한연결")))</x:f>
        <x:v>강한사례</x:v>
      </x:c>
      <x:c r="S125" s="66" t="str">
        <x:v>S106</x:v>
      </x:c>
      <x:c r="T125" s="66" t="str">
        <x:v>https://www.newsis.com/view/NISX20190320_0000593330</x:v>
      </x:c>
      <x:c r="U125" s="66" t="str">
        <x:v>역사 상장 상태 후속확인</x:v>
      </x:c>
    </x:row>
    <x:row r="126">
      <x:c r="A126" s="66" t="str">
        <x:v>DISC-2019-05</x:v>
      </x:c>
      <x:c r="B126" s="66" t="str">
        <x:v>추가 광범위탐색</x:v>
      </x:c>
      <x:c r="C126" s="66" t="n">
        <x:v>2019</x:v>
      </x:c>
      <x:c r="D126" s="66" t="str">
        <x:v>전연령</x:v>
      </x:c>
      <x:c r="E126" s="66" t="str">
        <x:v>생활·환경</x:v>
      </x:c>
      <x:c r="F126" s="66" t="str">
        <x:v>미세먼지·마스크 수요</x:v>
      </x:c>
      <x:c r="G126" s="66" t="str">
        <x:v>KC그린홀딩스</x:v>
      </x:c>
      <x:c r="H126" s="67" t="str">
        <x:v>009440</x:v>
      </x:c>
      <x:c r="I126" s="66" t="str">
        <x:v>KOSPI</x:v>
      </x:c>
      <x:c r="J126" s="66" t="str">
        <x:v>상승</x:v>
      </x:c>
      <x:c r="K126" s="66" t="str">
        <x:v>연초 이후 34.8% 상승</x:v>
      </x:c>
      <x:c r="L126" s="312" t="n">
        <x:v>34.8</x:v>
      </x:c>
      <x:c r="M126" s="336" t="n">
        <x:v>2</x:v>
      </x:c>
      <x:c r="N126" s="336" t="n">
        <x:v>1</x:v>
      </x:c>
      <x:c r="O126" s="336" t="n">
        <x:v>2</x:v>
      </x:c>
      <x:c r="P126" s="336" t="n">
        <x:v>1</x:v>
      </x:c>
      <x:c r="Q126" s="336" t="n">
        <x:f>M126+N126+O126</x:f>
        <x:v>5</x:v>
      </x:c>
      <x:c r="R126" s="66" t="str">
        <x:f>IF(O126=0,"가격미확인",IF(Q126&gt;=5,"강한사례",IF(Q126&gt;=3,"경계사례","약한연결")))</x:f>
        <x:v>강한사례</x:v>
      </x:c>
      <x:c r="S126" s="66" t="str">
        <x:v>S106</x:v>
      </x:c>
      <x:c r="T126" s="66" t="str">
        <x:v>https://www.newsis.com/view/NISX20190320_0000593330</x:v>
      </x:c>
      <x:c r="U126" s="66" t="str">
        <x:v>테마 연결 강도 비교용</x:v>
      </x:c>
    </x:row>
    <x:row r="127">
      <x:c r="A127" s="66" t="str">
        <x:v>DISC-2019-06</x:v>
      </x:c>
      <x:c r="B127" s="66" t="str">
        <x:v>추가 광범위탐색</x:v>
      </x:c>
      <x:c r="C127" s="66" t="n">
        <x:v>2019</x:v>
      </x:c>
      <x:c r="D127" s="66" t="str">
        <x:v>전연령</x:v>
      </x:c>
      <x:c r="E127" s="66" t="str">
        <x:v>생활·환경</x:v>
      </x:c>
      <x:c r="F127" s="66" t="str">
        <x:v>미세먼지·마스크 수요</x:v>
      </x:c>
      <x:c r="G127" s="66" t="str">
        <x:v>케이엠</x:v>
      </x:c>
      <x:c r="H127" s="67" t="str">
        <x:v>083550</x:v>
      </x:c>
      <x:c r="I127" s="66" t="str">
        <x:v>KOSDAQ</x:v>
      </x:c>
      <x:c r="J127" s="66" t="str">
        <x:v>상승</x:v>
      </x:c>
      <x:c r="K127" s="66" t="str">
        <x:v>연초 이후 30% 상승</x:v>
      </x:c>
      <x:c r="L127" s="312" t="n">
        <x:v>30</x:v>
      </x:c>
      <x:c r="M127" s="336" t="n">
        <x:v>2</x:v>
      </x:c>
      <x:c r="N127" s="336" t="n">
        <x:v>2</x:v>
      </x:c>
      <x:c r="O127" s="336" t="n">
        <x:v>2</x:v>
      </x:c>
      <x:c r="P127" s="336" t="n">
        <x:v>1</x:v>
      </x:c>
      <x:c r="Q127" s="336" t="n">
        <x:f>M127+N127+O127</x:f>
        <x:v>6</x:v>
      </x:c>
      <x:c r="R127" s="66" t="str">
        <x:f>IF(O127=0,"가격미확인",IF(Q127&gt;=5,"강한사례",IF(Q127&gt;=3,"경계사례","약한연결")))</x:f>
        <x:v>강한사례</x:v>
      </x:c>
      <x:c r="S127" s="66" t="str">
        <x:v>S106</x:v>
      </x:c>
      <x:c r="T127" s="66" t="str">
        <x:v>https://www.newsis.com/view/NISX20190320_0000593330</x:v>
      </x:c>
      <x:c r="U127" s="66" t="str">
        <x:v>마스크 제품 연결</x:v>
      </x:c>
    </x:row>
    <x:row r="128">
      <x:c r="A128" s="66" t="str">
        <x:v>DISC-2019-07</x:v>
      </x:c>
      <x:c r="B128" s="66" t="str">
        <x:v>추가 광범위탐색</x:v>
      </x:c>
      <x:c r="C128" s="66" t="n">
        <x:v>2019</x:v>
      </x:c>
      <x:c r="D128" s="66" t="str">
        <x:v>전연령</x:v>
      </x:c>
      <x:c r="E128" s="66" t="str">
        <x:v>생활·환경</x:v>
      </x:c>
      <x:c r="F128" s="66" t="str">
        <x:v>미세먼지·마스크 수요</x:v>
      </x:c>
      <x:c r="G128" s="66" t="str">
        <x:v>모나리자</x:v>
      </x:c>
      <x:c r="H128" s="67" t="str">
        <x:v>012690</x:v>
      </x:c>
      <x:c r="I128" s="66" t="str">
        <x:v>KOSPI</x:v>
      </x:c>
      <x:c r="J128" s="66" t="str">
        <x:v>상승</x:v>
      </x:c>
      <x:c r="K128" s="66" t="str">
        <x:v>연초 이후 27.4% 상승</x:v>
      </x:c>
      <x:c r="L128" s="312" t="n">
        <x:v>27.4</x:v>
      </x:c>
      <x:c r="M128" s="336" t="n">
        <x:v>2</x:v>
      </x:c>
      <x:c r="N128" s="336" t="n">
        <x:v>1</x:v>
      </x:c>
      <x:c r="O128" s="336" t="n">
        <x:v>2</x:v>
      </x:c>
      <x:c r="P128" s="336" t="n">
        <x:v>1</x:v>
      </x:c>
      <x:c r="Q128" s="336" t="n">
        <x:f>M128+N128+O128</x:f>
        <x:v>5</x:v>
      </x:c>
      <x:c r="R128" s="66" t="str">
        <x:f>IF(O128=0,"가격미확인",IF(Q128&gt;=5,"강한사례",IF(Q128&gt;=3,"경계사례","약한연결")))</x:f>
        <x:v>강한사례</x:v>
      </x:c>
      <x:c r="S128" s="66" t="str">
        <x:v>S106</x:v>
      </x:c>
      <x:c r="T128" s="66" t="str">
        <x:v>https://www.newsis.com/view/NISX20190320_0000593330</x:v>
      </x:c>
      <x:c r="U128" s="66" t="str">
        <x:v>생활용품에서 마스크 테마로 확장</x:v>
      </x:c>
    </x:row>
    <x:row r="129">
      <x:c r="A129" s="66" t="str">
        <x:v>DISC-2019-08</x:v>
      </x:c>
      <x:c r="B129" s="66" t="str">
        <x:v>추가 광범위탐색</x:v>
      </x:c>
      <x:c r="C129" s="66" t="n">
        <x:v>2019</x:v>
      </x:c>
      <x:c r="D129" s="66" t="str">
        <x:v>전연령</x:v>
      </x:c>
      <x:c r="E129" s="66" t="str">
        <x:v>소비자행동·불매</x:v>
      </x:c>
      <x:c r="F129" s="66" t="str">
        <x:v>일본제품 불매운동</x:v>
      </x:c>
      <x:c r="G129" s="66" t="str">
        <x:v>모나미</x:v>
      </x:c>
      <x:c r="H129" s="67" t="str">
        <x:v>005360</x:v>
      </x:c>
      <x:c r="I129" s="66" t="str">
        <x:v>KOSPI</x:v>
      </x:c>
      <x:c r="J129" s="66" t="str">
        <x:v>상승</x:v>
      </x:c>
      <x:c r="K129" s="66" t="str">
        <x:v>6월 말 대비 147% 상승</x:v>
      </x:c>
      <x:c r="L129" s="312" t="n">
        <x:v>147</x:v>
      </x:c>
      <x:c r="M129" s="336" t="n">
        <x:v>2</x:v>
      </x:c>
      <x:c r="N129" s="336" t="n">
        <x:v>2</x:v>
      </x:c>
      <x:c r="O129" s="336" t="n">
        <x:v>2</x:v>
      </x:c>
      <x:c r="P129" s="336" t="n">
        <x:v>1</x:v>
      </x:c>
      <x:c r="Q129" s="336" t="n">
        <x:f>M129+N129+O129</x:f>
        <x:v>6</x:v>
      </x:c>
      <x:c r="R129" s="66" t="str">
        <x:f>IF(O129=0,"가격미확인",IF(Q129&gt;=5,"강한사례",IF(Q129&gt;=3,"경계사례","약한연결")))</x:f>
        <x:v>강한사례</x:v>
      </x:c>
      <x:c r="S129" s="66" t="str">
        <x:v>S107</x:v>
      </x:c>
      <x:c r="T129" s="66" t="str">
        <x:v>https://www.hankyung.com/article/201908229653g</x:v>
      </x:c>
      <x:c r="U129" s="66" t="str">
        <x:v>일본 필기구 대체 기대</x:v>
      </x:c>
    </x:row>
    <x:row r="130">
      <x:c r="A130" s="66" t="str">
        <x:v>DISC-2019-09</x:v>
      </x:c>
      <x:c r="B130" s="66" t="str">
        <x:v>추가 광범위탐색</x:v>
      </x:c>
      <x:c r="C130" s="66" t="n">
        <x:v>2019</x:v>
      </x:c>
      <x:c r="D130" s="66" t="str">
        <x:v>전연령</x:v>
      </x:c>
      <x:c r="E130" s="66" t="str">
        <x:v>소비자행동·불매</x:v>
      </x:c>
      <x:c r="F130" s="66" t="str">
        <x:v>일본제품 불매운동</x:v>
      </x:c>
      <x:c r="G130" s="66" t="str">
        <x:v>신성통상</x:v>
      </x:c>
      <x:c r="H130" s="67" t="str">
        <x:v>005390</x:v>
      </x:c>
      <x:c r="I130" s="66" t="str">
        <x:v>KOSPI</x:v>
      </x:c>
      <x:c r="J130" s="66" t="str">
        <x:v>상승</x:v>
      </x:c>
      <x:c r="K130" s="66" t="str">
        <x:v>6월 말 대비 82% 상승</x:v>
      </x:c>
      <x:c r="L130" s="312" t="n">
        <x:v>82</x:v>
      </x:c>
      <x:c r="M130" s="336" t="n">
        <x:v>2</x:v>
      </x:c>
      <x:c r="N130" s="336" t="n">
        <x:v>2</x:v>
      </x:c>
      <x:c r="O130" s="336" t="n">
        <x:v>2</x:v>
      </x:c>
      <x:c r="P130" s="336" t="n">
        <x:v>1</x:v>
      </x:c>
      <x:c r="Q130" s="336" t="n">
        <x:f>M130+N130+O130</x:f>
        <x:v>6</x:v>
      </x:c>
      <x:c r="R130" s="66" t="str">
        <x:f>IF(O130=0,"가격미확인",IF(Q130&gt;=5,"강한사례",IF(Q130&gt;=3,"경계사례","약한연결")))</x:f>
        <x:v>강한사례</x:v>
      </x:c>
      <x:c r="S130" s="66" t="str">
        <x:v>S107</x:v>
      </x:c>
      <x:c r="T130" s="66" t="str">
        <x:v>https://www.hankyung.com/article/201908229653g</x:v>
      </x:c>
      <x:c r="U130" s="66" t="str">
        <x:v>유니클로 대체 브랜드 기대</x:v>
      </x:c>
    </x:row>
    <x:row r="131">
      <x:c r="A131" s="66" t="str">
        <x:v>DISC-2019-10</x:v>
      </x:c>
      <x:c r="B131" s="66" t="str">
        <x:v>추가 광범위탐색</x:v>
      </x:c>
      <x:c r="C131" s="66" t="n">
        <x:v>2019</x:v>
      </x:c>
      <x:c r="D131" s="66" t="str">
        <x:v>전연령</x:v>
      </x:c>
      <x:c r="E131" s="66" t="str">
        <x:v>소비자행동·불매</x:v>
      </x:c>
      <x:c r="F131" s="66" t="str">
        <x:v>일본제품 불매운동</x:v>
      </x:c>
      <x:c r="G131" s="66" t="str">
        <x:v>쌍방울</x:v>
      </x:c>
      <x:c r="H131" s="67" t="str">
        <x:v>102280</x:v>
      </x:c>
      <x:c r="I131" s="66" t="str">
        <x:v>KOSPI</x:v>
      </x:c>
      <x:c r="J131" s="66" t="str">
        <x:v>상승</x:v>
      </x:c>
      <x:c r="K131" s="66" t="str">
        <x:v>같은 기간 6% 상승</x:v>
      </x:c>
      <x:c r="L131" s="312" t="n">
        <x:v>6</x:v>
      </x:c>
      <x:c r="M131" s="336" t="n">
        <x:v>2</x:v>
      </x:c>
      <x:c r="N131" s="336" t="n">
        <x:v>1</x:v>
      </x:c>
      <x:c r="O131" s="336" t="n">
        <x:v>2</x:v>
      </x:c>
      <x:c r="P131" s="336" t="n">
        <x:v>1</x:v>
      </x:c>
      <x:c r="Q131" s="336" t="n">
        <x:f>M131+N131+O131</x:f>
        <x:v>5</x:v>
      </x:c>
      <x:c r="R131" s="66" t="str">
        <x:f>IF(O131=0,"가격미확인",IF(Q131&gt;=5,"강한사례",IF(Q131&gt;=3,"경계사례","약한연결")))</x:f>
        <x:v>강한사례</x:v>
      </x:c>
      <x:c r="S131" s="66" t="str">
        <x:v>S107</x:v>
      </x:c>
      <x:c r="T131" s="66" t="str">
        <x:v>https://www.hankyung.com/article/201908229653g</x:v>
      </x:c>
      <x:c r="U131" s="66" t="str">
        <x:v>대체 소비 연결의 약한 비교군</x:v>
      </x:c>
    </x:row>
    <x:row r="132">
      <x:c r="A132" s="66" t="str">
        <x:v>DISC-2020-01</x:v>
      </x:c>
      <x:c r="B132" s="66" t="str">
        <x:v>추가 광범위탐색</x:v>
      </x:c>
      <x:c r="C132" s="66" t="n">
        <x:v>2020</x:v>
      </x:c>
      <x:c r="D132" s="66" t="str">
        <x:v>전연령</x:v>
      </x:c>
      <x:c r="E132" s="66" t="str">
        <x:v>건강·재난</x:v>
      </x:c>
      <x:c r="F132" s="66" t="str">
        <x:v>코로나19 진단 수요</x:v>
      </x:c>
      <x:c r="G132" s="66" t="str">
        <x:v>맥아이씨에스</x:v>
      </x:c>
      <x:c r="H132" s="67" t="str">
        <x:v>058110</x:v>
      </x:c>
      <x:c r="I132" s="66" t="str">
        <x:v>KOSDAQ</x:v>
      </x:c>
      <x:c r="J132" s="66" t="str">
        <x:v>상승</x:v>
      </x:c>
      <x:c r="K132" s="66" t="str">
        <x:v>2020 상반기 약 690% 상승</x:v>
      </x:c>
      <x:c r="L132" s="312" t="n">
        <x:v>690</x:v>
      </x:c>
      <x:c r="M132" s="336" t="n">
        <x:v>2</x:v>
      </x:c>
      <x:c r="N132" s="336" t="n">
        <x:v>2</x:v>
      </x:c>
      <x:c r="O132" s="336" t="n">
        <x:v>2</x:v>
      </x:c>
      <x:c r="P132" s="336" t="n">
        <x:v>2</x:v>
      </x:c>
      <x:c r="Q132" s="336" t="n">
        <x:f>M132+N132+O132</x:f>
        <x:v>6</x:v>
      </x:c>
      <x:c r="R132" s="66" t="str">
        <x:f>IF(O132=0,"가격미확인",IF(Q132&gt;=5,"강한사례",IF(Q132&gt;=3,"경계사례","약한연결")))</x:f>
        <x:v>강한사례</x:v>
      </x:c>
      <x:c r="S132" s="66" t="str">
        <x:v>S108</x:v>
      </x:c>
      <x:c r="T132" s="66" t="str">
        <x:v>https://securities.miraeasset.com/bbs/download/2075991.pdf?attachmentId=2075991</x:v>
      </x:c>
      <x:c r="U132" s="66" t="str">
        <x:v>호흡기 의료기기·실적 동반</x:v>
      </x:c>
    </x:row>
    <x:row r="133">
      <x:c r="A133" s="66" t="str">
        <x:v>DISC-2020-02</x:v>
      </x:c>
      <x:c r="B133" s="66" t="str">
        <x:v>추가 광범위탐색</x:v>
      </x:c>
      <x:c r="C133" s="66" t="n">
        <x:v>2020</x:v>
      </x:c>
      <x:c r="D133" s="66" t="str">
        <x:v>전연령</x:v>
      </x:c>
      <x:c r="E133" s="66" t="str">
        <x:v>건강·재난</x:v>
      </x:c>
      <x:c r="F133" s="66" t="str">
        <x:v>코로나19 진단 수요</x:v>
      </x:c>
      <x:c r="G133" s="66" t="str">
        <x:v>수젠텍</x:v>
      </x:c>
      <x:c r="H133" s="67" t="str">
        <x:v>253840</x:v>
      </x:c>
      <x:c r="I133" s="66" t="str">
        <x:v>KOSDAQ</x:v>
      </x:c>
      <x:c r="J133" s="66" t="str">
        <x:v>상승</x:v>
      </x:c>
      <x:c r="K133" s="66" t="str">
        <x:v>2020 상반기 약 402% 상승</x:v>
      </x:c>
      <x:c r="L133" s="312" t="n">
        <x:v>402</x:v>
      </x:c>
      <x:c r="M133" s="336" t="n">
        <x:v>2</x:v>
      </x:c>
      <x:c r="N133" s="336" t="n">
        <x:v>2</x:v>
      </x:c>
      <x:c r="O133" s="336" t="n">
        <x:v>2</x:v>
      </x:c>
      <x:c r="P133" s="336" t="n">
        <x:v>2</x:v>
      </x:c>
      <x:c r="Q133" s="336" t="n">
        <x:f>M133+N133+O133</x:f>
        <x:v>6</x:v>
      </x:c>
      <x:c r="R133" s="66" t="str">
        <x:f>IF(O133=0,"가격미확인",IF(Q133&gt;=5,"강한사례",IF(Q133&gt;=3,"경계사례","약한연결")))</x:f>
        <x:v>강한사례</x:v>
      </x:c>
      <x:c r="S133" s="66" t="str">
        <x:v>S108</x:v>
      </x:c>
      <x:c r="T133" s="66" t="str">
        <x:v>https://securities.miraeasset.com/bbs/download/2075991.pdf?attachmentId=2075991</x:v>
      </x:c>
      <x:c r="U133" s="66" t="str">
        <x:v>진단키트 직접 수혜</x:v>
      </x:c>
    </x:row>
    <x:row r="134">
      <x:c r="A134" s="66" t="str">
        <x:v>DISC-2020-03</x:v>
      </x:c>
      <x:c r="B134" s="66" t="str">
        <x:v>추가 광범위탐색</x:v>
      </x:c>
      <x:c r="C134" s="66" t="n">
        <x:v>2020</x:v>
      </x:c>
      <x:c r="D134" s="66" t="str">
        <x:v>전연령</x:v>
      </x:c>
      <x:c r="E134" s="66" t="str">
        <x:v>건강·재난</x:v>
      </x:c>
      <x:c r="F134" s="66" t="str">
        <x:v>코로나19 진단 수요</x:v>
      </x:c>
      <x:c r="G134" s="66" t="str">
        <x:v>랩지노믹스</x:v>
      </x:c>
      <x:c r="H134" s="67" t="str">
        <x:v>084650</x:v>
      </x:c>
      <x:c r="I134" s="66" t="str">
        <x:v>KOSDAQ</x:v>
      </x:c>
      <x:c r="J134" s="66" t="str">
        <x:v>상승</x:v>
      </x:c>
      <x:c r="K134" s="66" t="str">
        <x:v>2020 상반기 약 388% 상승</x:v>
      </x:c>
      <x:c r="L134" s="312" t="n">
        <x:v>388</x:v>
      </x:c>
      <x:c r="M134" s="336" t="n">
        <x:v>2</x:v>
      </x:c>
      <x:c r="N134" s="336" t="n">
        <x:v>2</x:v>
      </x:c>
      <x:c r="O134" s="336" t="n">
        <x:v>2</x:v>
      </x:c>
      <x:c r="P134" s="336" t="n">
        <x:v>2</x:v>
      </x:c>
      <x:c r="Q134" s="336" t="n">
        <x:f>M134+N134+O134</x:f>
        <x:v>6</x:v>
      </x:c>
      <x:c r="R134" s="66" t="str">
        <x:f>IF(O134=0,"가격미확인",IF(Q134&gt;=5,"강한사례",IF(Q134&gt;=3,"경계사례","약한연결")))</x:f>
        <x:v>강한사례</x:v>
      </x:c>
      <x:c r="S134" s="66" t="str">
        <x:v>S108</x:v>
      </x:c>
      <x:c r="T134" s="66" t="str">
        <x:v>https://securities.miraeasset.com/bbs/download/2075991.pdf?attachmentId=2075991</x:v>
      </x:c>
      <x:c r="U134" s="66" t="str">
        <x:v>진단검사 직접 수혜</x:v>
      </x:c>
    </x:row>
    <x:row r="135">
      <x:c r="A135" s="66" t="str">
        <x:v>DISC-2020-04</x:v>
      </x:c>
      <x:c r="B135" s="66" t="str">
        <x:v>추가 광범위탐색</x:v>
      </x:c>
      <x:c r="C135" s="66" t="n">
        <x:v>2020</x:v>
      </x:c>
      <x:c r="D135" s="66" t="str">
        <x:v>전연령</x:v>
      </x:c>
      <x:c r="E135" s="66" t="str">
        <x:v>건강·재난</x:v>
      </x:c>
      <x:c r="F135" s="66" t="str">
        <x:v>코로나19 진단 수요</x:v>
      </x:c>
      <x:c r="G135" s="66" t="str">
        <x:v>씨젠</x:v>
      </x:c>
      <x:c r="H135" s="67" t="str">
        <x:v>096530</x:v>
      </x:c>
      <x:c r="I135" s="66" t="str">
        <x:v>KOSDAQ</x:v>
      </x:c>
      <x:c r="J135" s="66" t="str">
        <x:v>상승</x:v>
      </x:c>
      <x:c r="K135" s="66" t="str">
        <x:v>2020 상반기 약 277% 상승</x:v>
      </x:c>
      <x:c r="L135" s="312" t="n">
        <x:v>277</x:v>
      </x:c>
      <x:c r="M135" s="336" t="n">
        <x:v>2</x:v>
      </x:c>
      <x:c r="N135" s="336" t="n">
        <x:v>2</x:v>
      </x:c>
      <x:c r="O135" s="336" t="n">
        <x:v>2</x:v>
      </x:c>
      <x:c r="P135" s="336" t="n">
        <x:v>2</x:v>
      </x:c>
      <x:c r="Q135" s="336" t="n">
        <x:f>M135+N135+O135</x:f>
        <x:v>6</x:v>
      </x:c>
      <x:c r="R135" s="66" t="str">
        <x:f>IF(O135=0,"가격미확인",IF(Q135&gt;=5,"강한사례",IF(Q135&gt;=3,"경계사례","약한연결")))</x:f>
        <x:v>강한사례</x:v>
      </x:c>
      <x:c r="S135" s="66" t="str">
        <x:v>S108</x:v>
      </x:c>
      <x:c r="T135" s="66" t="str">
        <x:v>https://securities.miraeasset.com/bbs/download/2075991.pdf?attachmentId=2075991</x:v>
      </x:c>
      <x:c r="U135" s="66" t="str">
        <x:v>실적과 대중 관심이 함께 작동</x:v>
      </x:c>
    </x:row>
    <x:row r="136">
      <x:c r="A136" s="66" t="str">
        <x:v>DISC-2020-05</x:v>
      </x:c>
      <x:c r="B136" s="66" t="str">
        <x:v>추가 광범위탐색</x:v>
      </x:c>
      <x:c r="C136" s="66" t="n">
        <x:v>2020</x:v>
      </x:c>
      <x:c r="D136" s="66" t="str">
        <x:v>직장인</x:v>
      </x:c>
      <x:c r="E136" s="66" t="str">
        <x:v>생활·비대면</x:v>
      </x:c>
      <x:c r="F136" s="66" t="str">
        <x:v>재택근무 확산</x:v>
      </x:c>
      <x:c r="G136" s="66" t="str">
        <x:v>소프트캠프</x:v>
      </x:c>
      <x:c r="H136" s="67" t="str">
        <x:v>258790</x:v>
      </x:c>
      <x:c r="I136" s="66" t="str">
        <x:v>KOSDAQ</x:v>
      </x:c>
      <x:c r="J136" s="66" t="str">
        <x:v>상승</x:v>
      </x:c>
      <x:c r="K136" s="66" t="str">
        <x:v>당일 11.46% 상승</x:v>
      </x:c>
      <x:c r="L136" s="312" t="n">
        <x:v>11.46</x:v>
      </x:c>
      <x:c r="M136" s="336" t="n">
        <x:v>2</x:v>
      </x:c>
      <x:c r="N136" s="336" t="n">
        <x:v>2</x:v>
      </x:c>
      <x:c r="O136" s="336" t="n">
        <x:v>2</x:v>
      </x:c>
      <x:c r="P136" s="336" t="n">
        <x:v>1</x:v>
      </x:c>
      <x:c r="Q136" s="336" t="n">
        <x:f>M136+N136+O136</x:f>
        <x:v>6</x:v>
      </x:c>
      <x:c r="R136" s="66" t="str">
        <x:f>IF(O136=0,"가격미확인",IF(Q136&gt;=5,"강한사례",IF(Q136&gt;=3,"경계사례","약한연결")))</x:f>
        <x:v>강한사례</x:v>
      </x:c>
      <x:c r="S136" s="66" t="str">
        <x:v>S109</x:v>
      </x:c>
      <x:c r="T136" s="66" t="str">
        <x:v>https://www.hankyung.com/article/2020121476891</x:v>
      </x:c>
      <x:c r="U136" s="66" t="str">
        <x:v>원격보안 직접 연결</x:v>
      </x:c>
    </x:row>
    <x:row r="137">
      <x:c r="A137" s="66" t="str">
        <x:v>DISC-2020-06</x:v>
      </x:c>
      <x:c r="B137" s="66" t="str">
        <x:v>추가 광범위탐색</x:v>
      </x:c>
      <x:c r="C137" s="66" t="n">
        <x:v>2020</x:v>
      </x:c>
      <x:c r="D137" s="66" t="str">
        <x:v>직장인</x:v>
      </x:c>
      <x:c r="E137" s="66" t="str">
        <x:v>생활·비대면</x:v>
      </x:c>
      <x:c r="F137" s="66" t="str">
        <x:v>재택근무 확산</x:v>
      </x:c>
      <x:c r="G137" s="66" t="str">
        <x:v>링네트</x:v>
      </x:c>
      <x:c r="H137" s="67" t="str">
        <x:v>042500</x:v>
      </x:c>
      <x:c r="I137" s="66" t="str">
        <x:v>KOSDAQ</x:v>
      </x:c>
      <x:c r="J137" s="66" t="str">
        <x:v>상승</x:v>
      </x:c>
      <x:c r="K137" s="66" t="str">
        <x:v>당일 8.04% 상승</x:v>
      </x:c>
      <x:c r="L137" s="312" t="n">
        <x:v>8.04</x:v>
      </x:c>
      <x:c r="M137" s="336" t="n">
        <x:v>2</x:v>
      </x:c>
      <x:c r="N137" s="336" t="n">
        <x:v>2</x:v>
      </x:c>
      <x:c r="O137" s="336" t="n">
        <x:v>2</x:v>
      </x:c>
      <x:c r="P137" s="336" t="n">
        <x:v>1</x:v>
      </x:c>
      <x:c r="Q137" s="336" t="n">
        <x:f>M137+N137+O137</x:f>
        <x:v>6</x:v>
      </x:c>
      <x:c r="R137" s="66" t="str">
        <x:f>IF(O137=0,"가격미확인",IF(Q137&gt;=5,"강한사례",IF(Q137&gt;=3,"경계사례","약한연결")))</x:f>
        <x:v>강한사례</x:v>
      </x:c>
      <x:c r="S137" s="66" t="str">
        <x:v>S109</x:v>
      </x:c>
      <x:c r="T137" s="66" t="str">
        <x:v>https://www.hankyung.com/article/2020121476891</x:v>
      </x:c>
      <x:c r="U137" s="66" t="str">
        <x:v>네트워크 인프라 연결</x:v>
      </x:c>
    </x:row>
    <x:row r="138">
      <x:c r="A138" s="66" t="str">
        <x:v>DISC-2020-07</x:v>
      </x:c>
      <x:c r="B138" s="66" t="str">
        <x:v>추가 광범위탐색</x:v>
      </x:c>
      <x:c r="C138" s="66" t="n">
        <x:v>2020</x:v>
      </x:c>
      <x:c r="D138" s="66" t="str">
        <x:v>직장인</x:v>
      </x:c>
      <x:c r="E138" s="66" t="str">
        <x:v>생활·비대면</x:v>
      </x:c>
      <x:c r="F138" s="66" t="str">
        <x:v>재택근무 확산</x:v>
      </x:c>
      <x:c r="G138" s="66" t="str">
        <x:v>알서포트</x:v>
      </x:c>
      <x:c r="H138" s="67" t="str">
        <x:v>131370</x:v>
      </x:c>
      <x:c r="I138" s="66" t="str">
        <x:v>KOSDAQ</x:v>
      </x:c>
      <x:c r="J138" s="66" t="str">
        <x:v>상승</x:v>
      </x:c>
      <x:c r="K138" s="66" t="str">
        <x:v>당일 6.58% 상승</x:v>
      </x:c>
      <x:c r="L138" s="312" t="n">
        <x:v>6.58</x:v>
      </x:c>
      <x:c r="M138" s="336" t="n">
        <x:v>2</x:v>
      </x:c>
      <x:c r="N138" s="336" t="n">
        <x:v>2</x:v>
      </x:c>
      <x:c r="O138" s="336" t="n">
        <x:v>2</x:v>
      </x:c>
      <x:c r="P138" s="336" t="n">
        <x:v>1</x:v>
      </x:c>
      <x:c r="Q138" s="336" t="n">
        <x:f>M138+N138+O138</x:f>
        <x:v>6</x:v>
      </x:c>
      <x:c r="R138" s="66" t="str">
        <x:f>IF(O138=0,"가격미확인",IF(Q138&gt;=5,"강한사례",IF(Q138&gt;=3,"경계사례","약한연결")))</x:f>
        <x:v>강한사례</x:v>
      </x:c>
      <x:c r="S138" s="66" t="str">
        <x:v>S109</x:v>
      </x:c>
      <x:c r="T138" s="66" t="str">
        <x:v>https://www.hankyung.com/article/2020121476891</x:v>
      </x:c>
      <x:c r="U138" s="66" t="str">
        <x:v>원격지원 직접 연결</x:v>
      </x:c>
    </x:row>
    <x:row r="139">
      <x:c r="A139" s="66" t="str">
        <x:v>DISC-2020-08</x:v>
      </x:c>
      <x:c r="B139" s="66" t="str">
        <x:v>추가 광범위탐색</x:v>
      </x:c>
      <x:c r="C139" s="66" t="n">
        <x:v>2020</x:v>
      </x:c>
      <x:c r="D139" s="66" t="str">
        <x:v>학생·학부모</x:v>
      </x:c>
      <x:c r="E139" s="66" t="str">
        <x:v>생활·비대면</x:v>
      </x:c>
      <x:c r="F139" s="66" t="str">
        <x:v>온라인교육 확산</x:v>
      </x:c>
      <x:c r="G139" s="66" t="str">
        <x:v>YBM넷</x:v>
      </x:c>
      <x:c r="H139" s="67" t="str">
        <x:v>057030</x:v>
      </x:c>
      <x:c r="I139" s="66" t="str">
        <x:v>KOSDAQ</x:v>
      </x:c>
      <x:c r="J139" s="66" t="str">
        <x:v>상승</x:v>
      </x:c>
      <x:c r="K139" s="66" t="str">
        <x:v>당일 4.93% 상승</x:v>
      </x:c>
      <x:c r="L139" s="312" t="n">
        <x:v>4.93</x:v>
      </x:c>
      <x:c r="M139" s="336" t="n">
        <x:v>2</x:v>
      </x:c>
      <x:c r="N139" s="336" t="n">
        <x:v>2</x:v>
      </x:c>
      <x:c r="O139" s="336" t="n">
        <x:v>2</x:v>
      </x:c>
      <x:c r="P139" s="336" t="n">
        <x:v>1</x:v>
      </x:c>
      <x:c r="Q139" s="336" t="n">
        <x:f>M139+N139+O139</x:f>
        <x:v>6</x:v>
      </x:c>
      <x:c r="R139" s="66" t="str">
        <x:f>IF(O139=0,"가격미확인",IF(Q139&gt;=5,"강한사례",IF(Q139&gt;=3,"경계사례","약한연결")))</x:f>
        <x:v>강한사례</x:v>
      </x:c>
      <x:c r="S139" s="66" t="str">
        <x:v>S109</x:v>
      </x:c>
      <x:c r="T139" s="66" t="str">
        <x:v>https://www.hankyung.com/article/2020121476891</x:v>
      </x:c>
      <x:c r="U139" s="66" t="str">
        <x:v>온라인교육 직접 연결</x:v>
      </x:c>
    </x:row>
    <x:row r="140">
      <x:c r="A140" s="66" t="str">
        <x:v>DISC-2020-09</x:v>
      </x:c>
      <x:c r="B140" s="66" t="str">
        <x:v>추가 광범위탐색</x:v>
      </x:c>
      <x:c r="C140" s="66" t="n">
        <x:v>2020</x:v>
      </x:c>
      <x:c r="D140" s="66" t="str">
        <x:v>학생·성인학습자</x:v>
      </x:c>
      <x:c r="E140" s="66" t="str">
        <x:v>생활·비대면</x:v>
      </x:c>
      <x:c r="F140" s="66" t="str">
        <x:v>온라인교육 확산</x:v>
      </x:c>
      <x:c r="G140" s="66" t="str">
        <x:v>메가엠디</x:v>
      </x:c>
      <x:c r="H140" s="67" t="str">
        <x:v>133750</x:v>
      </x:c>
      <x:c r="I140" s="66" t="str">
        <x:v>KOSDAQ</x:v>
      </x:c>
      <x:c r="J140" s="66" t="str">
        <x:v>상승</x:v>
      </x:c>
      <x:c r="K140" s="66" t="str">
        <x:v>당일 4.82% 상승</x:v>
      </x:c>
      <x:c r="L140" s="312" t="n">
        <x:v>4.82</x:v>
      </x:c>
      <x:c r="M140" s="336" t="n">
        <x:v>2</x:v>
      </x:c>
      <x:c r="N140" s="336" t="n">
        <x:v>2</x:v>
      </x:c>
      <x:c r="O140" s="336" t="n">
        <x:v>2</x:v>
      </x:c>
      <x:c r="P140" s="336" t="n">
        <x:v>1</x:v>
      </x:c>
      <x:c r="Q140" s="336" t="n">
        <x:f>M140+N140+O140</x:f>
        <x:v>6</x:v>
      </x:c>
      <x:c r="R140" s="66" t="str">
        <x:f>IF(O140=0,"가격미확인",IF(Q140&gt;=5,"강한사례",IF(Q140&gt;=3,"경계사례","약한연결")))</x:f>
        <x:v>강한사례</x:v>
      </x:c>
      <x:c r="S140" s="66" t="str">
        <x:v>S109</x:v>
      </x:c>
      <x:c r="T140" s="66" t="str">
        <x:v>https://www.hankyung.com/article/2020121476891</x:v>
      </x:c>
      <x:c r="U140" s="66" t="str">
        <x:v>온라인교육 직접 연결</x:v>
      </x:c>
    </x:row>
    <x:row r="141">
      <x:c r="A141" s="66" t="str">
        <x:v>DISC-2020-10</x:v>
      </x:c>
      <x:c r="B141" s="66" t="str">
        <x:v>추가 광범위탐색</x:v>
      </x:c>
      <x:c r="C141" s="66" t="n">
        <x:v>2020</x:v>
      </x:c>
      <x:c r="D141" s="66" t="str">
        <x:v>아동·학부모</x:v>
      </x:c>
      <x:c r="E141" s="66" t="str">
        <x:v>생활·비대면</x:v>
      </x:c>
      <x:c r="F141" s="66" t="str">
        <x:v>온라인교육 확산</x:v>
      </x:c>
      <x:c r="G141" s="66" t="str">
        <x:v>아이스크림에듀</x:v>
      </x:c>
      <x:c r="H141" s="67" t="str">
        <x:v>289010</x:v>
      </x:c>
      <x:c r="I141" s="66" t="str">
        <x:v>KOSDAQ</x:v>
      </x:c>
      <x:c r="J141" s="66" t="str">
        <x:v>상승</x:v>
      </x:c>
      <x:c r="K141" s="66" t="str">
        <x:v>당일 2.41% 상승</x:v>
      </x:c>
      <x:c r="L141" s="312" t="n">
        <x:v>2.41</x:v>
      </x:c>
      <x:c r="M141" s="336" t="n">
        <x:v>2</x:v>
      </x:c>
      <x:c r="N141" s="336" t="n">
        <x:v>2</x:v>
      </x:c>
      <x:c r="O141" s="336" t="n">
        <x:v>2</x:v>
      </x:c>
      <x:c r="P141" s="336" t="n">
        <x:v>1</x:v>
      </x:c>
      <x:c r="Q141" s="336" t="n">
        <x:f>M141+N141+O141</x:f>
        <x:v>6</x:v>
      </x:c>
      <x:c r="R141" s="66" t="str">
        <x:f>IF(O141=0,"가격미확인",IF(Q141&gt;=5,"강한사례",IF(Q141&gt;=3,"경계사례","약한연결")))</x:f>
        <x:v>강한사례</x:v>
      </x:c>
      <x:c r="S141" s="66" t="str">
        <x:v>S109</x:v>
      </x:c>
      <x:c r="T141" s="66" t="str">
        <x:v>https://www.hankyung.com/article/2020121476891</x:v>
      </x:c>
      <x:c r="U141" s="66" t="str">
        <x:v>초등 에듀테크 직접 연결</x:v>
      </x:c>
    </x:row>
    <x:row r="142">
      <x:c r="A142" s="66" t="str">
        <x:v>DISC-2021-01</x:v>
      </x:c>
      <x:c r="B142" s="66" t="str">
        <x:v>추가 광범위탐색</x:v>
      </x:c>
      <x:c r="C142" s="66" t="n">
        <x:v>2021</x:v>
      </x:c>
      <x:c r="D142" s="66" t="str">
        <x:v>10~40대·투자자</x:v>
      </x:c>
      <x:c r="E142" s="66" t="str">
        <x:v>기술·플랫폼</x:v>
      </x:c>
      <x:c r="F142" s="66" t="str">
        <x:v>메타버스 열풍</x:v>
      </x:c>
      <x:c r="G142" s="66" t="str">
        <x:v>맥스트</x:v>
      </x:c>
      <x:c r="H142" s="67" t="str">
        <x:v>377030</x:v>
      </x:c>
      <x:c r="I142" s="66" t="str">
        <x:v>KOSDAQ</x:v>
      </x:c>
      <x:c r="J142" s="66" t="str">
        <x:v>상승</x:v>
      </x:c>
      <x:c r="K142" s="66" t="str">
        <x:v>상장 후 따상상상</x:v>
      </x:c>
      <x:c r="L142" s="312"/>
      <x:c r="M142" s="336" t="n">
        <x:v>2</x:v>
      </x:c>
      <x:c r="N142" s="336" t="n">
        <x:v>2</x:v>
      </x:c>
      <x:c r="O142" s="336" t="n">
        <x:v>1</x:v>
      </x:c>
      <x:c r="P142" s="336" t="n">
        <x:v>1</x:v>
      </x:c>
      <x:c r="Q142" s="336" t="n">
        <x:f>M142+N142+O142</x:f>
        <x:v>5</x:v>
      </x:c>
      <x:c r="R142" s="66" t="str">
        <x:f>IF(O142=0,"가격미확인",IF(Q142&gt;=5,"강한사례",IF(Q142&gt;=3,"경계사례","약한연결")))</x:f>
        <x:v>강한사례</x:v>
      </x:c>
      <x:c r="S142" s="66" t="str">
        <x:v>S110</x:v>
      </x:c>
      <x:c r="T142" s="66" t="str">
        <x:v>https://www.hankyung.com/article/2021080497931</x:v>
      </x:c>
      <x:c r="U142" s="66" t="str">
        <x:v>산업 초기 기대와 IPO 수급 혼합</x:v>
      </x:c>
    </x:row>
    <x:row r="143">
      <x:c r="A143" s="66" t="str">
        <x:v>DISC-2021-02</x:v>
      </x:c>
      <x:c r="B143" s="66" t="str">
        <x:v>추가 광범위탐색</x:v>
      </x:c>
      <x:c r="C143" s="66" t="n">
        <x:v>2021</x:v>
      </x:c>
      <x:c r="D143" s="66" t="str">
        <x:v>10~40대·팬덤</x:v>
      </x:c>
      <x:c r="E143" s="66" t="str">
        <x:v>기술·플랫폼</x:v>
      </x:c>
      <x:c r="F143" s="66" t="str">
        <x:v>메타버스·버추얼 아바타</x:v>
      </x:c>
      <x:c r="G143" s="66" t="str">
        <x:v>자이언트스텝</x:v>
      </x:c>
      <x:c r="H143" s="67" t="str">
        <x:v>289220</x:v>
      </x:c>
      <x:c r="I143" s="66" t="str">
        <x:v>KOSDAQ</x:v>
      </x:c>
      <x:c r="J143" s="66" t="str">
        <x:v>상승</x:v>
      </x:c>
      <x:c r="K143" s="66" t="str">
        <x:v>테마 급등 및 별도일 12.96% 상승</x:v>
      </x:c>
      <x:c r="L143" s="312" t="n">
        <x:v>12.96</x:v>
      </x:c>
      <x:c r="M143" s="336" t="n">
        <x:v>2</x:v>
      </x:c>
      <x:c r="N143" s="336" t="n">
        <x:v>2</x:v>
      </x:c>
      <x:c r="O143" s="336" t="n">
        <x:v>2</x:v>
      </x:c>
      <x:c r="P143" s="336" t="n">
        <x:v>1</x:v>
      </x:c>
      <x:c r="Q143" s="336" t="n">
        <x:f>M143+N143+O143</x:f>
        <x:v>6</x:v>
      </x:c>
      <x:c r="R143" s="66" t="str">
        <x:f>IF(O143=0,"가격미확인",IF(Q143&gt;=5,"강한사례",IF(Q143&gt;=3,"경계사례","약한연결")))</x:f>
        <x:v>강한사례</x:v>
      </x:c>
      <x:c r="S143" s="66" t="str">
        <x:v>S110;S111</x:v>
      </x:c>
      <x:c r="T143" s="66" t="str">
        <x:v>https://www.hankyung.com/article/2021080497931</x:v>
      </x:c>
      <x:c r="U143" s="66" t="str">
        <x:v>에스파 버추얼 아바타 제작</x:v>
      </x:c>
    </x:row>
    <x:row r="144">
      <x:c r="A144" s="66" t="str">
        <x:v>DISC-2021-03</x:v>
      </x:c>
      <x:c r="B144" s="66" t="str">
        <x:v>추가 광범위탐색</x:v>
      </x:c>
      <x:c r="C144" s="66" t="n">
        <x:v>2021</x:v>
      </x:c>
      <x:c r="D144" s="66" t="str">
        <x:v>전연령·콘텐츠</x:v>
      </x:c>
      <x:c r="E144" s="66" t="str">
        <x:v>기술·플랫폼</x:v>
      </x:c>
      <x:c r="F144" s="66" t="str">
        <x:v>메타버스 열풍</x:v>
      </x:c>
      <x:c r="G144" s="66" t="str">
        <x:v>덱스터</x:v>
      </x:c>
      <x:c r="H144" s="67" t="str">
        <x:v>206560</x:v>
      </x:c>
      <x:c r="I144" s="66" t="str">
        <x:v>KOSDAQ</x:v>
      </x:c>
      <x:c r="J144" s="66" t="str">
        <x:v>상승</x:v>
      </x:c>
      <x:c r="K144" s="66" t="str">
        <x:v>당일 18.98% 상승</x:v>
      </x:c>
      <x:c r="L144" s="312" t="n">
        <x:v>18.98</x:v>
      </x:c>
      <x:c r="M144" s="336" t="n">
        <x:v>2</x:v>
      </x:c>
      <x:c r="N144" s="336" t="n">
        <x:v>2</x:v>
      </x:c>
      <x:c r="O144" s="336" t="n">
        <x:v>2</x:v>
      </x:c>
      <x:c r="P144" s="336" t="n">
        <x:v>1</x:v>
      </x:c>
      <x:c r="Q144" s="336" t="n">
        <x:f>M144+N144+O144</x:f>
        <x:v>6</x:v>
      </x:c>
      <x:c r="R144" s="66" t="str">
        <x:f>IF(O144=0,"가격미확인",IF(Q144&gt;=5,"강한사례",IF(Q144&gt;=3,"경계사례","약한연결")))</x:f>
        <x:v>강한사례</x:v>
      </x:c>
      <x:c r="S144" s="66" t="str">
        <x:v>S111</x:v>
      </x:c>
      <x:c r="T144" s="66" t="str">
        <x:v>https://www.hankyung.com/article/2021101834006</x:v>
      </x:c>
      <x:c r="U144" s="66" t="str">
        <x:v>VFX 사업 직접성</x:v>
      </x:c>
    </x:row>
    <x:row r="145">
      <x:c r="A145" s="66" t="str">
        <x:v>DISC-2021-04</x:v>
      </x:c>
      <x:c r="B145" s="66" t="str">
        <x:v>추가 광범위탐색</x:v>
      </x:c>
      <x:c r="C145" s="66" t="n">
        <x:v>2021</x:v>
      </x:c>
      <x:c r="D145" s="66" t="str">
        <x:v>전연령·콘텐츠</x:v>
      </x:c>
      <x:c r="E145" s="66" t="str">
        <x:v>기술·플랫폼</x:v>
      </x:c>
      <x:c r="F145" s="66" t="str">
        <x:v>메타버스 열풍</x:v>
      </x:c>
      <x:c r="G145" s="66" t="str">
        <x:v>엔피</x:v>
      </x:c>
      <x:c r="H145" s="67" t="str">
        <x:v>291230</x:v>
      </x:c>
      <x:c r="I145" s="66" t="str">
        <x:v>KOSDAQ</x:v>
      </x:c>
      <x:c r="J145" s="66" t="str">
        <x:v>상승</x:v>
      </x:c>
      <x:c r="K145" s="66" t="str">
        <x:v>관련주 강세로 보도</x:v>
      </x:c>
      <x:c r="L145" s="312"/>
      <x:c r="M145" s="336" t="n">
        <x:v>2</x:v>
      </x:c>
      <x:c r="N145" s="336" t="n">
        <x:v>2</x:v>
      </x:c>
      <x:c r="O145" s="336" t="n">
        <x:v>1</x:v>
      </x:c>
      <x:c r="P145" s="336" t="n">
        <x:v>1</x:v>
      </x:c>
      <x:c r="Q145" s="336" t="n">
        <x:f>M145+N145+O145</x:f>
        <x:v>5</x:v>
      </x:c>
      <x:c r="R145" s="66" t="str">
        <x:f>IF(O145=0,"가격미확인",IF(Q145&gt;=5,"강한사례",IF(Q145&gt;=3,"경계사례","약한연결")))</x:f>
        <x:v>강한사례</x:v>
      </x:c>
      <x:c r="S145" s="66" t="str">
        <x:v>S111</x:v>
      </x:c>
      <x:c r="T145" s="66" t="str">
        <x:v>https://www.hankyung.com/article/2021101834006</x:v>
      </x:c>
      <x:c r="U145" s="66" t="str">
        <x:v>XR 콘텐츠 직접성, 수치 후속검증</x:v>
      </x:c>
    </x:row>
    <x:row r="146">
      <x:c r="A146" s="66" t="str">
        <x:v>DISC-2021-05</x:v>
      </x:c>
      <x:c r="B146" s="66" t="str">
        <x:v>추가 광범위탐색</x:v>
      </x:c>
      <x:c r="C146" s="66" t="n">
        <x:v>2021</x:v>
      </x:c>
      <x:c r="D146" s="66" t="str">
        <x:v>전연령·콘텐츠</x:v>
      </x:c>
      <x:c r="E146" s="66" t="str">
        <x:v>기술·플랫폼</x:v>
      </x:c>
      <x:c r="F146" s="66" t="str">
        <x:v>메타버스 열풍</x:v>
      </x:c>
      <x:c r="G146" s="66" t="str">
        <x:v>위지윅스튜디오</x:v>
      </x:c>
      <x:c r="H146" s="67" t="str">
        <x:v>299900</x:v>
      </x:c>
      <x:c r="I146" s="66" t="str">
        <x:v>KOSDAQ</x:v>
      </x:c>
      <x:c r="J146" s="66" t="str">
        <x:v>상승</x:v>
      </x:c>
      <x:c r="K146" s="66" t="str">
        <x:v>메타버스 관련주 묶음</x:v>
      </x:c>
      <x:c r="L146" s="312"/>
      <x:c r="M146" s="336" t="n">
        <x:v>2</x:v>
      </x:c>
      <x:c r="N146" s="336" t="n">
        <x:v>2</x:v>
      </x:c>
      <x:c r="O146" s="336" t="n">
        <x:v>1</x:v>
      </x:c>
      <x:c r="P146" s="336" t="n">
        <x:v>1</x:v>
      </x:c>
      <x:c r="Q146" s="336" t="n">
        <x:f>M146+N146+O146</x:f>
        <x:v>5</x:v>
      </x:c>
      <x:c r="R146" s="66" t="str">
        <x:f>IF(O146=0,"가격미확인",IF(Q146&gt;=5,"강한사례",IF(Q146&gt;=3,"경계사례","약한연결")))</x:f>
        <x:v>강한사례</x:v>
      </x:c>
      <x:c r="S146" s="66" t="str">
        <x:v>S110</x:v>
      </x:c>
      <x:c r="T146" s="66" t="str">
        <x:v>https://www.hankyung.com/article/2021080497931</x:v>
      </x:c>
      <x:c r="U146" s="66" t="str">
        <x:v>VFX·콘텐츠 직접성, 수치 후속검증</x:v>
      </x:c>
    </x:row>
    <x:row r="147">
      <x:c r="A147" s="66" t="str">
        <x:v>DISC-2022-01</x:v>
      </x:c>
      <x:c r="B147" s="66" t="str">
        <x:v>추가 광범위탐색</x:v>
      </x:c>
      <x:c r="C147" s="66" t="n">
        <x:v>2022</x:v>
      </x:c>
      <x:c r="D147" s="66" t="str">
        <x:v>전연령·드라마팬</x:v>
      </x:c>
      <x:c r="E147" s="66" t="str">
        <x:v>콘텐츠·팬덤</x:v>
      </x:c>
      <x:c r="F147" s="66" t="str">
        <x:v>이상한 변호사 우영우 신드롬</x:v>
      </x:c>
      <x:c r="G147" s="66" t="str">
        <x:v>에이스토리</x:v>
      </x:c>
      <x:c r="H147" s="67" t="str">
        <x:v>241840</x:v>
      </x:c>
      <x:c r="I147" s="66" t="str">
        <x:v>KOSDAQ</x:v>
      </x:c>
      <x:c r="J147" s="66" t="str">
        <x:v>상승</x:v>
      </x:c>
      <x:c r="K147" s="66" t="str">
        <x:v>11거래일 89.5% 상승</x:v>
      </x:c>
      <x:c r="L147" s="312" t="n">
        <x:v>89.5</x:v>
      </x:c>
      <x:c r="M147" s="336" t="n">
        <x:v>2</x:v>
      </x:c>
      <x:c r="N147" s="336" t="n">
        <x:v>2</x:v>
      </x:c>
      <x:c r="O147" s="336" t="n">
        <x:v>2</x:v>
      </x:c>
      <x:c r="P147" s="336" t="n">
        <x:v>1</x:v>
      </x:c>
      <x:c r="Q147" s="336" t="n">
        <x:f>M147+N147+O147</x:f>
        <x:v>6</x:v>
      </x:c>
      <x:c r="R147" s="66" t="str">
        <x:f>IF(O147=0,"가격미확인",IF(Q147&gt;=5,"강한사례",IF(Q147&gt;=3,"경계사례","약한연결")))</x:f>
        <x:v>강한사례</x:v>
      </x:c>
      <x:c r="S147" s="66" t="str">
        <x:v>S112</x:v>
      </x:c>
      <x:c r="T147" s="66" t="str">
        <x:v>https://www.donga.com/news/Journalist/article/all/20220714/114460309/1</x:v>
      </x:c>
      <x:c r="U147" s="66" t="str">
        <x:v>제작사 직접 연결</x:v>
      </x:c>
    </x:row>
    <x:row r="148">
      <x:c r="A148" s="66" t="str">
        <x:v>DISC-2022-02</x:v>
      </x:c>
      <x:c r="B148" s="66" t="str">
        <x:v>추가 광범위탐색</x:v>
      </x:c>
      <x:c r="C148" s="66" t="n">
        <x:v>2022</x:v>
      </x:c>
      <x:c r="D148" s="66" t="str">
        <x:v>전연령·드라마팬</x:v>
      </x:c>
      <x:c r="E148" s="66" t="str">
        <x:v>콘텐츠·팬덤</x:v>
      </x:c>
      <x:c r="F148" s="66" t="str">
        <x:v>재벌집 막내아들 흥행</x:v>
      </x:c>
      <x:c r="G148" s="66" t="str">
        <x:v>래몽래인</x:v>
      </x:c>
      <x:c r="H148" s="67" t="str">
        <x:v>200350</x:v>
      </x:c>
      <x:c r="I148" s="66" t="str">
        <x:v>KOSDAQ</x:v>
      </x:c>
      <x:c r="J148" s="66" t="str">
        <x:v>상승→하락</x:v>
      </x:c>
      <x:c r="K148" s="66" t="str">
        <x:v>첫 주 약 70% 상승 후 고점 대비 30% 이상 하락</x:v>
      </x:c>
      <x:c r="L148" s="312" t="n">
        <x:v>70</x:v>
      </x:c>
      <x:c r="M148" s="336" t="n">
        <x:v>2</x:v>
      </x:c>
      <x:c r="N148" s="336" t="n">
        <x:v>2</x:v>
      </x:c>
      <x:c r="O148" s="336" t="n">
        <x:v>2</x:v>
      </x:c>
      <x:c r="P148" s="336" t="n">
        <x:v>1</x:v>
      </x:c>
      <x:c r="Q148" s="336" t="n">
        <x:f>M148+N148+O148</x:f>
        <x:v>6</x:v>
      </x:c>
      <x:c r="R148" s="66" t="str">
        <x:f>IF(O148=0,"가격미확인",IF(Q148&gt;=5,"강한사례",IF(Q148&gt;=3,"경계사례","약한연결")))</x:f>
        <x:v>강한사례</x:v>
      </x:c>
      <x:c r="S148" s="66" t="str">
        <x:v>S113</x:v>
      </x:c>
      <x:c r="T148" s="66" t="str">
        <x:v>https://www.newsis.com/view/NISX20221221_0002130883</x:v>
      </x:c>
      <x:c r="U148" s="66" t="str">
        <x:v>흥행 기대 선반영과 소멸 비교</x:v>
      </x:c>
    </x:row>
    <x:row r="149">
      <x:c r="A149" s="66" t="str">
        <x:v>DISC-2022-03</x:v>
      </x:c>
      <x:c r="B149" s="66" t="str">
        <x:v>추가 광범위탐색</x:v>
      </x:c>
      <x:c r="C149" s="66" t="n">
        <x:v>2022</x:v>
      </x:c>
      <x:c r="D149" s="66" t="str">
        <x:v>전연령</x:v>
      </x:c>
      <x:c r="E149" s="66" t="str">
        <x:v>스포츠·행사</x:v>
      </x:c>
      <x:c r="F149" s="66" t="str">
        <x:v>카타르월드컵 치맥 소비</x:v>
      </x:c>
      <x:c r="G149" s="66" t="str">
        <x:v>제주맥주</x:v>
      </x:c>
      <x:c r="H149" s="67" t="str">
        <x:v>276730</x:v>
      </x:c>
      <x:c r="I149" s="66" t="str">
        <x:v>KOSDAQ</x:v>
      </x:c>
      <x:c r="J149" s="66" t="str">
        <x:v>상승·하락</x:v>
      </x:c>
      <x:c r="K149" s="66" t="str">
        <x:v>16강 진출 후 강세, 가나전 패배 후 하락</x:v>
      </x:c>
      <x:c r="L149" s="312"/>
      <x:c r="M149" s="336" t="n">
        <x:v>2</x:v>
      </x:c>
      <x:c r="N149" s="336" t="n">
        <x:v>2</x:v>
      </x:c>
      <x:c r="O149" s="336" t="n">
        <x:v>1</x:v>
      </x:c>
      <x:c r="P149" s="336" t="n">
        <x:v>1</x:v>
      </x:c>
      <x:c r="Q149" s="336" t="n">
        <x:f>M149+N149+O149</x:f>
        <x:v>5</x:v>
      </x:c>
      <x:c r="R149" s="66" t="str">
        <x:f>IF(O149=0,"가격미확인",IF(Q149&gt;=5,"강한사례",IF(Q149&gt;=3,"경계사례","약한연결")))</x:f>
        <x:v>강한사례</x:v>
      </x:c>
      <x:c r="S149" s="66" t="str">
        <x:v>S114</x:v>
      </x:c>
      <x:c r="T149" s="66" t="str">
        <x:v>https://www.mk.co.kr/news/stock/view/2022/12/1094633/</x:v>
      </x:c>
      <x:c r="U149" s="66" t="str">
        <x:v>경기 결과 감응형</x:v>
      </x:c>
    </x:row>
    <x:row r="150">
      <x:c r="A150" s="66" t="str">
        <x:v>DISC-2022-04</x:v>
      </x:c>
      <x:c r="B150" s="66" t="str">
        <x:v>추가 광범위탐색</x:v>
      </x:c>
      <x:c r="C150" s="66" t="n">
        <x:v>2022</x:v>
      </x:c>
      <x:c r="D150" s="66" t="str">
        <x:v>전연령</x:v>
      </x:c>
      <x:c r="E150" s="66" t="str">
        <x:v>스포츠·행사</x:v>
      </x:c>
      <x:c r="F150" s="66" t="str">
        <x:v>카타르월드컵 치맥 소비</x:v>
      </x:c>
      <x:c r="G150" s="66" t="str">
        <x:v>교촌에프앤비</x:v>
      </x:c>
      <x:c r="H150" s="67" t="str">
        <x:v>339770</x:v>
      </x:c>
      <x:c r="I150" s="66" t="str">
        <x:v>KOSPI</x:v>
      </x:c>
      <x:c r="J150" s="66" t="str">
        <x:v>상승·하락</x:v>
      </x:c>
      <x:c r="K150" s="66" t="str">
        <x:v>16강 진출 후 강세, 가나전 패배 후 하락</x:v>
      </x:c>
      <x:c r="L150" s="312"/>
      <x:c r="M150" s="336" t="n">
        <x:v>2</x:v>
      </x:c>
      <x:c r="N150" s="336" t="n">
        <x:v>2</x:v>
      </x:c>
      <x:c r="O150" s="336" t="n">
        <x:v>1</x:v>
      </x:c>
      <x:c r="P150" s="336" t="n">
        <x:v>1</x:v>
      </x:c>
      <x:c r="Q150" s="336" t="n">
        <x:f>M150+N150+O150</x:f>
        <x:v>5</x:v>
      </x:c>
      <x:c r="R150" s="66" t="str">
        <x:f>IF(O150=0,"가격미확인",IF(Q150&gt;=5,"강한사례",IF(Q150&gt;=3,"경계사례","약한연결")))</x:f>
        <x:v>강한사례</x:v>
      </x:c>
      <x:c r="S150" s="66" t="str">
        <x:v>S114</x:v>
      </x:c>
      <x:c r="T150" s="66" t="str">
        <x:v>https://www.mk.co.kr/news/stock/view/2022/12/1094633/</x:v>
      </x:c>
      <x:c r="U150" s="66" t="str">
        <x:v>실제 주문 폭주와 단기 테마</x:v>
      </x:c>
    </x:row>
    <x:row r="151">
      <x:c r="A151" s="66" t="str">
        <x:v>DISC-2022-05</x:v>
      </x:c>
      <x:c r="B151" s="66" t="str">
        <x:v>추가 광범위탐색</x:v>
      </x:c>
      <x:c r="C151" s="66" t="n">
        <x:v>2022</x:v>
      </x:c>
      <x:c r="D151" s="66" t="str">
        <x:v>전연령</x:v>
      </x:c>
      <x:c r="E151" s="66" t="str">
        <x:v>스포츠·행사</x:v>
      </x:c>
      <x:c r="F151" s="66" t="str">
        <x:v>카타르월드컵 치킨 수요</x:v>
      </x:c>
      <x:c r="G151" s="66" t="str">
        <x:v>하림</x:v>
      </x:c>
      <x:c r="H151" s="67" t="str">
        <x:v>136480</x:v>
      </x:c>
      <x:c r="I151" s="66" t="str">
        <x:v>KOSDAQ</x:v>
      </x:c>
      <x:c r="J151" s="66" t="str">
        <x:v>상승·하락</x:v>
      </x:c>
      <x:c r="K151" s="66" t="str">
        <x:v>16강 진출 후 강세, 가나전 패배 후 하락</x:v>
      </x:c>
      <x:c r="L151" s="312"/>
      <x:c r="M151" s="336" t="n">
        <x:v>2</x:v>
      </x:c>
      <x:c r="N151" s="336" t="n">
        <x:v>2</x:v>
      </x:c>
      <x:c r="O151" s="336" t="n">
        <x:v>1</x:v>
      </x:c>
      <x:c r="P151" s="336" t="n">
        <x:v>1</x:v>
      </x:c>
      <x:c r="Q151" s="336" t="n">
        <x:f>M151+N151+O151</x:f>
        <x:v>5</x:v>
      </x:c>
      <x:c r="R151" s="66" t="str">
        <x:f>IF(O151=0,"가격미확인",IF(Q151&gt;=5,"강한사례",IF(Q151&gt;=3,"경계사례","약한연결")))</x:f>
        <x:v>강한사례</x:v>
      </x:c>
      <x:c r="S151" s="66" t="str">
        <x:v>S114</x:v>
      </x:c>
      <x:c r="T151" s="66" t="str">
        <x:v>https://www.mk.co.kr/news/stock/view/2022/12/1094633/</x:v>
      </x:c>
      <x:c r="U151" s="66" t="str">
        <x:v>육계 수요 기대</x:v>
      </x:c>
    </x:row>
    <x:row r="152">
      <x:c r="A152" s="66" t="str">
        <x:v>DISC-2022-06</x:v>
      </x:c>
      <x:c r="B152" s="66" t="str">
        <x:v>추가 광범위탐색</x:v>
      </x:c>
      <x:c r="C152" s="66" t="n">
        <x:v>2022</x:v>
      </x:c>
      <x:c r="D152" s="66" t="str">
        <x:v>전연령</x:v>
      </x:c>
      <x:c r="E152" s="66" t="str">
        <x:v>스포츠·행사</x:v>
      </x:c>
      <x:c r="F152" s="66" t="str">
        <x:v>카타르월드컵 치킨 수요</x:v>
      </x:c>
      <x:c r="G152" s="66" t="str">
        <x:v>마니커</x:v>
      </x:c>
      <x:c r="H152" s="67" t="str">
        <x:v>027740</x:v>
      </x:c>
      <x:c r="I152" s="66" t="str">
        <x:v>KOSPI</x:v>
      </x:c>
      <x:c r="J152" s="66" t="str">
        <x:v>상승</x:v>
      </x:c>
      <x:c r="K152" s="66" t="str">
        <x:v>월드컵 기대 구간 약 25% 상승</x:v>
      </x:c>
      <x:c r="L152" s="312" t="n">
        <x:v>25</x:v>
      </x:c>
      <x:c r="M152" s="336" t="n">
        <x:v>2</x:v>
      </x:c>
      <x:c r="N152" s="336" t="n">
        <x:v>2</x:v>
      </x:c>
      <x:c r="O152" s="336" t="n">
        <x:v>2</x:v>
      </x:c>
      <x:c r="P152" s="336" t="n">
        <x:v>1</x:v>
      </x:c>
      <x:c r="Q152" s="336" t="n">
        <x:f>M152+N152+O152</x:f>
        <x:v>6</x:v>
      </x:c>
      <x:c r="R152" s="66" t="str">
        <x:f>IF(O152=0,"가격미확인",IF(Q152&gt;=5,"강한사례",IF(Q152&gt;=3,"경계사례","약한연결")))</x:f>
        <x:v>강한사례</x:v>
      </x:c>
      <x:c r="S152" s="66" t="str">
        <x:v>S114</x:v>
      </x:c>
      <x:c r="T152" s="66" t="str">
        <x:v>https://www.mk.co.kr/news/stock/view/2022/12/1094633/</x:v>
      </x:c>
      <x:c r="U152" s="66" t="str">
        <x:v>스포츠 소비 테마</x:v>
      </x:c>
    </x:row>
    <x:row r="153">
      <x:c r="A153" s="66" t="str">
        <x:v>DISC-2023-01</x:v>
      </x:c>
      <x:c r="B153" s="66" t="str">
        <x:v>추가 광범위탐색</x:v>
      </x:c>
      <x:c r="C153" s="66" t="n">
        <x:v>2023</x:v>
      </x:c>
      <x:c r="D153" s="66" t="str">
        <x:v>전연령·투자자</x:v>
      </x:c>
      <x:c r="E153" s="66" t="str">
        <x:v>기술·플랫폼</x:v>
      </x:c>
      <x:c r="F153" s="66" t="str">
        <x:v>챗GPT 돌풍</x:v>
      </x:c>
      <x:c r="G153" s="66" t="str">
        <x:v>코난테크놀로지</x:v>
      </x:c>
      <x:c r="H153" s="67" t="str">
        <x:v>402030</x:v>
      </x:c>
      <x:c r="I153" s="66" t="str">
        <x:v>KOSDAQ</x:v>
      </x:c>
      <x:c r="J153" s="66" t="str">
        <x:v>상승</x:v>
      </x:c>
      <x:c r="K153" s="66" t="str">
        <x:v>당일 상한가 29.93%</x:v>
      </x:c>
      <x:c r="L153" s="312" t="n">
        <x:v>29.93</x:v>
      </x:c>
      <x:c r="M153" s="336" t="n">
        <x:v>2</x:v>
      </x:c>
      <x:c r="N153" s="336" t="n">
        <x:v>2</x:v>
      </x:c>
      <x:c r="O153" s="336" t="n">
        <x:v>2</x:v>
      </x:c>
      <x:c r="P153" s="336" t="n">
        <x:v>1</x:v>
      </x:c>
      <x:c r="Q153" s="336" t="n">
        <x:f>M153+N153+O153</x:f>
        <x:v>6</x:v>
      </x:c>
      <x:c r="R153" s="66" t="str">
        <x:f>IF(O153=0,"가격미확인",IF(Q153&gt;=5,"강한사례",IF(Q153&gt;=3,"경계사례","약한연결")))</x:f>
        <x:v>강한사례</x:v>
      </x:c>
      <x:c r="S153" s="66" t="str">
        <x:v>S115</x:v>
      </x:c>
      <x:c r="T153" s="66" t="str">
        <x:v>https://www.yna.co.kr/view/AKR20230130034551002</x:v>
      </x:c>
      <x:c r="U153" s="66" t="str">
        <x:v>AI 사업 직접성</x:v>
      </x:c>
    </x:row>
    <x:row r="154">
      <x:c r="A154" s="66" t="str">
        <x:v>DISC-2023-02</x:v>
      </x:c>
      <x:c r="B154" s="66" t="str">
        <x:v>추가 광범위탐색</x:v>
      </x:c>
      <x:c r="C154" s="66" t="n">
        <x:v>2023</x:v>
      </x:c>
      <x:c r="D154" s="66" t="str">
        <x:v>전연령·투자자</x:v>
      </x:c>
      <x:c r="E154" s="66" t="str">
        <x:v>기술·플랫폼</x:v>
      </x:c>
      <x:c r="F154" s="66" t="str">
        <x:v>챗GPT 돌풍</x:v>
      </x:c>
      <x:c r="G154" s="66" t="str">
        <x:v>마음AI(당시 마인즈랩)</x:v>
      </x:c>
      <x:c r="H154" s="67" t="str">
        <x:v>377480</x:v>
      </x:c>
      <x:c r="I154" s="66" t="str">
        <x:v>KOSDAQ</x:v>
      </x:c>
      <x:c r="J154" s="66" t="str">
        <x:v>상승</x:v>
      </x:c>
      <x:c r="K154" s="66" t="str">
        <x:v>당일 21.45% 상승</x:v>
      </x:c>
      <x:c r="L154" s="312" t="n">
        <x:v>21.45</x:v>
      </x:c>
      <x:c r="M154" s="336" t="n">
        <x:v>2</x:v>
      </x:c>
      <x:c r="N154" s="336" t="n">
        <x:v>2</x:v>
      </x:c>
      <x:c r="O154" s="336" t="n">
        <x:v>2</x:v>
      </x:c>
      <x:c r="P154" s="336" t="n">
        <x:v>1</x:v>
      </x:c>
      <x:c r="Q154" s="336" t="n">
        <x:f>M154+N154+O154</x:f>
        <x:v>6</x:v>
      </x:c>
      <x:c r="R154" s="66" t="str">
        <x:f>IF(O154=0,"가격미확인",IF(Q154&gt;=5,"강한사례",IF(Q154&gt;=3,"경계사례","약한연결")))</x:f>
        <x:v>강한사례</x:v>
      </x:c>
      <x:c r="S154" s="66" t="str">
        <x:v>S115</x:v>
      </x:c>
      <x:c r="T154" s="66" t="str">
        <x:v>https://www.yna.co.kr/view/AKR20230130034551002</x:v>
      </x:c>
      <x:c r="U154" s="66" t="str">
        <x:v>AI 사업 직접성</x:v>
      </x:c>
    </x:row>
    <x:row r="155">
      <x:c r="A155" s="66" t="str">
        <x:v>DISC-2023-03</x:v>
      </x:c>
      <x:c r="B155" s="66" t="str">
        <x:v>추가 광범위탐색</x:v>
      </x:c>
      <x:c r="C155" s="66" t="n">
        <x:v>2023</x:v>
      </x:c>
      <x:c r="D155" s="66" t="str">
        <x:v>전연령·투자자</x:v>
      </x:c>
      <x:c r="E155" s="66" t="str">
        <x:v>기술·플랫폼</x:v>
      </x:c>
      <x:c r="F155" s="66" t="str">
        <x:v>챗GPT 돌풍</x:v>
      </x:c>
      <x:c r="G155" s="66" t="str">
        <x:v>플리토</x:v>
      </x:c>
      <x:c r="H155" s="67" t="str">
        <x:v>300080</x:v>
      </x:c>
      <x:c r="I155" s="66" t="str">
        <x:v>KOSDAQ</x:v>
      </x:c>
      <x:c r="J155" s="66" t="str">
        <x:v>상승</x:v>
      </x:c>
      <x:c r="K155" s="66" t="str">
        <x:v>당일 19.48% 상승</x:v>
      </x:c>
      <x:c r="L155" s="312" t="n">
        <x:v>19.48</x:v>
      </x:c>
      <x:c r="M155" s="336" t="n">
        <x:v>2</x:v>
      </x:c>
      <x:c r="N155" s="336" t="n">
        <x:v>2</x:v>
      </x:c>
      <x:c r="O155" s="336" t="n">
        <x:v>2</x:v>
      </x:c>
      <x:c r="P155" s="336" t="n">
        <x:v>1</x:v>
      </x:c>
      <x:c r="Q155" s="336" t="n">
        <x:f>M155+N155+O155</x:f>
        <x:v>6</x:v>
      </x:c>
      <x:c r="R155" s="66" t="str">
        <x:f>IF(O155=0,"가격미확인",IF(Q155&gt;=5,"강한사례",IF(Q155&gt;=3,"경계사례","약한연결")))</x:f>
        <x:v>강한사례</x:v>
      </x:c>
      <x:c r="S155" s="66" t="str">
        <x:v>S115</x:v>
      </x:c>
      <x:c r="T155" s="66" t="str">
        <x:v>https://www.yna.co.kr/view/AKR20230130034551002</x:v>
      </x:c>
      <x:c r="U155" s="66" t="str">
        <x:v>언어 데이터 연결</x:v>
      </x:c>
    </x:row>
    <x:row r="156">
      <x:c r="A156" s="66" t="str">
        <x:v>DISC-2023-04</x:v>
      </x:c>
      <x:c r="B156" s="66" t="str">
        <x:v>추가 광범위탐색</x:v>
      </x:c>
      <x:c r="C156" s="66" t="n">
        <x:v>2023</x:v>
      </x:c>
      <x:c r="D156" s="66" t="str">
        <x:v>전연령·투자자</x:v>
      </x:c>
      <x:c r="E156" s="66" t="str">
        <x:v>기술·플랫폼</x:v>
      </x:c>
      <x:c r="F156" s="66" t="str">
        <x:v>챗GPT 돌풍</x:v>
      </x:c>
      <x:c r="G156" s="66" t="str">
        <x:v>데이타솔루션</x:v>
      </x:c>
      <x:c r="H156" s="67" t="str">
        <x:v>263800</x:v>
      </x:c>
      <x:c r="I156" s="66" t="str">
        <x:v>KOSDAQ</x:v>
      </x:c>
      <x:c r="J156" s="66" t="str">
        <x:v>상승</x:v>
      </x:c>
      <x:c r="K156" s="66" t="str">
        <x:v>당일 14.32% 상승</x:v>
      </x:c>
      <x:c r="L156" s="312" t="n">
        <x:v>14.32</x:v>
      </x:c>
      <x:c r="M156" s="336" t="n">
        <x:v>2</x:v>
      </x:c>
      <x:c r="N156" s="336" t="n">
        <x:v>1</x:v>
      </x:c>
      <x:c r="O156" s="336" t="n">
        <x:v>2</x:v>
      </x:c>
      <x:c r="P156" s="336" t="n">
        <x:v>1</x:v>
      </x:c>
      <x:c r="Q156" s="336" t="n">
        <x:f>M156+N156+O156</x:f>
        <x:v>5</x:v>
      </x:c>
      <x:c r="R156" s="66" t="str">
        <x:f>IF(O156=0,"가격미확인",IF(Q156&gt;=5,"강한사례",IF(Q156&gt;=3,"경계사례","약한연결")))</x:f>
        <x:v>강한사례</x:v>
      </x:c>
      <x:c r="S156" s="66" t="str">
        <x:v>S115</x:v>
      </x:c>
      <x:c r="T156" s="66" t="str">
        <x:v>https://www.yna.co.kr/view/AKR20230130034551002</x:v>
      </x:c>
      <x:c r="U156" s="66" t="str">
        <x:v>AI 키워드 확장 연결</x:v>
      </x:c>
    </x:row>
    <x:row r="157">
      <x:c r="A157" s="66" t="str">
        <x:v>DISC-2023-05</x:v>
      </x:c>
      <x:c r="B157" s="66" t="str">
        <x:v>추가 광범위탐색</x:v>
      </x:c>
      <x:c r="C157" s="66" t="n">
        <x:v>2023</x:v>
      </x:c>
      <x:c r="D157" s="66" t="str">
        <x:v>전연령·투자자</x:v>
      </x:c>
      <x:c r="E157" s="66" t="str">
        <x:v>기술·플랫폼</x:v>
      </x:c>
      <x:c r="F157" s="66" t="str">
        <x:v>챗GPT 돌풍</x:v>
      </x:c>
      <x:c r="G157" s="66" t="str">
        <x:v>솔트룩스</x:v>
      </x:c>
      <x:c r="H157" s="67" t="str">
        <x:v>304100</x:v>
      </x:c>
      <x:c r="I157" s="66" t="str">
        <x:v>KOSDAQ</x:v>
      </x:c>
      <x:c r="J157" s="66" t="str">
        <x:v>상승</x:v>
      </x:c>
      <x:c r="K157" s="66" t="str">
        <x:v>당일 12.06% 상승</x:v>
      </x:c>
      <x:c r="L157" s="312" t="n">
        <x:v>12.06</x:v>
      </x:c>
      <x:c r="M157" s="336" t="n">
        <x:v>2</x:v>
      </x:c>
      <x:c r="N157" s="336" t="n">
        <x:v>2</x:v>
      </x:c>
      <x:c r="O157" s="336" t="n">
        <x:v>2</x:v>
      </x:c>
      <x:c r="P157" s="336" t="n">
        <x:v>1</x:v>
      </x:c>
      <x:c r="Q157" s="336" t="n">
        <x:f>M157+N157+O157</x:f>
        <x:v>6</x:v>
      </x:c>
      <x:c r="R157" s="66" t="str">
        <x:f>IF(O157=0,"가격미확인",IF(Q157&gt;=5,"강한사례",IF(Q157&gt;=3,"경계사례","약한연결")))</x:f>
        <x:v>강한사례</x:v>
      </x:c>
      <x:c r="S157" s="66" t="str">
        <x:v>S115</x:v>
      </x:c>
      <x:c r="T157" s="66" t="str">
        <x:v>https://www.yna.co.kr/view/AKR20230130034551002</x:v>
      </x:c>
      <x:c r="U157" s="66" t="str">
        <x:v>AI 사업 직접성</x:v>
      </x:c>
    </x:row>
    <x:row r="158">
      <x:c r="A158" s="66" t="str">
        <x:v>DISC-2023-06</x:v>
      </x:c>
      <x:c r="B158" s="66" t="str">
        <x:v>추가 광범위탐색</x:v>
      </x:c>
      <x:c r="C158" s="66" t="n">
        <x:v>2023</x:v>
      </x:c>
      <x:c r="D158" s="66" t="str">
        <x:v>전연령·투자자</x:v>
      </x:c>
      <x:c r="E158" s="66" t="str">
        <x:v>기술·플랫폼</x:v>
      </x:c>
      <x:c r="F158" s="66" t="str">
        <x:v>챗GPT 돌풍</x:v>
      </x:c>
      <x:c r="G158" s="66" t="str">
        <x:v>인포뱅크</x:v>
      </x:c>
      <x:c r="H158" s="67" t="str">
        <x:v>039290</x:v>
      </x:c>
      <x:c r="I158" s="66" t="str">
        <x:v>KOSDAQ</x:v>
      </x:c>
      <x:c r="J158" s="66" t="str">
        <x:v>상승</x:v>
      </x:c>
      <x:c r="K158" s="66" t="str">
        <x:v>당일 11.44% 상승</x:v>
      </x:c>
      <x:c r="L158" s="312" t="n">
        <x:v>11.44</x:v>
      </x:c>
      <x:c r="M158" s="336" t="n">
        <x:v>2</x:v>
      </x:c>
      <x:c r="N158" s="336" t="n">
        <x:v>1</x:v>
      </x:c>
      <x:c r="O158" s="336" t="n">
        <x:v>2</x:v>
      </x:c>
      <x:c r="P158" s="336" t="n">
        <x:v>1</x:v>
      </x:c>
      <x:c r="Q158" s="336" t="n">
        <x:f>M158+N158+O158</x:f>
        <x:v>5</x:v>
      </x:c>
      <x:c r="R158" s="66" t="str">
        <x:f>IF(O158=0,"가격미확인",IF(Q158&gt;=5,"강한사례",IF(Q158&gt;=3,"경계사례","약한연결")))</x:f>
        <x:v>강한사례</x:v>
      </x:c>
      <x:c r="S158" s="66" t="str">
        <x:v>S115</x:v>
      </x:c>
      <x:c r="T158" s="66" t="str">
        <x:v>https://www.yna.co.kr/view/AKR20230130034551002</x:v>
      </x:c>
      <x:c r="U158" s="66" t="str">
        <x:v>챗봇 관련주 확장</x:v>
      </x:c>
    </x:row>
    <x:row r="159">
      <x:c r="A159" s="66" t="str">
        <x:v>DISC-2024-01</x:v>
      </x:c>
      <x:c r="B159" s="66" t="str">
        <x:v>추가 광범위탐색</x:v>
      </x:c>
      <x:c r="C159" s="66" t="n">
        <x:v>2024</x:v>
      </x:c>
      <x:c r="D159" s="66" t="str">
        <x:v>전연령·독서층</x:v>
      </x:c>
      <x:c r="E159" s="66" t="str">
        <x:v>콘텐츠·팬덤</x:v>
      </x:c>
      <x:c r="F159" s="66" t="str">
        <x:v>한강 노벨문학상·텍스트힙</x:v>
      </x:c>
      <x:c r="G159" s="66" t="str">
        <x:v>예스24</x:v>
      </x:c>
      <x:c r="H159" s="67" t="str">
        <x:v>053280</x:v>
      </x:c>
      <x:c r="I159" s="66" t="str">
        <x:v>KOSDAQ</x:v>
      </x:c>
      <x:c r="J159" s="66" t="str">
        <x:v>상승</x:v>
      </x:c>
      <x:c r="K159" s="66" t="str">
        <x:v>당일 상한가 29.81%</x:v>
      </x:c>
      <x:c r="L159" s="312" t="n">
        <x:v>29.81</x:v>
      </x:c>
      <x:c r="M159" s="336" t="n">
        <x:v>2</x:v>
      </x:c>
      <x:c r="N159" s="336" t="n">
        <x:v>2</x:v>
      </x:c>
      <x:c r="O159" s="336" t="n">
        <x:v>2</x:v>
      </x:c>
      <x:c r="P159" s="336" t="n">
        <x:v>1</x:v>
      </x:c>
      <x:c r="Q159" s="336" t="n">
        <x:f>M159+N159+O159</x:f>
        <x:v>6</x:v>
      </x:c>
      <x:c r="R159" s="66" t="str">
        <x:f>IF(O159=0,"가격미확인",IF(Q159&gt;=5,"강한사례",IF(Q159&gt;=3,"경계사례","약한연결")))</x:f>
        <x:v>강한사례</x:v>
      </x:c>
      <x:c r="S159" s="66" t="str">
        <x:v>S116</x:v>
      </x:c>
      <x:c r="T159" s="66" t="str">
        <x:v>https://www.hankyung.com/article/2024101196691</x:v>
      </x:c>
      <x:c r="U159" s="66" t="str">
        <x:v>서점 판매 직접 연결</x:v>
      </x:c>
    </x:row>
    <x:row r="160">
      <x:c r="A160" s="66" t="str">
        <x:v>DISC-2024-02</x:v>
      </x:c>
      <x:c r="B160" s="66" t="str">
        <x:v>추가 광범위탐색</x:v>
      </x:c>
      <x:c r="C160" s="66" t="n">
        <x:v>2024</x:v>
      </x:c>
      <x:c r="D160" s="66" t="str">
        <x:v>전연령·독서층</x:v>
      </x:c>
      <x:c r="E160" s="66" t="str">
        <x:v>콘텐츠·팬덤</x:v>
      </x:c>
      <x:c r="F160" s="66" t="str">
        <x:v>한강 노벨문학상·텍스트힙</x:v>
      </x:c>
      <x:c r="G160" s="66" t="str">
        <x:v>밀리의서재</x:v>
      </x:c>
      <x:c r="H160" s="67" t="str">
        <x:v>418470</x:v>
      </x:c>
      <x:c r="I160" s="66" t="str">
        <x:v>KOSDAQ</x:v>
      </x:c>
      <x:c r="J160" s="66" t="str">
        <x:v>상승</x:v>
      </x:c>
      <x:c r="K160" s="66" t="str">
        <x:v>당일 23.63% 상승</x:v>
      </x:c>
      <x:c r="L160" s="312" t="n">
        <x:v>23.63</x:v>
      </x:c>
      <x:c r="M160" s="336" t="n">
        <x:v>2</x:v>
      </x:c>
      <x:c r="N160" s="336" t="n">
        <x:v>2</x:v>
      </x:c>
      <x:c r="O160" s="336" t="n">
        <x:v>2</x:v>
      </x:c>
      <x:c r="P160" s="336" t="n">
        <x:v>1</x:v>
      </x:c>
      <x:c r="Q160" s="336" t="n">
        <x:f>M160+N160+O160</x:f>
        <x:v>6</x:v>
      </x:c>
      <x:c r="R160" s="66" t="str">
        <x:f>IF(O160=0,"가격미확인",IF(Q160&gt;=5,"강한사례",IF(Q160&gt;=3,"경계사례","약한연결")))</x:f>
        <x:v>강한사례</x:v>
      </x:c>
      <x:c r="S160" s="66" t="str">
        <x:v>S116</x:v>
      </x:c>
      <x:c r="T160" s="66" t="str">
        <x:v>https://www.hankyung.com/article/2024101196691</x:v>
      </x:c>
      <x:c r="U160" s="66" t="str">
        <x:v>구독 독서 직접 연결</x:v>
      </x:c>
    </x:row>
    <x:row r="161">
      <x:c r="A161" s="66" t="str">
        <x:v>DISC-2024-03</x:v>
      </x:c>
      <x:c r="B161" s="66" t="str">
        <x:v>추가 광범위탐색</x:v>
      </x:c>
      <x:c r="C161" s="66" t="n">
        <x:v>2024</x:v>
      </x:c>
      <x:c r="D161" s="66" t="str">
        <x:v>전연령·독서층</x:v>
      </x:c>
      <x:c r="E161" s="66" t="str">
        <x:v>콘텐츠·팬덤</x:v>
      </x:c>
      <x:c r="F161" s="66" t="str">
        <x:v>한강 노벨문학상·텍스트힙</x:v>
      </x:c>
      <x:c r="G161" s="66" t="str">
        <x:v>예림당</x:v>
      </x:c>
      <x:c r="H161" s="67" t="str">
        <x:v>036000</x:v>
      </x:c>
      <x:c r="I161" s="66" t="str">
        <x:v>KOSDAQ</x:v>
      </x:c>
      <x:c r="J161" s="66" t="str">
        <x:v>상승</x:v>
      </x:c>
      <x:c r="K161" s="66" t="str">
        <x:v>당일 29.79% 상승</x:v>
      </x:c>
      <x:c r="L161" s="312" t="n">
        <x:v>29.79</x:v>
      </x:c>
      <x:c r="M161" s="336" t="n">
        <x:v>2</x:v>
      </x:c>
      <x:c r="N161" s="336" t="n">
        <x:v>1</x:v>
      </x:c>
      <x:c r="O161" s="336" t="n">
        <x:v>2</x:v>
      </x:c>
      <x:c r="P161" s="336" t="n">
        <x:v>0</x:v>
      </x:c>
      <x:c r="Q161" s="336" t="n">
        <x:f>M161+N161+O161</x:f>
        <x:v>5</x:v>
      </x:c>
      <x:c r="R161" s="66" t="str">
        <x:f>IF(O161=0,"가격미확인",IF(Q161&gt;=5,"강한사례",IF(Q161&gt;=3,"경계사례","약한연결")))</x:f>
        <x:v>강한사례</x:v>
      </x:c>
      <x:c r="S161" s="66" t="str">
        <x:v>S116</x:v>
      </x:c>
      <x:c r="T161" s="66" t="str">
        <x:v>https://www.hankyung.com/article/2024101196691</x:v>
      </x:c>
      <x:c r="U161" s="66" t="str">
        <x:v>한강 직접 사업 연결은 약한 출판 테마</x:v>
      </x:c>
    </x:row>
    <x:row r="162">
      <x:c r="A162" s="66" t="str">
        <x:v>DISC-2024-04</x:v>
      </x:c>
      <x:c r="B162" s="66" t="str">
        <x:v>추가 광범위탐색</x:v>
      </x:c>
      <x:c r="C162" s="66" t="n">
        <x:v>2024</x:v>
      </x:c>
      <x:c r="D162" s="66" t="str">
        <x:v>전연령·독서층</x:v>
      </x:c>
      <x:c r="E162" s="66" t="str">
        <x:v>콘텐츠·팬덤</x:v>
      </x:c>
      <x:c r="F162" s="66" t="str">
        <x:v>한강 노벨문학상·텍스트힙</x:v>
      </x:c>
      <x:c r="G162" s="66" t="str">
        <x:v>삼성출판사</x:v>
      </x:c>
      <x:c r="H162" s="67" t="str">
        <x:v>068290</x:v>
      </x:c>
      <x:c r="I162" s="66" t="str">
        <x:v>KOSPI</x:v>
      </x:c>
      <x:c r="J162" s="66" t="str">
        <x:v>상승</x:v>
      </x:c>
      <x:c r="K162" s="66" t="str">
        <x:v>당일 14.24% 상승</x:v>
      </x:c>
      <x:c r="L162" s="312" t="n">
        <x:v>14.24</x:v>
      </x:c>
      <x:c r="M162" s="336" t="n">
        <x:v>2</x:v>
      </x:c>
      <x:c r="N162" s="336" t="n">
        <x:v>1</x:v>
      </x:c>
      <x:c r="O162" s="336" t="n">
        <x:v>2</x:v>
      </x:c>
      <x:c r="P162" s="336" t="n">
        <x:v>0</x:v>
      </x:c>
      <x:c r="Q162" s="336" t="n">
        <x:f>M162+N162+O162</x:f>
        <x:v>5</x:v>
      </x:c>
      <x:c r="R162" s="66" t="str">
        <x:f>IF(O162=0,"가격미확인",IF(Q162&gt;=5,"강한사례",IF(Q162&gt;=3,"경계사례","약한연결")))</x:f>
        <x:v>강한사례</x:v>
      </x:c>
      <x:c r="S162" s="66" t="str">
        <x:v>S116</x:v>
      </x:c>
      <x:c r="T162" s="66" t="str">
        <x:v>https://www.hankyung.com/article/2024101196691</x:v>
      </x:c>
      <x:c r="U162" s="66" t="str">
        <x:v>한강 직접 사업 연결은 약한 출판 테마</x:v>
      </x:c>
    </x:row>
    <x:row r="163">
      <x:c r="A163" s="66" t="str">
        <x:v>DISC-2024-05</x:v>
      </x:c>
      <x:c r="B163" s="66" t="str">
        <x:v>추가 광범위탐색</x:v>
      </x:c>
      <x:c r="C163" s="66" t="n">
        <x:v>2024</x:v>
      </x:c>
      <x:c r="D163" s="66" t="str">
        <x:v>10~30대·디저트소비층</x:v>
      </x:c>
      <x:c r="E163" s="66" t="str">
        <x:v>식품·소비</x:v>
      </x:c>
      <x:c r="F163" s="66" t="str">
        <x:v>SNS발 두바이 초콜릿 열풍</x:v>
      </x:c>
      <x:c r="G163" s="66" t="str">
        <x:v>BGF리테일</x:v>
      </x:c>
      <x:c r="H163" s="67" t="str">
        <x:v>282330</x:v>
      </x:c>
      <x:c r="I163" s="66" t="str">
        <x:v>KOSPI</x:v>
      </x:c>
      <x:c r="J163" s="66" t="str">
        <x:v>가격 미확인</x:v>
      </x:c>
      <x:c r="K163" s="66" t="str">
        <x:v>CU 초도 20만개 하루 완판; 주가 반응 미검증</x:v>
      </x:c>
      <x:c r="L163" s="312"/>
      <x:c r="M163" s="336" t="n">
        <x:v>2</x:v>
      </x:c>
      <x:c r="N163" s="336" t="n">
        <x:v>2</x:v>
      </x:c>
      <x:c r="O163" s="336" t="n">
        <x:v>0</x:v>
      </x:c>
      <x:c r="P163" s="336" t="n">
        <x:v>2</x:v>
      </x:c>
      <x:c r="Q163" s="336" t="n">
        <x:f>M163+N163+O163</x:f>
        <x:v>4</x:v>
      </x:c>
      <x:c r="R163" s="66" t="str">
        <x:f>IF(O163=0,"가격미확인",IF(Q163&gt;=5,"강한사례",IF(Q163&gt;=3,"경계사례","약한연결")))</x:f>
        <x:v>가격미확인</x:v>
      </x:c>
      <x:c r="S163" s="66" t="str">
        <x:v>S117</x:v>
      </x:c>
      <x:c r="T163" s="66" t="str">
        <x:v>https://news.sbs.co.kr/news/endPage.do?news_id=N1007713128</x:v>
      </x:c>
      <x:c r="U163" s="66" t="str">
        <x:v>유행·판매는 강하지만 가격 근거가 없는 경계사례</x:v>
      </x:c>
    </x:row>
  </x:sheetData>
  <x:mergeCells>
    <x:mergeCell ref="A1:U1"/>
    <x:mergeCell ref="A2:U2"/>
  </x:mergeCells>
  <x:conditionalFormatting sqref="R5:R163">
    <x:cfRule type="containsText" dxfId="9" priority="1" operator="containsText" text="강한사례"/>
    <x:cfRule type="containsText" dxfId="10" priority="2" operator="containsText" text="가격미확인"/>
  </x:conditionalFormatting>
  <x:pageMargins left="0.7" right="0.7" top="0.75" bottom="0.75" header="0.3" footer="0.3"/>
  <x:tableParts count="1">
    <x:tablePart xmlns:r="http://schemas.openxmlformats.org/officeDocument/2006/relationships" r:id="R548cf37529114a3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30" hidden="0" customWidth="1"/>
    <x:col min="7" max="7" width="20" hidden="0" customWidth="1"/>
    <x:col min="8" max="8" width="50" hidden="0" customWidth="1"/>
  </x:cols>
  <x:sheetData>
    <x:row r="1" ht="32" customHeight="1">
      <x:c r="A1" s="332" t="str">
        <x:v>기준을 정하기 위한 분류 실험실</x:v>
      </x:c>
      <x:c r="B1" s="332"/>
      <x:c r="C1" s="332"/>
      <x:c r="D1" s="332"/>
      <x:c r="E1" s="332"/>
      <x:c r="F1" s="332"/>
      <x:c r="G1" s="332"/>
      <x:c r="H1" s="332"/>
    </x:row>
    <x:row r="2" ht="34" customHeight="1">
      <x:c r="A2" s="335" t="str">
        <x:v>숫자는 ‘정답’이 아니라 현재 코퍼스의 구성입니다. 필터로 강한사례·경계사례·가격미확인을 번갈아 보면서 포함 범위를 결정하세요.</x:v>
      </x:c>
      <x:c r="B2" s="335"/>
      <x:c r="C2" s="335"/>
      <x:c r="D2" s="335"/>
      <x:c r="E2" s="335"/>
      <x:c r="F2" s="335"/>
      <x:c r="G2" s="335"/>
      <x:c r="H2" s="335"/>
    </x:row>
    <x:row r="4">
      <x:c r="A4" s="338" t="str">
        <x:v>생활영역</x:v>
      </x:c>
      <x:c r="B4" s="338" t="str">
        <x:v>사례 수</x:v>
      </x:c>
      <x:c r="C4" s="338" t="str">
        <x:v>비중</x:v>
      </x:c>
      <x:c r="E4" s="338" t="str">
        <x:v>탐색등급</x:v>
      </x:c>
      <x:c r="F4" s="338" t="str">
        <x:v>사례 수</x:v>
      </x:c>
      <x:c r="G4" s="338" t="str">
        <x:v>사용법</x:v>
      </x:c>
    </x:row>
    <x:row r="5">
      <x:c r="A5" t="str">
        <x:v>정치·정책·사회</x:v>
      </x:c>
      <x:c r="B5" t="n">
        <x:f>COUNTIF('광범위_경계코퍼스'!$E$5:$E$163,A5)</x:f>
        <x:v>59</x:v>
      </x:c>
      <x:c r="C5" s="321" t="n">
        <x:f>B5/COUNTA('광범위_경계코퍼스'!$A$5:$A$163)</x:f>
        <x:v>0.3710691823899371</x:v>
      </x:c>
      <x:c r="E5" t="str">
        <x:v>강한사례</x:v>
      </x:c>
      <x:c r="F5" t="n">
        <x:f>COUNTIF('광범위_경계코퍼스'!$R$5:$R$163,E5)</x:f>
        <x:v>108</x:v>
      </x:c>
      <x:c r="G5" t="str">
        <x:v>유행·연결·가격 근거가 비교적 완성</x:v>
      </x:c>
    </x:row>
    <x:row r="6">
      <x:c r="A6" t="str">
        <x:v>식품·소비</x:v>
      </x:c>
      <x:c r="B6" t="n">
        <x:f>COUNTIF('광범위_경계코퍼스'!$E$5:$E$163,A6)</x:f>
        <x:v>22</x:v>
      </x:c>
      <x:c r="C6" s="321" t="n">
        <x:f>B6/COUNTA('광범위_경계코퍼스'!$A$5:$A$163)</x:f>
        <x:v>0.13836477987421383</x:v>
      </x:c>
      <x:c r="E6" t="str">
        <x:v>경계사례</x:v>
      </x:c>
      <x:c r="F6" t="n">
        <x:f>COUNTIF('광범위_경계코퍼스'!$R$5:$R$163,E6)</x:f>
        <x:v>38</x:v>
      </x:c>
      <x:c r="G6" t="str">
        <x:v>연결이 약하거나 가격근거가 서술형</x:v>
      </x:c>
    </x:row>
    <x:row r="7">
      <x:c r="A7" t="str">
        <x:v>콘텐츠·팬덤</x:v>
      </x:c>
      <x:c r="B7" t="n">
        <x:f>COUNTIF('광범위_경계코퍼스'!$E$5:$E$163,A7)</x:f>
        <x:v>16</x:v>
      </x:c>
      <x:c r="C7" s="321" t="n">
        <x:f>B7/COUNTA('광범위_경계코퍼스'!$A$5:$A$163)</x:f>
        <x:v>0.10062893081761007</x:v>
      </x:c>
      <x:c r="E7" t="str">
        <x:v>가격미확인</x:v>
      </x:c>
      <x:c r="F7" t="n">
        <x:f>COUNTIF('광범위_경계코퍼스'!$R$5:$R$163,E7)</x:f>
        <x:v>13</x:v>
      </x:c>
      <x:c r="G7" t="str">
        <x:v>유행·판매는 있으나 주가 반응 미검증</x:v>
      </x:c>
    </x:row>
    <x:row r="8">
      <x:c r="A8" t="str">
        <x:v>기술·플랫폼</x:v>
      </x:c>
      <x:c r="B8" t="n">
        <x:f>COUNTIF('광범위_경계코퍼스'!$E$5:$E$163,A8)</x:f>
        <x:v>17</x:v>
      </x:c>
      <x:c r="C8" s="321" t="n">
        <x:f>B8/COUNTA('광범위_경계코퍼스'!$A$5:$A$163)</x:f>
        <x:v>0.1069182389937107</x:v>
      </x:c>
      <x:c r="E8" t="str">
        <x:v>약한연결</x:v>
      </x:c>
      <x:c r="F8" t="n">
        <x:f>COUNTIF('광범위_경계코퍼스'!$R$5:$R$163,E8)</x:f>
        <x:v>0</x:v>
      </x:c>
      <x:c r="G8" t="str">
        <x:v>비교·제외 기준을 정할 때 사용</x:v>
      </x:c>
    </x:row>
    <x:row r="9">
      <x:c r="A9" t="str">
        <x:v>건강·재난</x:v>
      </x:c>
      <x:c r="B9" t="n">
        <x:f>COUNTIF('광범위_경계코퍼스'!$E$5:$E$163,A9)</x:f>
        <x:v>15</x:v>
      </x:c>
      <x:c r="C9" s="321" t="n">
        <x:f>B9/COUNTA('광범위_경계코퍼스'!$A$5:$A$163)</x:f>
        <x:v>0.09433962264150944</x:v>
      </x:c>
    </x:row>
    <x:row r="10">
      <x:c r="A10" t="str">
        <x:v>생활·환경</x:v>
      </x:c>
      <x:c r="B10" t="n">
        <x:f>COUNTIF('광범위_경계코퍼스'!$E$5:$E$163,A10)</x:f>
        <x:v>7</x:v>
      </x:c>
      <x:c r="C10" s="321" t="n">
        <x:f>B10/COUNTA('광범위_경계코퍼스'!$A$5:$A$163)</x:f>
        <x:v>0.0440251572327044</x:v>
      </x:c>
    </x:row>
    <x:row r="11">
      <x:c r="A11" t="str">
        <x:v>생활·비대면</x:v>
      </x:c>
      <x:c r="B11" t="n">
        <x:f>COUNTIF('광범위_경계코퍼스'!$E$5:$E$163,A11)</x:f>
        <x:v>6</x:v>
      </x:c>
      <x:c r="C11" s="321" t="n">
        <x:f>B11/COUNTA('광범위_경계코퍼스'!$A$5:$A$163)</x:f>
        <x:v>0.03773584905660377</x:v>
      </x:c>
    </x:row>
    <x:row r="12">
      <x:c r="A12" t="str">
        <x:v>소비자행동·불매</x:v>
      </x:c>
      <x:c r="B12" t="n">
        <x:f>COUNTIF('광범위_경계코퍼스'!$E$5:$E$163,A12)</x:f>
        <x:v>3</x:v>
      </x:c>
      <x:c r="C12" s="321" t="n">
        <x:f>B12/COUNTA('광범위_경계코퍼스'!$A$5:$A$163)</x:f>
        <x:v>0.018867924528301886</x:v>
      </x:c>
    </x:row>
    <x:row r="13">
      <x:c r="A13" t="str">
        <x:v>소비자행동·논란</x:v>
      </x:c>
      <x:c r="B13" t="n">
        <x:f>COUNTIF('광범위_경계코퍼스'!$E$5:$E$163,A13)</x:f>
        <x:v>2</x:v>
      </x:c>
      <x:c r="C13" s="321" t="n">
        <x:f>B13/COUNTA('광범위_경계코퍼스'!$A$5:$A$163)</x:f>
        <x:v>0.012578616352201259</x:v>
      </x:c>
    </x:row>
    <x:row r="14">
      <x:c r="A14" t="str">
        <x:v>스포츠·행사</x:v>
      </x:c>
      <x:c r="B14" t="n">
        <x:f>COUNTIF('광범위_경계코퍼스'!$E$5:$E$163,A14)</x:f>
        <x:v>6</x:v>
      </x:c>
      <x:c r="C14" s="321" t="n">
        <x:f>B14/COUNTA('광범위_경계코퍼스'!$A$5:$A$163)</x:f>
        <x:v>0.03773584905660377</x:v>
      </x:c>
    </x:row>
    <x:row r="15">
      <x:c r="A15" t="str">
        <x:v>뷰티·패션</x:v>
      </x:c>
      <x:c r="B15" t="n">
        <x:f>COUNTIF('광범위_경계코퍼스'!$E$5:$E$163,A15)</x:f>
        <x:v>3</x:v>
      </x:c>
      <x:c r="C15" s="321" t="n">
        <x:f>B15/COUNTA('광범위_경계코퍼스'!$A$5:$A$163)</x:f>
        <x:v>0.018867924528301886</x:v>
      </x:c>
    </x:row>
    <x:row r="16">
      <x:c r="A16" t="str">
        <x:v>인물·관계·기타</x:v>
      </x:c>
      <x:c r="B16" t="n">
        <x:f>COUNTIF('광범위_경계코퍼스'!$E$5:$E$163,A16)</x:f>
        <x:v>3</x:v>
      </x:c>
      <x:c r="C16" s="321" t="n">
        <x:f>B16/COUNTA('광범위_경계코퍼스'!$A$5:$A$163)</x:f>
        <x:v>0.018867924528301886</x:v>
      </x:c>
    </x:row>
    <x:row r="20" ht="26" customHeight="1">
      <x:c r="A20" s="339" t="str">
        <x:v>네 가지 포함 경계 가설</x:v>
      </x:c>
      <x:c r="B20" s="339"/>
      <x:c r="C20" s="339"/>
      <x:c r="D20" s="339"/>
      <x:c r="E20" s="339"/>
      <x:c r="F20" s="339"/>
      <x:c r="G20" s="339"/>
      <x:c r="H20" s="339"/>
    </x:row>
    <x:row r="21">
      <x:c r="A21" s="341" t="str">
        <x:v>가설</x:v>
      </x:c>
      <x:c r="B21" s="341" t="str">
        <x:v>유행근거</x:v>
      </x:c>
      <x:c r="C21" s="341" t="str">
        <x:v>기업연결</x:v>
      </x:c>
      <x:c r="D21" s="341" t="str">
        <x:v>가격근거</x:v>
      </x:c>
      <x:c r="E21" s="341" t="str">
        <x:v>동시재료</x:v>
      </x:c>
      <x:c r="F21" s="341" t="str">
        <x:v>대표 형태</x:v>
      </x:c>
      <x:c r="G21" s="341" t="str">
        <x:v>서비스 모드</x:v>
      </x:c>
      <x:c r="H21" s="341" t="str">
        <x:v>판단 질문</x:v>
      </x:c>
    </x:row>
    <x:row r="22">
      <x:c r="A22" s="66" t="str">
        <x:v>A. 순수 밈</x:v>
      </x:c>
      <x:c r="B22" s="66" t="n">
        <x:v>2</x:v>
      </x:c>
      <x:c r="C22" s="66" t="str">
        <x:v>0~1</x:v>
      </x:c>
      <x:c r="D22" s="66" t="n">
        <x:v>2</x:v>
      </x:c>
      <x:c r="E22" s="66" t="str">
        <x:v>0~1</x:v>
      </x:c>
      <x:c r="F22" s="66" t="str">
        <x:v>이름·인맥·막연한 관련주</x:v>
      </x:c>
      <x:c r="G22" s="66" t="str">
        <x:v>밈 모드</x:v>
      </x:c>
      <x:c r="H22" s="66" t="str">
        <x:v>사업 연결이 없어도 관심 전이만으로 포함할 것인가?</x:v>
      </x:c>
    </x:row>
    <x:row r="23">
      <x:c r="A23" s="66" t="str">
        <x:v>B. 소비 트렌드 직결</x:v>
      </x:c>
      <x:c r="B23" s="66" t="n">
        <x:v>2</x:v>
      </x:c>
      <x:c r="C23" s="66" t="n">
        <x:v>2</x:v>
      </x:c>
      <x:c r="D23" s="66" t="n">
        <x:v>2</x:v>
      </x:c>
      <x:c r="E23" s="66" t="str">
        <x:v>1~2</x:v>
      </x:c>
      <x:c r="F23" s="66" t="str">
        <x:v>품절·챌린지·판매 증가</x:v>
      </x:c>
      <x:c r="G23" s="66" t="str">
        <x:v>비즈니스 모드</x:v>
      </x:c>
      <x:c r="H23" s="66" t="str">
        <x:v>실적 동반 사례도 트렌드 사례로 포함할 것인가?</x:v>
      </x:c>
    </x:row>
    <x:row r="24">
      <x:c r="A24" s="66" t="str">
        <x:v>C. 사회현상 테마</x:v>
      </x:c>
      <x:c r="B24" s="66" t="n">
        <x:v>2</x:v>
      </x:c>
      <x:c r="C24" s="66" t="str">
        <x:v>1~2</x:v>
      </x:c>
      <x:c r="D24" s="66" t="n">
        <x:v>2</x:v>
      </x:c>
      <x:c r="E24" s="66" t="str">
        <x:v>0~2</x:v>
      </x:c>
      <x:c r="F24" s="66" t="str">
        <x:v>감염병·미세먼지·불매·스포츠</x:v>
      </x:c>
      <x:c r="G24" s="66" t="str">
        <x:v>두 모드 경계</x:v>
      </x:c>
      <x:c r="H24" s="66" t="str">
        <x:v>일상 경험과 집단행동을 어디까지 유행으로 볼 것인가?</x:v>
      </x:c>
    </x:row>
    <x:row r="25">
      <x:c r="A25" s="66" t="str">
        <x:v>D. 선행 후보</x:v>
      </x:c>
      <x:c r="B25" s="66" t="n">
        <x:v>2</x:v>
      </x:c>
      <x:c r="C25" s="66" t="str">
        <x:v>1~2</x:v>
      </x:c>
      <x:c r="D25" s="66" t="n">
        <x:v>0</x:v>
      </x:c>
      <x:c r="E25" s="66" t="str">
        <x:v>0~2</x:v>
      </x:c>
      <x:c r="F25" s="66" t="str">
        <x:v>두바이초콜릿처럼 유행·판매만 확인</x:v>
      </x:c>
      <x:c r="G25" s="66" t="str">
        <x:v>관찰 목록</x:v>
      </x:c>
      <x:c r="H25" s="66" t="str">
        <x:v>주가 반응 전에도 서비스가 탐색 후보로 보여줄 것인가?</x:v>
      </x:c>
    </x:row>
    <x:row r="28" ht="30" customHeight="1">
      <x:c r="A28" s="344" t="str">
        <x:v>추천: 수집 단계에서는 A~D를 모두 보존하고, 최종 서비스 노출 단계에서만 기준을 좁힙니다.</x:v>
      </x:c>
      <x:c r="B28" s="344"/>
      <x:c r="C28" s="344"/>
      <x:c r="D28" s="344"/>
      <x:c r="E28" s="344"/>
      <x:c r="F28" s="344"/>
      <x:c r="G28" s="344"/>
      <x:c r="H28" s="344"/>
    </x:row>
  </x:sheetData>
  <x:mergeCells>
    <x:mergeCell ref="A1:H1"/>
    <x:mergeCell ref="A2:H2"/>
    <x:mergeCell ref="A20:H20"/>
    <x:mergeCell ref="A28:H28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22" hidden="0" customWidth="1"/>
    <x:col min="4" max="4" width="25" hidden="0" customWidth="1"/>
    <x:col min="5" max="5" width="28" hidden="0" customWidth="1"/>
    <x:col min="6" max="6" width="24" hidden="0" customWidth="1"/>
    <x:col min="7" max="7" width="30" hidden="0" customWidth="1"/>
  </x:cols>
  <x:sheetData>
    <x:row r="1" ht="32" customHeight="1">
      <x:c r="A1" s="332" t="str">
        <x:v>넓게 수집하고 나중에 좁히는 판정 가이드</x:v>
      </x:c>
      <x:c r="B1" s="332"/>
      <x:c r="C1" s="332"/>
      <x:c r="D1" s="332"/>
      <x:c r="E1" s="332"/>
      <x:c r="F1" s="332"/>
      <x:c r="G1" s="332"/>
    </x:row>
    <x:row r="3">
      <x:c r="A3" s="338" t="str">
        <x:v>단계</x:v>
      </x:c>
      <x:c r="B3" s="338" t="str">
        <x:v>질문</x:v>
      </x:c>
      <x:c r="C3" s="338" t="str">
        <x:v>0점</x:v>
      </x:c>
      <x:c r="D3" s="338" t="str">
        <x:v>1점</x:v>
      </x:c>
      <x:c r="E3" s="338" t="str">
        <x:v>2점</x:v>
      </x:c>
      <x:c r="F3" s="338" t="str">
        <x:v>수집 단계 처리</x:v>
      </x:c>
      <x:c r="G3" s="338" t="str">
        <x:v>최종 서비스 처리 후보</x:v>
      </x:c>
    </x:row>
    <x:row r="4">
      <x:c r="A4" s="66" t="str">
        <x:v>T 유행근거</x:v>
      </x:c>
      <x:c r="B4" s="66" t="str">
        <x:v>사회적 유행이 확인되는가?</x:v>
      </x:c>
      <x:c r="C4" s="66" t="str">
        <x:v>언급만 있음</x:v>
      </x:c>
      <x:c r="D4" s="66" t="str">
        <x:v>복수 기사·검색 관심</x:v>
      </x:c>
      <x:c r="E4" s="66" t="str">
        <x:v>SNS·검색·판매 등 수치</x:v>
      </x:c>
      <x:c r="F4" s="66" t="str">
        <x:v>0점도 관찰목록 보존</x:v>
      </x:c>
      <x:c r="G4" s="66" t="str">
        <x:v>1점 이상만 노출 검토</x:v>
      </x:c>
    </x:row>
    <x:row r="5">
      <x:c r="A5" s="66" t="str">
        <x:v>L 기업연결</x:v>
      </x:c>
      <x:c r="B5" s="66" t="str">
        <x:v>기업과 유행의 관계는?</x:v>
      </x:c>
      <x:c r="C5" s="66" t="str">
        <x:v>이름·인맥·오인</x:v>
      </x:c>
      <x:c r="D5" s="66" t="str">
        <x:v>간접 공급·유통·테마</x:v>
      </x:c>
      <x:c r="E5" s="66" t="str">
        <x:v>제품·IP·제작·직접판매</x:v>
      </x:c>
      <x:c r="F5" s="66" t="str">
        <x:v>모두 보존</x:v>
      </x:c>
      <x:c r="G5" s="66" t="str">
        <x:v>모드별로 구분 노출</x:v>
      </x:c>
    </x:row>
    <x:row r="6">
      <x:c r="A6" s="66" t="str">
        <x:v>P 가격근거</x:v>
      </x:c>
      <x:c r="B6" s="66" t="str">
        <x:v>가격 반응이 확인되는가?</x:v>
      </x:c>
      <x:c r="C6" s="66" t="str">
        <x:v>미확인</x:v>
      </x:c>
      <x:c r="D6" s="66" t="str">
        <x:v>상승·하락 서술만 있음</x:v>
      </x:c>
      <x:c r="E6" s="66" t="str">
        <x:v>기간·등락률 수치 있음</x:v>
      </x:c>
      <x:c r="F6" s="66" t="str">
        <x:v>0점도 선행후보 보존</x:v>
      </x:c>
      <x:c r="G6" s="66" t="str">
        <x:v>회고 사례는 1점 이상</x:v>
      </x:c>
    </x:row>
    <x:row r="7">
      <x:c r="A7" s="66" t="str">
        <x:v>C 동시재료</x:v>
      </x:c>
      <x:c r="B7" s="66" t="str">
        <x:v>다른 주가 재료가 있는가?</x:v>
      </x:c>
      <x:c r="C7" s="66" t="str">
        <x:v>기사상 없음</x:v>
      </x:c>
      <x:c r="D7" s="66" t="str">
        <x:v>가능성 있음</x:v>
      </x:c>
      <x:c r="E7" s="66" t="str">
        <x:v>실적·계약·수주 명확</x:v>
      </x:c>
      <x:c r="F7" s="66" t="str">
        <x:v>별도 열에 기록</x:v>
      </x:c>
      <x:c r="G7" s="66" t="str">
        <x:v>‘밈 단독’ 표현 제한</x:v>
      </x:c>
    </x:row>
    <x:row r="8">
      <x:c r="A8" s="66" t="str">
        <x:v>방향</x:v>
      </x:c>
      <x:c r="B8" s="66" t="str">
        <x:v>어떤 반응인가?</x:v>
      </x:c>
      <x:c r="C8" s="66" t="str">
        <x:v>반응 없음</x:v>
      </x:c>
      <x:c r="D8" s="66" t="str">
        <x:v>상승 또는 하락</x:v>
      </x:c>
      <x:c r="E8" s="66" t="str">
        <x:v>상승 후 소멸까지 확인</x:v>
      </x:c>
      <x:c r="F8" s="66" t="str">
        <x:v>상승·하락 모두 수집</x:v>
      </x:c>
      <x:c r="G8" s="66" t="str">
        <x:v>위험·소멸 경고에 활용</x:v>
      </x:c>
    </x:row>
    <x:row r="9">
      <x:c r="A9" s="66"/>
      <x:c r="B9" s="66"/>
      <x:c r="C9" s="66"/>
      <x:c r="D9" s="66"/>
      <x:c r="E9" s="66"/>
      <x:c r="F9" s="66"/>
      <x:c r="G9" s="66"/>
    </x:row>
    <x:row r="10" ht="26" customHeight="1">
      <x:c r="A10" s="346" t="str">
        <x:v>핵심 원칙: 자료 수집의 포함 기준과 실제 서비스의 노출 기준을 분리한다.</x:v>
      </x:c>
      <x:c r="B10" s="346"/>
      <x:c r="C10" s="346"/>
      <x:c r="D10" s="346"/>
      <x:c r="E10" s="346"/>
      <x:c r="F10" s="346"/>
      <x:c r="G10" s="346"/>
    </x:row>
    <x:row r="11">
      <x:c r="A11" s="66" t="str">
        <x:v>수집 포함</x:v>
      </x:c>
      <x:c r="B11" s="66" t="str">
        <x:v>유행만 확인되고 가격이 미확인인 사례</x:v>
      </x:c>
      <x:c r="C11" s="66"/>
      <x:c r="D11" s="66"/>
      <x:c r="E11" s="66"/>
      <x:c r="F11" s="66" t="str">
        <x:v>포함</x:v>
      </x:c>
      <x:c r="G11" s="66" t="str">
        <x:v>선행 후보</x:v>
      </x:c>
    </x:row>
    <x:row r="12">
      <x:c r="A12" s="66" t="str">
        <x:v>수집 포함</x:v>
      </x:c>
      <x:c r="B12" s="66" t="str">
        <x:v>주가가 하락하거나 열풍 종료 후 급락한 사례</x:v>
      </x:c>
      <x:c r="C12" s="66"/>
      <x:c r="D12" s="66"/>
      <x:c r="E12" s="66"/>
      <x:c r="F12" s="66" t="str">
        <x:v>포함</x:v>
      </x:c>
      <x:c r="G12" s="66" t="str">
        <x:v>리스크·소멸 사례</x:v>
      </x:c>
    </x:row>
    <x:row r="13">
      <x:c r="A13" s="66" t="str">
        <x:v>수집 포함</x:v>
      </x:c>
      <x:c r="B13" s="66" t="str">
        <x:v>실적·판매가 실제로 증가한 사례</x:v>
      </x:c>
      <x:c r="C13" s="66"/>
      <x:c r="D13" s="66"/>
      <x:c r="E13" s="66"/>
      <x:c r="F13" s="66" t="str">
        <x:v>포함</x:v>
      </x:c>
      <x:c r="G13" s="66" t="str">
        <x:v>비즈니스 모드</x:v>
      </x:c>
    </x:row>
    <x:row r="14">
      <x:c r="A14" s="66" t="str">
        <x:v>수집 포함</x:v>
      </x:c>
      <x:c r="B14" s="66" t="str">
        <x:v>사업 연결이 거의 없는 이름·인맥 사례</x:v>
      </x:c>
      <x:c r="C14" s="66"/>
      <x:c r="D14" s="66"/>
      <x:c r="E14" s="66"/>
      <x:c r="F14" s="66" t="str">
        <x:v>포함</x:v>
      </x:c>
      <x:c r="G14" s="66" t="str">
        <x:v>밈 모드</x:v>
      </x:c>
    </x:row>
    <x:row r="15">
      <x:c r="A15" s="66" t="str">
        <x:v>수집 제외</x:v>
      </x:c>
      <x:c r="B15" s="66" t="str">
        <x:v>종목명만 나열되고 유행·가격·연결 근거가 모두 없는 글</x:v>
      </x:c>
      <x:c r="C15" s="66"/>
      <x:c r="D15" s="66"/>
      <x:c r="E15" s="66"/>
      <x:c r="F15" s="66" t="str">
        <x:v>제외</x:v>
      </x:c>
      <x:c r="G15" s="66" t="str">
        <x:v>노출 금지</x:v>
      </x:c>
    </x:row>
  </x:sheetData>
  <x:mergeCells>
    <x:mergeCell ref="A1:G1"/>
    <x:mergeCell ref="A10:G10"/>
  </x:mergeCells>
  <x:pageMargins left="0.7" right="0.7" top="0.75" bottom="0.75" header="0.3" footer="0.3"/>
</x:worksheet>
</file>