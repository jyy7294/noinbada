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babea1ddf42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안내" sheetId="1" r:id="R2a1c0cdb9f8c45b4"/>
    <x:sheet xmlns:r="http://schemas.openxmlformats.org/officeDocument/2006/relationships" name="01_유행이벤트" sheetId="2" r:id="R5de175dda10947f8"/>
    <x:sheet xmlns:r="http://schemas.openxmlformats.org/officeDocument/2006/relationships" name="02_종목반응" sheetId="3" r:id="R3c950a999df740f6"/>
    <x:sheet xmlns:r="http://schemas.openxmlformats.org/officeDocument/2006/relationships" name="03_출처" sheetId="4" r:id="R19a806caaa15442c"/>
    <x:sheet xmlns:r="http://schemas.openxmlformats.org/officeDocument/2006/relationships" name="04_판정기준" sheetId="5" r:id="Rd7a186bd3766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yyyy-mm-dd"/>
    <x:numFmt numFmtId="202" formatCode="@"/>
    <x:numFmt numFmtId="203" formatCode="#,##0"/>
    <x:numFmt numFmtId="204" formatCode="0.0%"/>
  </x:numFmts>
  <x:fonts count="3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1"/>
      <x:color rgb="FF0B1F4B"/>
      <x:name val="Carlito"/>
    </x:font>
    <x:font>
      <x:b/>
      <x:sz val="10"/>
      <x:color rgb="FFFFFFFF"/>
      <x:name val="Carlito"/>
    </x:font>
    <x:font>
      <x:sz val="9"/>
      <x:color rgb="FF25324A"/>
      <x:name val="Carlito"/>
    </x:font>
    <x:font>
      <x:b/>
      <x:sz val="9"/>
      <x:color rgb="FF0B1F4B"/>
      <x:name val="Carlito"/>
    </x:font>
    <x:font>
      <x:b/>
      <x:sz val="11"/>
      <x:color rgb="FF166534"/>
      <x:name val="Carlito"/>
    </x:font>
    <x:font>
      <x:b/>
      <x:sz val="9"/>
      <x:color rgb="FFA61B29"/>
      <x:name val="Carlito"/>
    </x:font>
    <x:font>
      <x:b/>
      <x:sz val="20"/>
      <x:color rgb="FFFFFFFF"/>
      <x:name val="Carlito"/>
    </x:font>
    <x:font>
      <x:b/>
      <x:sz val="10"/>
      <x:color rgb="FF163D8C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  <x:font>
      <x:sz val="9"/>
      <x:color rgb="FF17213C"/>
      <x:name val="Carlito"/>
    </x:font>
    <x:font>
      <x:b/>
      <x:sz val="9"/>
      <x:color rgb="FF163D8C"/>
      <x:name val="Carlito"/>
    </x:font>
    <x:font>
      <x:b/>
      <x:sz val="9"/>
      <x:color rgb="FFF4006D"/>
      <x:name val="Carlito"/>
    </x:font>
    <x:font>
      <x:b/>
      <x:sz val="11"/>
      <x:color rgb="FF163D8C"/>
      <x:name val="Carlito"/>
    </x:font>
    <x:font>
      <x:b/>
      <x:sz val="11"/>
      <x:color rgb="FFFFFFFF"/>
      <x:name val="Carlito"/>
    </x:font>
    <x:font>
      <x:b/>
      <x:sz val="11"/>
      <x:color rgb="FF17213C"/>
      <x:name val="Carlito"/>
    </x:font>
    <x:font>
      <x:b/>
      <x:sz val="11"/>
      <x:color rgb="FFA65D00"/>
      <x:name val="Carlito"/>
    </x:font>
    <x:font>
      <x:b/>
      <x:i/>
      <x:sz val="10"/>
      <x:color rgb="FF163D8C"/>
      <x:name val="Carlito"/>
    </x:font>
    <x:font>
      <x:sz val="9"/>
      <x:color rgb="FF0563C1"/>
      <x:name val="Carlito"/>
    </x:font>
    <x:font>
      <x:b/>
      <x:sz val="11"/>
      <x:color rgb="FFF4006D"/>
      <x:name val="Carlito"/>
    </x:font>
    <x:font>
      <x:b/>
      <x:sz val="9"/>
      <x:color rgb="FF6C3BE8"/>
      <x:name val="Carlito"/>
    </x:font>
    <x:font>
      <x:b/>
      <x:sz val="13"/>
      <x:color rgb="FFFFFFFF"/>
      <x:name val="Carlito"/>
    </x:font>
    <x:font>
      <x:sz val="10"/>
      <x:color rgb="FF17213C"/>
      <x:name val="Carlito"/>
    </x:font>
    <x:font>
      <x:b/>
      <x:sz val="22"/>
      <x:color rgb="FFFFFFFF"/>
      <x:name val="Carlito"/>
    </x:font>
    <x:font>
      <x:i/>
      <x:sz val="9"/>
      <x:color rgb="FF5C667A"/>
      <x:name val="Carlito"/>
    </x:font>
    <x:font>
      <x:b/>
      <x:sz val="9"/>
      <x:color rgb="FF5C667A"/>
      <x:name val="Carlito"/>
    </x:font>
    <x:font>
      <x:b/>
      <x:sz val="11"/>
      <x:color rgb="FF157A5A"/>
      <x:name val="Carlito"/>
    </x:font>
    <x:font>
      <x:b/>
      <x:sz val="9"/>
      <x:color rgb="FFFFFFFF"/>
      <x:name val="Carlito"/>
    </x:font>
    <x:font>
      <x:sz val="9"/>
      <x:color rgb="FFA65D00"/>
      <x:name val="Carlito"/>
    </x:font>
    <x:font>
      <x:b/>
      <x:sz val="9"/>
      <x:color rgb="FFA65D00"/>
      <x:name val="Carlito"/>
    </x:font>
  </x:fonts>
  <x:fills count="48">
    <x:fill>
      <x:patternFill patternType="none"/>
    </x:fill>
    <x:fill>
      <x:patternFill patternType="gray125"/>
    </x:fill>
    <x:fill>
      <x:patternFill patternType="solid">
        <x:fgColor rgb="FF0B1F4B"/>
      </x:patternFill>
    </x:fill>
    <x:fill>
      <x:patternFill patternType="solid">
        <x:fgColor rgb="FFF1F5FF"/>
      </x:patternFill>
    </x:fill>
    <x:fill>
      <x:patternFill patternType="solid">
        <x:fgColor rgb="FFDDE8FF"/>
      </x:patternFill>
    </x:fill>
    <x:fill>
      <x:patternFill patternType="solid">
        <x:fgColor rgb="FFFFF0F5"/>
      </x:patternFill>
    </x:fill>
    <x:fill>
      <x:patternFill patternType="solid">
        <x:fgColor rgb="FF2F5BCB"/>
      </x:patternFill>
    </x:fill>
    <x:fill>
      <x:patternFill patternType="solid">
        <x:fgColor rgb="FFEEE8FF"/>
      </x:patternFill>
    </x:fill>
    <x:fill>
      <x:patternFill patternType="solid">
        <x:fgColor rgb="FFE8F5EC"/>
      </x:patternFill>
    </x:fill>
    <x:fill>
      <x:patternFill patternType="solid">
        <x:fgColor rgb="FFF7F9FC"/>
      </x:patternFill>
    </x:fill>
    <x:fill>
      <x:patternFill patternType="solid">
        <x:fgColor rgb="FFFDEBEC"/>
      </x:patternFill>
    </x:fill>
    <x:fill>
      <x:patternFill patternType="solid">
        <x:fgColor rgb="FF071A52"/>
      </x:patternFill>
    </x:fill>
    <x:fill>
      <x:patternFill patternType="solid">
        <x:fgColor rgb="FFEAF1FF"/>
      </x:patternFill>
    </x:fill>
    <x:fill>
      <x:patternFill patternType="solid">
        <x:fgColor rgb="FFF4006D"/>
      </x:patternFill>
    </x:fill>
    <x:fill>
      <x:patternFill patternType="solid">
        <x:fgColor rgb="FF163D8C"/>
      </x:patternFill>
    </x:fill>
    <x:fill>
      <x:patternFill patternType="solid">
        <x:fgColor rgb="FFFFF0F6"/>
      </x:patternFill>
    </x:fill>
    <x:fill>
      <x:patternFill patternType="solid">
        <x:fgColor rgb="FFF4F7FC"/>
      </x:patternFill>
    </x:fill>
    <x:fill>
      <x:patternFill patternType="solid">
        <x:fgColor rgb="FFFFF5D9"/>
      </x:patternFill>
    </x:fill>
    <x:fill>
      <x:patternFill patternType="solid">
        <x:fgColor rgb="FF071A52"/>
      </x:patternFill>
    </x:fill>
    <x:fill>
      <x:patternFill patternType="solid">
        <x:fgColor rgb="FF163D8C"/>
      </x:patternFill>
    </x:fill>
    <x:fill>
      <x:patternFill patternType="solid">
        <x:fgColor rgb="FFEAF1FF"/>
      </x:patternFill>
    </x:fill>
    <x:fill>
      <x:patternFill patternType="solid">
        <x:fgColor rgb="FFFFFFFF"/>
      </x:patternFill>
    </x:fill>
    <x:fill>
      <x:patternFill patternType="solid">
        <x:fgColor rgb="FF071A52"/>
      </x:patternFill>
    </x:fill>
    <x:fill>
      <x:patternFill patternType="solid">
        <x:fgColor rgb="FFEAF1FF"/>
      </x:patternFill>
    </x:fill>
    <x:fill>
      <x:patternFill patternType="solid">
        <x:fgColor rgb="FFF4006D"/>
      </x:patternFill>
    </x:fill>
    <x:fill>
      <x:patternFill patternType="solid">
        <x:fgColor rgb="FFF5F7FC"/>
      </x:patternFill>
    </x:fill>
    <x:fill>
      <x:patternFill patternType="solid">
        <x:fgColor rgb="FF163D8C"/>
      </x:patternFill>
    </x:fill>
    <x:fill>
      <x:patternFill patternType="solid">
        <x:fgColor rgb="FF6C3BE8"/>
      </x:patternFill>
    </x:fill>
    <x:fill>
      <x:patternFill patternType="solid">
        <x:fgColor rgb="FF23A8E0"/>
      </x:patternFill>
    </x:fill>
    <x:fill>
      <x:patternFill patternType="solid">
        <x:fgColor rgb="FF157A5A"/>
      </x:patternFill>
    </x:fill>
    <x:fill>
      <x:patternFill patternType="solid">
        <x:fgColor rgb="FFFFF0F6"/>
      </x:patternFill>
    </x:fill>
    <x:fill>
      <x:patternFill patternType="solid">
        <x:fgColor rgb="FFE9F8F3"/>
      </x:patternFill>
    </x:fill>
    <x:fill>
      <x:patternFill patternType="solid">
        <x:fgColor rgb="FFFFFFFF"/>
      </x:patternFill>
    </x:fill>
    <x:fill>
      <x:patternFill patternType="solid">
        <x:fgColor rgb="FFA65D00"/>
      </x:patternFill>
    </x:fill>
    <x:fill>
      <x:patternFill patternType="solid">
        <x:fgColor rgb="FFFFF5D9"/>
      </x:patternFill>
    </x:fill>
    <x:fill>
      <x:patternFill patternType="solid">
        <x:fgColor rgb="FF071A52"/>
      </x:patternFill>
    </x:fill>
    <x:fill>
      <x:patternFill patternType="solid">
        <x:fgColor rgb="FFEAF1FF"/>
      </x:patternFill>
    </x:fill>
    <x:fill>
      <x:patternFill patternType="solid">
        <x:fgColor rgb="FFF4006D"/>
      </x:patternFill>
    </x:fill>
    <x:fill>
      <x:patternFill patternType="solid">
        <x:fgColor rgb="FFF5F7FC"/>
      </x:patternFill>
    </x:fill>
    <x:fill>
      <x:patternFill patternType="solid">
        <x:fgColor rgb="FF163D8C"/>
      </x:patternFill>
    </x:fill>
    <x:fill>
      <x:patternFill patternType="solid">
        <x:fgColor rgb="FF6C3BE8"/>
      </x:patternFill>
    </x:fill>
    <x:fill>
      <x:patternFill patternType="solid">
        <x:fgColor rgb="FF23A8E0"/>
      </x:patternFill>
    </x:fill>
    <x:fill>
      <x:patternFill patternType="solid">
        <x:fgColor rgb="FF157A5A"/>
      </x:patternFill>
    </x:fill>
    <x:fill>
      <x:patternFill patternType="solid">
        <x:fgColor rgb="FFFFF0F6"/>
      </x:patternFill>
    </x:fill>
    <x:fill>
      <x:patternFill patternType="solid">
        <x:fgColor rgb="FFE9F8F3"/>
      </x:patternFill>
    </x:fill>
    <x:fill>
      <x:patternFill patternType="solid">
        <x:fgColor rgb="FFFFFFFF"/>
      </x:patternFill>
    </x:fill>
    <x:fill>
      <x:patternFill patternType="solid">
        <x:fgColor rgb="FFA65D00"/>
      </x:patternFill>
    </x:fill>
    <x:fill>
      <x:patternFill patternType="solid">
        <x:fgColor rgb="FFFFF5D9"/>
      </x:patternFill>
    </x:fill>
  </x:fills>
  <x:borders count="20">
    <x:border/>
    <x:border>
      <x:left style="thin">
        <x:color rgb="FFD6DCE8"/>
      </x:left>
      <x:top style="thin">
        <x:color rgb="FFD6DCE8"/>
      </x:top>
      <x:bottom style="thin">
        <x:color rgb="FFD6DCE8"/>
      </x:bottom>
    </x:border>
    <x:border>
      <x:top style="thin">
        <x:color rgb="FFD6DCE8"/>
      </x:top>
      <x:bottom style="thin">
        <x:color rgb="FFD6DCE8"/>
      </x:bottom>
    </x:border>
    <x:border>
      <x:right style="thin">
        <x:color rgb="FFD6DCE8"/>
      </x:right>
      <x:top style="thin">
        <x:color rgb="FFD6DCE8"/>
      </x:top>
      <x:bottom style="thin">
        <x:color rgb="FFD6DCE8"/>
      </x:bottom>
    </x:border>
    <x:border>
      <x:left style="thin">
        <x:color rgb="FF24459A"/>
      </x:left>
      <x:right style="thin">
        <x:color rgb="FF24459A"/>
      </x:right>
      <x:top style="thin">
        <x:color rgb="FF24459A"/>
      </x:top>
      <x:bottom style="thin">
        <x:color rgb="FF24459A"/>
      </x:bottom>
    </x:border>
    <x:border>
      <x:bottom style="thin">
        <x:color rgb="FFD6DCE8"/>
      </x:bottom>
    </x:border>
    <x:border>
      <x:top style="thin">
        <x:color rgb="FFD6DCE8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7DEEC"/>
      </x:left>
      <x:right style="thin">
        <x:color rgb="FFD7DEEC"/>
      </x:right>
      <x:top style="thin">
        <x:color rgb="FFD7DEEC"/>
      </x:top>
      <x:bottom style="thin">
        <x:color rgb="FFD7DEEC"/>
      </x:bottom>
    </x:border>
    <x:border>
      <x:left style="thin">
        <x:color rgb="FFD7DEEC"/>
      </x:left>
      <x:top style="thin">
        <x:color rgb="FFD7DEEC"/>
      </x:top>
      <x:bottom style="thin">
        <x:color rgb="FFD7DEEC"/>
      </x:bottom>
    </x:border>
    <x:border>
      <x:top style="thin">
        <x:color rgb="FFD7DEEC"/>
      </x:top>
      <x:bottom style="thin">
        <x:color rgb="FFD7DEEC"/>
      </x:bottom>
    </x:border>
    <x:border>
      <x:right style="thin">
        <x:color rgb="FFD7DEEC"/>
      </x:right>
      <x:top style="thin">
        <x:color rgb="FFD7DEEC"/>
      </x:top>
      <x:bottom style="thin">
        <x:color rgb="FFD7DEEC"/>
      </x:bottom>
    </x:border>
    <x:border>
      <x:left style="thin">
        <x:color rgb="FFD7DEEC"/>
      </x:left>
      <x:top style="thin">
        <x:color rgb="FFD7DEEC"/>
      </x:top>
    </x:border>
    <x:border>
      <x:top style="thin">
        <x:color rgb="FFD7DEEC"/>
      </x:top>
    </x:border>
    <x:border>
      <x:right style="thin">
        <x:color rgb="FFD7DEEC"/>
      </x:right>
      <x:top style="thin">
        <x:color rgb="FFD7DEEC"/>
      </x:top>
    </x:border>
    <x:border>
      <x:left style="thin">
        <x:color rgb="FFD7DEEC"/>
      </x:left>
      <x:bottom style="thin">
        <x:color rgb="FFD7DEEC"/>
      </x:bottom>
    </x:border>
    <x:border>
      <x:bottom style="thin">
        <x:color rgb="FFD7DEEC"/>
      </x:bottom>
    </x:border>
    <x:border>
      <x:right style="thin">
        <x:color rgb="FFD7DEEC"/>
      </x:right>
      <x:bottom style="thin">
        <x:color rgb="FFD7DEEC"/>
      </x:bottom>
    </x:border>
    <x:border>
      <x:left style="thin">
        <x:color rgb="FFD7DEEC"/>
      </x:left>
    </x:border>
    <x:border>
      <x:right style="thin">
        <x:color rgb="FFD7DEEC"/>
      </x:right>
    </x:border>
  </x:borders>
  <x:cellStyleXfs count="1">
    <x:xf numFmtId="0" fontId="0" fillId="0" borderId="0"/>
  </x:cellStyleXfs>
  <x:cellXfs count="78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center" wrapText="1"/>
    </x:xf>
    <x:xf numFmtId="0" fontId="4" fillId="6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2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6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6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2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7" borderId="6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0" fontId="5" fillId="9" borderId="2" xfId="0" applyNumberFormat="1" applyFont="1" applyFill="1" applyBorder="1" applyAlignment="1">
      <x:alignment vertical="center" wrapText="1"/>
    </x:xf>
    <x:xf numFmtId="0" fontId="5" fillId="9" borderId="6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9" borderId="2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0" fontId="5" fillId="9" borderId="6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  <x:xf numFmtId="200" fontId="5" fillId="0" borderId="5" xfId="0" applyNumberFormat="1" applyFont="1" applyFill="1" applyBorder="1" applyAlignment="1">
      <x:alignment horizontal="left" vertical="center" wrapText="1"/>
    </x:xf>
    <x:xf numFmtId="0" fontId="5" fillId="9" borderId="2" xfId="0" applyNumberFormat="1" applyFont="1" applyFill="1" applyBorder="1" applyAlignment="1">
      <x:alignment horizontal="left" vertical="center" wrapText="1"/>
    </x:xf>
    <x:xf numFmtId="200" fontId="5" fillId="9" borderId="2" xfId="0" applyNumberFormat="1" applyFont="1" applyFill="1" applyBorder="1" applyAlignment="1">
      <x:alignment horizontal="left" vertical="center" wrapText="1"/>
    </x:xf>
    <x:xf numFmtId="0" fontId="5" fillId="0" borderId="2" xfId="0" applyNumberFormat="1" applyFont="1" applyFill="1" applyBorder="1" applyAlignment="1">
      <x:alignment horizontal="left" vertical="center" wrapText="1"/>
    </x:xf>
    <x:xf numFmtId="200" fontId="5" fillId="0" borderId="2" xfId="0" applyNumberFormat="1" applyFont="1" applyFill="1" applyBorder="1" applyAlignment="1">
      <x:alignment horizontal="left" vertical="center" wrapText="1"/>
    </x:xf>
    <x:xf numFmtId="0" fontId="5" fillId="9" borderId="6" xfId="0" applyNumberFormat="1" applyFont="1" applyFill="1" applyBorder="1" applyAlignment="1">
      <x:alignment horizontal="left" vertical="center" wrapText="1"/>
    </x:xf>
    <x:xf numFmtId="200" fontId="5" fillId="9" borderId="6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200" fontId="5" fillId="9" borderId="2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200" fontId="5" fillId="0" borderId="2" xfId="0" applyNumberFormat="1" applyFont="1" applyFill="1" applyBorder="1" applyAlignment="1">
      <x:alignment horizontal="center"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200" fontId="5" fillId="9" borderId="6" xfId="0" applyNumberFormat="1" applyFont="1" applyFill="1" applyBorder="1" applyAlignment="1">
      <x:alignment horizontal="center" vertical="center" wrapText="1"/>
    </x:xf>
    <x:xf numFmtId="200" fontId="5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horizontal="left" vertical="center" wrapText="1"/>
    </x:xf>
    <x:xf numFmtId="200" fontId="5" fillId="0" borderId="6" xfId="0" applyNumberFormat="1" applyFont="1" applyFill="1" applyBorder="1" applyAlignment="1">
      <x:alignment horizontal="left" vertical="center" wrapText="1"/>
    </x:xf>
    <x:xf numFmtId="200" fontId="5" fillId="0" borderId="6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201" fontId="5" fillId="0" borderId="5" xfId="0" applyNumberFormat="1" applyFont="1" applyFill="1" applyBorder="1" applyAlignment="1">
      <x:alignment vertical="center" wrapText="1"/>
    </x:xf>
    <x:xf numFmtId="201" fontId="5" fillId="9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  <x:xf numFmtId="201" fontId="5" fillId="9" borderId="6" xfId="0" applyNumberFormat="1" applyFont="1" applyFill="1" applyBorder="1" applyAlignment="1">
      <x:alignment vertical="center" wrapText="1"/>
    </x:xf>
    <x:xf numFmtId="0" fontId="5" fillId="10" borderId="2" xfId="0" applyNumberFormat="1" applyFont="1" applyFill="1" applyBorder="1" applyAlignment="1">
      <x:alignment vertical="center" wrapText="1"/>
    </x:xf>
    <x:xf numFmtId="0" fontId="8" fillId="10" borderId="2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/>
    <x:xf numFmtId="0" fontId="4" fillId="11" borderId="7" xfId="0" applyNumberFormat="1" applyFont="1" applyFill="1" applyBorder="1"/>
    <x:xf numFmtId="0" fontId="4" fillId="11" borderId="7" xfId="0" applyNumberFormat="1" applyFont="1" applyFill="1" applyBorder="1" applyAlignment="1">
      <x:alignment horizontal="center"/>
    </x:xf>
    <x:xf numFmtId="0" fontId="4" fillId="11" borderId="7" xfId="0" applyNumberFormat="1" applyFont="1" applyFill="1" applyBorder="1" applyAlignment="1">
      <x:alignment horizontal="center" vertical="center"/>
    </x:xf>
    <x:xf numFmtId="0" fontId="4" fillId="13" borderId="7" xfId="0" applyNumberFormat="1" applyFont="1" applyFill="1" applyBorder="1" applyAlignment="1">
      <x:alignment horizontal="center" vertical="center"/>
    </x:xf>
    <x:xf numFmtId="0" fontId="11" fillId="13" borderId="7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center"/>
    </x:xf>
    <x:xf numFmtId="0" fontId="13" fillId="0" borderId="0" xfId="0" applyNumberFormat="1" applyFont="1" applyFill="1" applyBorder="1"/>
    <x:xf numFmtId="0" fontId="13" fillId="0" borderId="8" xfId="0" applyNumberFormat="1" applyFont="1" applyFill="1" applyBorder="1"/>
    <x:xf numFmtId="0" fontId="13" fillId="0" borderId="8" xfId="0" applyNumberFormat="1" applyFont="1" applyFill="1" applyBorder="1" applyAlignment="1">
      <x:alignment wrapText="1"/>
    </x:xf>
    <x:xf numFmtId="0" fontId="13" fillId="0" borderId="8" xfId="0" applyNumberFormat="1" applyFont="1" applyFill="1" applyBorder="1" applyAlignment="1">
      <x:alignment vertical="center" wrapText="1"/>
    </x:xf>
    <x:xf numFmtId="0" fontId="13" fillId="12" borderId="8" xfId="0" applyNumberFormat="1" applyFont="1" applyFill="1" applyBorder="1" applyAlignment="1">
      <x:alignment vertical="center" wrapText="1"/>
    </x:xf>
    <x:xf numFmtId="0" fontId="14" fillId="12" borderId="8" xfId="0" applyNumberFormat="1" applyFont="1" applyFill="1" applyBorder="1" applyAlignment="1">
      <x:alignment vertical="center" wrapText="1"/>
    </x:xf>
    <x:xf numFmtId="0" fontId="13" fillId="15" borderId="8" xfId="0" applyNumberFormat="1" applyFont="1" applyFill="1" applyBorder="1" applyAlignment="1">
      <x:alignment vertical="center" wrapText="1"/>
    </x:xf>
    <x:xf numFmtId="0" fontId="15" fillId="15" borderId="8" xfId="0" applyNumberFormat="1" applyFont="1" applyFill="1" applyBorder="1" applyAlignment="1">
      <x:alignment vertical="center" wrapText="1"/>
    </x:xf>
    <x:xf numFmtId="0" fontId="15" fillId="15" borderId="8" xfId="0" applyNumberFormat="1" applyFont="1" applyFill="1" applyBorder="1" applyAlignment="1">
      <x:alignment horizontal="center" vertical="center" wrapText="1"/>
    </x:xf>
    <x:xf numFmtId="0" fontId="16" fillId="12" borderId="0" xfId="0" applyNumberFormat="1" applyFont="1" applyFill="1" applyBorder="1"/>
    <x:xf numFmtId="0" fontId="16" fillId="12" borderId="0" xfId="0" applyNumberFormat="1" applyFont="1" applyFill="1" applyBorder="1" applyAlignment="1">
      <x:alignment horizontal="center"/>
    </x:xf>
    <x:xf numFmtId="0" fontId="17" fillId="14" borderId="0" xfId="0" applyNumberFormat="1" applyFont="1" applyFill="1" applyBorder="1"/>
    <x:xf numFmtId="0" fontId="17" fillId="14" borderId="8" xfId="0" applyNumberFormat="1" applyFont="1" applyFill="1" applyBorder="1"/>
    <x:xf numFmtId="0" fontId="17" fillId="14" borderId="8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18" fillId="16" borderId="0" xfId="0" applyNumberFormat="1" applyFont="1" applyFill="1" applyBorder="1"/>
    <x:xf numFmtId="0" fontId="18" fillId="16" borderId="8" xfId="0" applyNumberFormat="1" applyFont="1" applyFill="1" applyBorder="1"/>
    <x:xf numFmtId="0" fontId="18" fillId="16" borderId="8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vertical="center" wrapText="1"/>
    </x:xf>
    <x:xf numFmtId="0" fontId="16" fillId="12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/>
    <x:xf numFmtId="0" fontId="17" fillId="11" borderId="7" xfId="0" applyNumberFormat="1" applyFont="1" applyFill="1" applyBorder="1"/>
    <x:xf numFmtId="0" fontId="17" fillId="11" borderId="7" xfId="0" applyNumberFormat="1" applyFont="1" applyFill="1" applyBorder="1" applyAlignment="1">
      <x:alignment horizontal="center"/>
    </x:xf>
    <x:xf numFmtId="0" fontId="17" fillId="13" borderId="7" xfId="0" applyNumberFormat="1" applyFont="1" applyFill="1" applyBorder="1" applyAlignment="1">
      <x:alignment horizontal="center"/>
    </x:xf>
    <x:xf numFmtId="0" fontId="12" fillId="13" borderId="7" xfId="0" applyNumberFormat="1" applyFont="1" applyFill="1" applyBorder="1" applyAlignment="1">
      <x:alignment horizontal="center"/>
    </x:xf>
    <x:xf numFmtId="0" fontId="4" fillId="14" borderId="0" xfId="0" applyNumberFormat="1" applyFont="1" applyFill="1" applyBorder="1"/>
    <x:xf numFmtId="0" fontId="4" fillId="14" borderId="8" xfId="0" applyNumberFormat="1" applyFont="1" applyFill="1" applyBorder="1"/>
    <x:xf numFmtId="0" fontId="4" fillId="14" borderId="8" xfId="0" applyNumberFormat="1" applyFont="1" applyFill="1" applyBorder="1" applyAlignment="1">
      <x:alignment wrapText="1"/>
    </x:xf>
    <x:xf numFmtId="0" fontId="4" fillId="14" borderId="8" xfId="0" applyNumberFormat="1" applyFont="1" applyFill="1" applyBorder="1" applyAlignment="1">
      <x:alignment horizontal="center" wrapText="1"/>
    </x:xf>
    <x:xf numFmtId="0" fontId="4" fillId="14" borderId="8" xfId="0" applyNumberFormat="1" applyFont="1" applyFill="1" applyBorder="1" applyAlignment="1">
      <x:alignment horizontal="center" vertical="center" wrapText="1"/>
    </x:xf>
    <x:xf numFmtId="0" fontId="13" fillId="0" borderId="8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vertical="center"/>
    </x:xf>
    <x:xf numFmtId="0" fontId="20" fillId="12" borderId="0" xfId="0" applyNumberFormat="1" applyFont="1" applyFill="1" applyBorder="1" applyAlignment="1">
      <x:alignment vertical="center"/>
    </x:xf>
    <x:xf numFmtId="0" fontId="20" fillId="12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/>
    </x:xf>
    <x:xf numFmtId="0" fontId="21" fillId="0" borderId="8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wrapText="1"/>
    </x:xf>
    <x:xf numFmtId="0" fontId="22" fillId="15" borderId="0" xfId="0" applyNumberFormat="1" applyFont="1" applyFill="1" applyBorder="1" applyAlignment="1">
      <x:alignment vertical="center" wrapText="1"/>
    </x:xf>
    <x:xf numFmtId="201" fontId="13" fillId="0" borderId="8" xfId="0" applyNumberFormat="1" applyFont="1" applyFill="1" applyBorder="1" applyAlignment="1">
      <x:alignment vertical="center" wrapText="1"/>
    </x:xf>
    <x:xf numFmtId="0" fontId="14" fillId="0" borderId="8" xfId="0" applyNumberFormat="1" applyFont="1" applyFill="1" applyBorder="1" applyAlignment="1">
      <x:alignment vertical="center" wrapText="1"/>
    </x:xf>
    <x:xf numFmtId="0" fontId="14" fillId="0" borderId="5" xfId="0" applyNumberFormat="1" applyFont="1" applyFill="1" applyBorder="1" applyAlignment="1">
      <x:alignment horizontal="left" vertical="center" wrapText="1"/>
    </x:xf>
    <x:xf numFmtId="0" fontId="14" fillId="9" borderId="2" xfId="0" applyNumberFormat="1" applyFont="1" applyFill="1" applyBorder="1" applyAlignment="1">
      <x:alignment horizontal="left" vertical="center" wrapText="1"/>
    </x:xf>
    <x:xf numFmtId="0" fontId="14" fillId="0" borderId="2" xfId="0" applyNumberFormat="1" applyFont="1" applyFill="1" applyBorder="1" applyAlignment="1">
      <x:alignment horizontal="left" vertical="center" wrapText="1"/>
    </x:xf>
    <x:xf numFmtId="0" fontId="14" fillId="0" borderId="6" xfId="0" applyNumberFormat="1" applyFont="1" applyFill="1" applyBorder="1" applyAlignment="1">
      <x:alignment horizontal="left" vertical="center" wrapText="1"/>
    </x:xf>
    <x:xf numFmtId="0" fontId="23" fillId="0" borderId="5" xfId="0" applyNumberFormat="1" applyFont="1" applyFill="1" applyBorder="1" applyAlignment="1">
      <x:alignment vertical="center" wrapText="1"/>
    </x:xf>
    <x:xf numFmtId="0" fontId="23" fillId="9" borderId="2" xfId="0" applyNumberFormat="1" applyFont="1" applyFill="1" applyBorder="1" applyAlignment="1">
      <x:alignment vertical="center" wrapText="1"/>
    </x:xf>
    <x:xf numFmtId="0" fontId="23" fillId="0" borderId="2" xfId="0" applyNumberFormat="1" applyFont="1" applyFill="1" applyBorder="1" applyAlignment="1">
      <x:alignment vertical="center" wrapText="1"/>
    </x:xf>
    <x:xf numFmtId="0" fontId="23" fillId="0" borderId="6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24" fillId="18" borderId="0" xfId="0" applyNumberFormat="1" applyFont="1" applyFill="1" applyBorder="1"/>
    <x:xf numFmtId="0" fontId="24" fillId="18" borderId="0" xfId="0" applyNumberFormat="1" applyFont="1" applyFill="1" applyBorder="1" applyAlignment="1">
      <x:alignment horizontal="center"/>
    </x:xf>
    <x:xf numFmtId="0" fontId="24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4" fillId="19" borderId="0" xfId="0" applyNumberFormat="1" applyFont="1" applyFill="1" applyBorder="1"/>
    <x:xf numFmtId="0" fontId="4" fillId="19" borderId="8" xfId="0" applyNumberFormat="1" applyFont="1" applyFill="1" applyBorder="1"/>
    <x:xf numFmtId="0" fontId="4" fillId="19" borderId="8" xfId="0" applyNumberFormat="1" applyFont="1" applyFill="1" applyBorder="1" applyAlignment="1">
      <x:alignment horizontal="center"/>
    </x:xf>
    <x:xf numFmtId="0" fontId="4" fillId="19" borderId="8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13" fillId="20" borderId="0" xfId="0" applyNumberFormat="1" applyFont="1" applyFill="1" applyBorder="1"/>
    <x:xf numFmtId="0" fontId="13" fillId="20" borderId="8" xfId="0" applyNumberFormat="1" applyFont="1" applyFill="1" applyBorder="1"/>
    <x:xf numFmtId="0" fontId="13" fillId="20" borderId="8" xfId="0" applyNumberFormat="1" applyFont="1" applyFill="1" applyBorder="1" applyAlignment="1">
      <x:alignment wrapText="1"/>
    </x:xf>
    <x:xf numFmtId="0" fontId="13" fillId="20" borderId="8" xfId="0" applyNumberFormat="1" applyFont="1" applyFill="1" applyBorder="1" applyAlignment="1">
      <x:alignment vertical="center" wrapText="1"/>
    </x:xf>
    <x:xf numFmtId="0" fontId="14" fillId="20" borderId="8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3" fillId="21" borderId="0" xfId="0" applyNumberFormat="1" applyFont="1" applyFill="1" applyBorder="1"/>
    <x:xf numFmtId="0" fontId="13" fillId="21" borderId="8" xfId="0" applyNumberFormat="1" applyFont="1" applyFill="1" applyBorder="1"/>
    <x:xf numFmtId="0" fontId="13" fillId="21" borderId="8" xfId="0" applyNumberFormat="1" applyFont="1" applyFill="1" applyBorder="1" applyAlignment="1">
      <x:alignment wrapText="1"/>
    </x:xf>
    <x:xf numFmtId="0" fontId="13" fillId="21" borderId="8" xfId="0" applyNumberFormat="1" applyFont="1" applyFill="1" applyBorder="1" applyAlignment="1">
      <x:alignment vertical="center" wrapText="1"/>
    </x:xf>
    <x:xf numFmtId="0" fontId="14" fillId="21" borderId="8" xfId="0" applyNumberFormat="1" applyFont="1" applyFill="1" applyBorder="1" applyAlignment="1">
      <x:alignment vertical="center" wrapText="1"/>
    </x:xf>
    <x:xf numFmtId="202" fontId="13" fillId="0" borderId="8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/>
    <x:xf numFmtId="0" fontId="25" fillId="22" borderId="0" xfId="0" applyNumberFormat="1" applyFont="1" applyFill="1" applyBorder="1"/>
    <x:xf numFmtId="0" fontId="26" fillId="22" borderId="0" xfId="0" applyNumberFormat="1" applyFont="1" applyFill="1" applyBorder="1"/>
    <x:xf numFmtId="0" fontId="26" fillId="22" borderId="0" xfId="0" applyNumberFormat="1" applyFont="1" applyFill="1" applyBorder="1" applyAlignment="1">
      <x:alignment vertical="center"/>
    </x:xf>
    <x:xf numFmtId="0" fontId="25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0" fillId="23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0" borderId="0" xfId="0" applyNumberFormat="1" applyFont="1" applyFill="1" applyBorder="1" applyAlignment="1">
      <x:alignment horizontal="center"/>
    </x:xf>
    <x:xf numFmtId="0" fontId="27" fillId="0" borderId="0" xfId="0" applyNumberFormat="1" applyFont="1" applyFill="1" applyBorder="1" applyAlignment="1">
      <x:alignment horizontal="center" vertical="center"/>
    </x:xf>
    <x:xf numFmtId="0" fontId="4" fillId="22" borderId="0" xfId="0" applyNumberFormat="1" applyFont="1" applyFill="1" applyBorder="1"/>
    <x:xf numFmtId="0" fontId="4" fillId="22" borderId="9" xfId="0" applyNumberFormat="1" applyFont="1" applyFill="1" applyBorder="1"/>
    <x:xf numFmtId="0" fontId="4" fillId="22" borderId="10" xfId="0" applyNumberFormat="1" applyFont="1" applyFill="1" applyBorder="1"/>
    <x:xf numFmtId="0" fontId="4" fillId="22" borderId="11" xfId="0" applyNumberFormat="1" applyFont="1" applyFill="1" applyBorder="1"/>
    <x:xf numFmtId="0" fontId="4" fillId="22" borderId="9" xfId="0" applyNumberFormat="1" applyFont="1" applyFill="1" applyBorder="1" applyAlignment="1">
      <x:alignment horizontal="center"/>
    </x:xf>
    <x:xf numFmtId="0" fontId="4" fillId="22" borderId="10" xfId="0" applyNumberFormat="1" applyFont="1" applyFill="1" applyBorder="1" applyAlignment="1">
      <x:alignment horizontal="center"/>
    </x:xf>
    <x:xf numFmtId="0" fontId="4" fillId="22" borderId="11" xfId="0" applyNumberFormat="1" applyFont="1" applyFill="1" applyBorder="1" applyAlignment="1">
      <x:alignment horizontal="center"/>
    </x:xf>
    <x:xf numFmtId="0" fontId="4" fillId="22" borderId="9" xfId="0" applyNumberFormat="1" applyFont="1" applyFill="1" applyBorder="1" applyAlignment="1">
      <x:alignment horizontal="center" vertical="center"/>
    </x:xf>
    <x:xf numFmtId="0" fontId="4" fillId="22" borderId="10" xfId="0" applyNumberFormat="1" applyFont="1" applyFill="1" applyBorder="1" applyAlignment="1">
      <x:alignment horizontal="center" vertical="center"/>
    </x:xf>
    <x:xf numFmtId="0" fontId="4" fillId="22" borderId="11" xfId="0" applyNumberFormat="1" applyFont="1" applyFill="1" applyBorder="1" applyAlignment="1">
      <x:alignment horizontal="center" vertical="center"/>
    </x:xf>
    <x:xf numFmtId="0" fontId="25" fillId="24" borderId="0" xfId="0" applyNumberFormat="1" applyFont="1" applyFill="1" applyBorder="1"/>
    <x:xf numFmtId="0" fontId="26" fillId="24" borderId="0" xfId="0" applyNumberFormat="1" applyFont="1" applyFill="1" applyBorder="1"/>
    <x:xf numFmtId="0" fontId="26" fillId="24" borderId="12" xfId="0" applyNumberFormat="1" applyFont="1" applyFill="1" applyBorder="1"/>
    <x:xf numFmtId="0" fontId="26" fillId="24" borderId="13" xfId="0" applyNumberFormat="1" applyFont="1" applyFill="1" applyBorder="1"/>
    <x:xf numFmtId="0" fontId="26" fillId="24" borderId="14" xfId="0" applyNumberFormat="1" applyFont="1" applyFill="1" applyBorder="1"/>
    <x:xf numFmtId="0" fontId="26" fillId="24" borderId="15" xfId="0" applyNumberFormat="1" applyFont="1" applyFill="1" applyBorder="1"/>
    <x:xf numFmtId="0" fontId="26" fillId="24" borderId="16" xfId="0" applyNumberFormat="1" applyFont="1" applyFill="1" applyBorder="1"/>
    <x:xf numFmtId="0" fontId="26" fillId="24" borderId="17" xfId="0" applyNumberFormat="1" applyFont="1" applyFill="1" applyBorder="1"/>
    <x:xf numFmtId="203" fontId="26" fillId="24" borderId="12" xfId="0" applyNumberFormat="1" applyFont="1" applyFill="1" applyBorder="1"/>
    <x:xf numFmtId="203" fontId="26" fillId="24" borderId="13" xfId="0" applyNumberFormat="1" applyFont="1" applyFill="1" applyBorder="1"/>
    <x:xf numFmtId="203" fontId="26" fillId="24" borderId="14" xfId="0" applyNumberFormat="1" applyFont="1" applyFill="1" applyBorder="1"/>
    <x:xf numFmtId="203" fontId="26" fillId="24" borderId="15" xfId="0" applyNumberFormat="1" applyFont="1" applyFill="1" applyBorder="1"/>
    <x:xf numFmtId="203" fontId="26" fillId="24" borderId="16" xfId="0" applyNumberFormat="1" applyFont="1" applyFill="1" applyBorder="1"/>
    <x:xf numFmtId="203" fontId="26" fillId="24" borderId="17" xfId="0" applyNumberFormat="1" applyFont="1" applyFill="1" applyBorder="1"/>
    <x:xf numFmtId="203" fontId="26" fillId="24" borderId="12" xfId="0" applyNumberFormat="1" applyFont="1" applyFill="1" applyBorder="1" applyAlignment="1">
      <x:alignment horizontal="center"/>
    </x:xf>
    <x:xf numFmtId="203" fontId="26" fillId="24" borderId="13" xfId="0" applyNumberFormat="1" applyFont="1" applyFill="1" applyBorder="1" applyAlignment="1">
      <x:alignment horizontal="center"/>
    </x:xf>
    <x:xf numFmtId="203" fontId="26" fillId="24" borderId="14" xfId="0" applyNumberFormat="1" applyFont="1" applyFill="1" applyBorder="1" applyAlignment="1">
      <x:alignment horizontal="center"/>
    </x:xf>
    <x:xf numFmtId="203" fontId="26" fillId="24" borderId="15" xfId="0" applyNumberFormat="1" applyFont="1" applyFill="1" applyBorder="1" applyAlignment="1">
      <x:alignment horizontal="center"/>
    </x:xf>
    <x:xf numFmtId="203" fontId="26" fillId="24" borderId="16" xfId="0" applyNumberFormat="1" applyFont="1" applyFill="1" applyBorder="1" applyAlignment="1">
      <x:alignment horizontal="center"/>
    </x:xf>
    <x:xf numFmtId="203" fontId="26" fillId="24" borderId="17" xfId="0" applyNumberFormat="1" applyFont="1" applyFill="1" applyBorder="1" applyAlignment="1">
      <x:alignment horizontal="center"/>
    </x:xf>
    <x:xf numFmtId="203" fontId="26" fillId="24" borderId="12" xfId="0" applyNumberFormat="1" applyFont="1" applyFill="1" applyBorder="1" applyAlignment="1">
      <x:alignment horizontal="center" vertical="center"/>
    </x:xf>
    <x:xf numFmtId="203" fontId="26" fillId="24" borderId="13" xfId="0" applyNumberFormat="1" applyFont="1" applyFill="1" applyBorder="1" applyAlignment="1">
      <x:alignment horizontal="center" vertical="center"/>
    </x:xf>
    <x:xf numFmtId="203" fontId="26" fillId="24" borderId="14" xfId="0" applyNumberFormat="1" applyFont="1" applyFill="1" applyBorder="1" applyAlignment="1">
      <x:alignment horizontal="center" vertical="center"/>
    </x:xf>
    <x:xf numFmtId="203" fontId="26" fillId="24" borderId="15" xfId="0" applyNumberFormat="1" applyFont="1" applyFill="1" applyBorder="1" applyAlignment="1">
      <x:alignment horizontal="center" vertical="center"/>
    </x:xf>
    <x:xf numFmtId="203" fontId="26" fillId="24" borderId="16" xfId="0" applyNumberFormat="1" applyFont="1" applyFill="1" applyBorder="1" applyAlignment="1">
      <x:alignment horizontal="center" vertical="center"/>
    </x:xf>
    <x:xf numFmtId="203" fontId="26" fillId="24" borderId="17" xfId="0" applyNumberFormat="1" applyFont="1" applyFill="1" applyBorder="1" applyAlignment="1">
      <x:alignment horizontal="center" vertical="center"/>
    </x:xf>
    <x:xf numFmtId="0" fontId="25" fillId="25" borderId="0" xfId="0" applyNumberFormat="1" applyFont="1" applyFill="1" applyBorder="1"/>
    <x:xf numFmtId="0" fontId="28" fillId="25" borderId="0" xfId="0" applyNumberFormat="1" applyFont="1" applyFill="1" applyBorder="1"/>
    <x:xf numFmtId="0" fontId="28" fillId="25" borderId="9" xfId="0" applyNumberFormat="1" applyFont="1" applyFill="1" applyBorder="1"/>
    <x:xf numFmtId="0" fontId="28" fillId="25" borderId="10" xfId="0" applyNumberFormat="1" applyFont="1" applyFill="1" applyBorder="1"/>
    <x:xf numFmtId="0" fontId="28" fillId="25" borderId="11" xfId="0" applyNumberFormat="1" applyFont="1" applyFill="1" applyBorder="1"/>
    <x:xf numFmtId="0" fontId="28" fillId="25" borderId="9" xfId="0" applyNumberFormat="1" applyFont="1" applyFill="1" applyBorder="1" applyAlignment="1">
      <x:alignment wrapText="1"/>
    </x:xf>
    <x:xf numFmtId="0" fontId="28" fillId="25" borderId="10" xfId="0" applyNumberFormat="1" applyFont="1" applyFill="1" applyBorder="1" applyAlignment="1">
      <x:alignment wrapText="1"/>
    </x:xf>
    <x:xf numFmtId="0" fontId="28" fillId="25" borderId="11" xfId="0" applyNumberFormat="1" applyFont="1" applyFill="1" applyBorder="1" applyAlignment="1">
      <x:alignment wrapText="1"/>
    </x:xf>
    <x:xf numFmtId="0" fontId="28" fillId="25" borderId="9" xfId="0" applyNumberFormat="1" applyFont="1" applyFill="1" applyBorder="1" applyAlignment="1">
      <x:alignment horizontal="center" wrapText="1"/>
    </x:xf>
    <x:xf numFmtId="0" fontId="28" fillId="25" borderId="10" xfId="0" applyNumberFormat="1" applyFont="1" applyFill="1" applyBorder="1" applyAlignment="1">
      <x:alignment horizontal="center" wrapText="1"/>
    </x:xf>
    <x:xf numFmtId="0" fontId="28" fillId="25" borderId="11" xfId="0" applyNumberFormat="1" applyFont="1" applyFill="1" applyBorder="1" applyAlignment="1">
      <x:alignment horizontal="center" wrapText="1"/>
    </x:xf>
    <x:xf numFmtId="0" fontId="28" fillId="25" borderId="9" xfId="0" applyNumberFormat="1" applyFont="1" applyFill="1" applyBorder="1" applyAlignment="1">
      <x:alignment horizontal="center" vertical="center" wrapText="1"/>
    </x:xf>
    <x:xf numFmtId="0" fontId="28" fillId="25" borderId="10" xfId="0" applyNumberFormat="1" applyFont="1" applyFill="1" applyBorder="1" applyAlignment="1">
      <x:alignment horizontal="center" vertical="center" wrapText="1"/>
    </x:xf>
    <x:xf numFmtId="0" fontId="28" fillId="25" borderId="11" xfId="0" applyNumberFormat="1" applyFont="1" applyFill="1" applyBorder="1" applyAlignment="1">
      <x:alignment horizontal="center" vertical="center" wrapText="1"/>
    </x:xf>
    <x:xf numFmtId="0" fontId="25" fillId="26" borderId="0" xfId="0" applyNumberFormat="1" applyFont="1" applyFill="1" applyBorder="1"/>
    <x:xf numFmtId="0" fontId="26" fillId="26" borderId="0" xfId="0" applyNumberFormat="1" applyFont="1" applyFill="1" applyBorder="1"/>
    <x:xf numFmtId="0" fontId="26" fillId="26" borderId="12" xfId="0" applyNumberFormat="1" applyFont="1" applyFill="1" applyBorder="1"/>
    <x:xf numFmtId="0" fontId="26" fillId="26" borderId="13" xfId="0" applyNumberFormat="1" applyFont="1" applyFill="1" applyBorder="1"/>
    <x:xf numFmtId="0" fontId="26" fillId="26" borderId="14" xfId="0" applyNumberFormat="1" applyFont="1" applyFill="1" applyBorder="1"/>
    <x:xf numFmtId="0" fontId="26" fillId="26" borderId="15" xfId="0" applyNumberFormat="1" applyFont="1" applyFill="1" applyBorder="1"/>
    <x:xf numFmtId="0" fontId="26" fillId="26" borderId="16" xfId="0" applyNumberFormat="1" applyFont="1" applyFill="1" applyBorder="1"/>
    <x:xf numFmtId="0" fontId="26" fillId="26" borderId="17" xfId="0" applyNumberFormat="1" applyFont="1" applyFill="1" applyBorder="1"/>
    <x:xf numFmtId="203" fontId="26" fillId="26" borderId="12" xfId="0" applyNumberFormat="1" applyFont="1" applyFill="1" applyBorder="1"/>
    <x:xf numFmtId="203" fontId="26" fillId="26" borderId="13" xfId="0" applyNumberFormat="1" applyFont="1" applyFill="1" applyBorder="1"/>
    <x:xf numFmtId="203" fontId="26" fillId="26" borderId="14" xfId="0" applyNumberFormat="1" applyFont="1" applyFill="1" applyBorder="1"/>
    <x:xf numFmtId="203" fontId="26" fillId="26" borderId="15" xfId="0" applyNumberFormat="1" applyFont="1" applyFill="1" applyBorder="1"/>
    <x:xf numFmtId="203" fontId="26" fillId="26" borderId="16" xfId="0" applyNumberFormat="1" applyFont="1" applyFill="1" applyBorder="1"/>
    <x:xf numFmtId="203" fontId="26" fillId="26" borderId="17" xfId="0" applyNumberFormat="1" applyFont="1" applyFill="1" applyBorder="1"/>
    <x:xf numFmtId="203" fontId="26" fillId="26" borderId="12" xfId="0" applyNumberFormat="1" applyFont="1" applyFill="1" applyBorder="1" applyAlignment="1">
      <x:alignment horizontal="center"/>
    </x:xf>
    <x:xf numFmtId="203" fontId="26" fillId="26" borderId="13" xfId="0" applyNumberFormat="1" applyFont="1" applyFill="1" applyBorder="1" applyAlignment="1">
      <x:alignment horizontal="center"/>
    </x:xf>
    <x:xf numFmtId="203" fontId="26" fillId="26" borderId="14" xfId="0" applyNumberFormat="1" applyFont="1" applyFill="1" applyBorder="1" applyAlignment="1">
      <x:alignment horizontal="center"/>
    </x:xf>
    <x:xf numFmtId="203" fontId="26" fillId="26" borderId="15" xfId="0" applyNumberFormat="1" applyFont="1" applyFill="1" applyBorder="1" applyAlignment="1">
      <x:alignment horizontal="center"/>
    </x:xf>
    <x:xf numFmtId="203" fontId="26" fillId="26" borderId="16" xfId="0" applyNumberFormat="1" applyFont="1" applyFill="1" applyBorder="1" applyAlignment="1">
      <x:alignment horizontal="center"/>
    </x:xf>
    <x:xf numFmtId="203" fontId="26" fillId="26" borderId="17" xfId="0" applyNumberFormat="1" applyFont="1" applyFill="1" applyBorder="1" applyAlignment="1">
      <x:alignment horizontal="center"/>
    </x:xf>
    <x:xf numFmtId="203" fontId="26" fillId="26" borderId="12" xfId="0" applyNumberFormat="1" applyFont="1" applyFill="1" applyBorder="1" applyAlignment="1">
      <x:alignment horizontal="center" vertical="center"/>
    </x:xf>
    <x:xf numFmtId="203" fontId="26" fillId="26" borderId="13" xfId="0" applyNumberFormat="1" applyFont="1" applyFill="1" applyBorder="1" applyAlignment="1">
      <x:alignment horizontal="center" vertical="center"/>
    </x:xf>
    <x:xf numFmtId="203" fontId="26" fillId="26" borderId="14" xfId="0" applyNumberFormat="1" applyFont="1" applyFill="1" applyBorder="1" applyAlignment="1">
      <x:alignment horizontal="center" vertical="center"/>
    </x:xf>
    <x:xf numFmtId="203" fontId="26" fillId="26" borderId="15" xfId="0" applyNumberFormat="1" applyFont="1" applyFill="1" applyBorder="1" applyAlignment="1">
      <x:alignment horizontal="center" vertical="center"/>
    </x:xf>
    <x:xf numFmtId="203" fontId="26" fillId="26" borderId="16" xfId="0" applyNumberFormat="1" applyFont="1" applyFill="1" applyBorder="1" applyAlignment="1">
      <x:alignment horizontal="center" vertical="center"/>
    </x:xf>
    <x:xf numFmtId="203" fontId="26" fillId="26" borderId="17" xfId="0" applyNumberFormat="1" applyFont="1" applyFill="1" applyBorder="1" applyAlignment="1">
      <x:alignment horizontal="center" vertical="center"/>
    </x:xf>
    <x:xf numFmtId="0" fontId="25" fillId="27" borderId="0" xfId="0" applyNumberFormat="1" applyFont="1" applyFill="1" applyBorder="1"/>
    <x:xf numFmtId="0" fontId="26" fillId="27" borderId="0" xfId="0" applyNumberFormat="1" applyFont="1" applyFill="1" applyBorder="1"/>
    <x:xf numFmtId="0" fontId="26" fillId="27" borderId="12" xfId="0" applyNumberFormat="1" applyFont="1" applyFill="1" applyBorder="1"/>
    <x:xf numFmtId="0" fontId="26" fillId="27" borderId="13" xfId="0" applyNumberFormat="1" applyFont="1" applyFill="1" applyBorder="1"/>
    <x:xf numFmtId="0" fontId="26" fillId="27" borderId="14" xfId="0" applyNumberFormat="1" applyFont="1" applyFill="1" applyBorder="1"/>
    <x:xf numFmtId="0" fontId="26" fillId="27" borderId="15" xfId="0" applyNumberFormat="1" applyFont="1" applyFill="1" applyBorder="1"/>
    <x:xf numFmtId="0" fontId="26" fillId="27" borderId="16" xfId="0" applyNumberFormat="1" applyFont="1" applyFill="1" applyBorder="1"/>
    <x:xf numFmtId="0" fontId="26" fillId="27" borderId="17" xfId="0" applyNumberFormat="1" applyFont="1" applyFill="1" applyBorder="1"/>
    <x:xf numFmtId="203" fontId="26" fillId="27" borderId="12" xfId="0" applyNumberFormat="1" applyFont="1" applyFill="1" applyBorder="1"/>
    <x:xf numFmtId="203" fontId="26" fillId="27" borderId="13" xfId="0" applyNumberFormat="1" applyFont="1" applyFill="1" applyBorder="1"/>
    <x:xf numFmtId="203" fontId="26" fillId="27" borderId="14" xfId="0" applyNumberFormat="1" applyFont="1" applyFill="1" applyBorder="1"/>
    <x:xf numFmtId="203" fontId="26" fillId="27" borderId="15" xfId="0" applyNumberFormat="1" applyFont="1" applyFill="1" applyBorder="1"/>
    <x:xf numFmtId="203" fontId="26" fillId="27" borderId="16" xfId="0" applyNumberFormat="1" applyFont="1" applyFill="1" applyBorder="1"/>
    <x:xf numFmtId="203" fontId="26" fillId="27" borderId="17" xfId="0" applyNumberFormat="1" applyFont="1" applyFill="1" applyBorder="1"/>
    <x:xf numFmtId="203" fontId="26" fillId="27" borderId="12" xfId="0" applyNumberFormat="1" applyFont="1" applyFill="1" applyBorder="1" applyAlignment="1">
      <x:alignment horizontal="center"/>
    </x:xf>
    <x:xf numFmtId="203" fontId="26" fillId="27" borderId="13" xfId="0" applyNumberFormat="1" applyFont="1" applyFill="1" applyBorder="1" applyAlignment="1">
      <x:alignment horizontal="center"/>
    </x:xf>
    <x:xf numFmtId="203" fontId="26" fillId="27" borderId="14" xfId="0" applyNumberFormat="1" applyFont="1" applyFill="1" applyBorder="1" applyAlignment="1">
      <x:alignment horizontal="center"/>
    </x:xf>
    <x:xf numFmtId="203" fontId="26" fillId="27" borderId="15" xfId="0" applyNumberFormat="1" applyFont="1" applyFill="1" applyBorder="1" applyAlignment="1">
      <x:alignment horizontal="center"/>
    </x:xf>
    <x:xf numFmtId="203" fontId="26" fillId="27" borderId="16" xfId="0" applyNumberFormat="1" applyFont="1" applyFill="1" applyBorder="1" applyAlignment="1">
      <x:alignment horizontal="center"/>
    </x:xf>
    <x:xf numFmtId="203" fontId="26" fillId="27" borderId="17" xfId="0" applyNumberFormat="1" applyFont="1" applyFill="1" applyBorder="1" applyAlignment="1">
      <x:alignment horizontal="center"/>
    </x:xf>
    <x:xf numFmtId="203" fontId="26" fillId="27" borderId="12" xfId="0" applyNumberFormat="1" applyFont="1" applyFill="1" applyBorder="1" applyAlignment="1">
      <x:alignment horizontal="center" vertical="center"/>
    </x:xf>
    <x:xf numFmtId="203" fontId="26" fillId="27" borderId="13" xfId="0" applyNumberFormat="1" applyFont="1" applyFill="1" applyBorder="1" applyAlignment="1">
      <x:alignment horizontal="center" vertical="center"/>
    </x:xf>
    <x:xf numFmtId="203" fontId="26" fillId="27" borderId="14" xfId="0" applyNumberFormat="1" applyFont="1" applyFill="1" applyBorder="1" applyAlignment="1">
      <x:alignment horizontal="center" vertical="center"/>
    </x:xf>
    <x:xf numFmtId="203" fontId="26" fillId="27" borderId="15" xfId="0" applyNumberFormat="1" applyFont="1" applyFill="1" applyBorder="1" applyAlignment="1">
      <x:alignment horizontal="center" vertical="center"/>
    </x:xf>
    <x:xf numFmtId="203" fontId="26" fillId="27" borderId="16" xfId="0" applyNumberFormat="1" applyFont="1" applyFill="1" applyBorder="1" applyAlignment="1">
      <x:alignment horizontal="center" vertical="center"/>
    </x:xf>
    <x:xf numFmtId="203" fontId="26" fillId="27" borderId="17" xfId="0" applyNumberFormat="1" applyFont="1" applyFill="1" applyBorder="1" applyAlignment="1">
      <x:alignment horizontal="center" vertical="center"/>
    </x:xf>
    <x:xf numFmtId="0" fontId="25" fillId="28" borderId="0" xfId="0" applyNumberFormat="1" applyFont="1" applyFill="1" applyBorder="1"/>
    <x:xf numFmtId="0" fontId="26" fillId="28" borderId="0" xfId="0" applyNumberFormat="1" applyFont="1" applyFill="1" applyBorder="1"/>
    <x:xf numFmtId="0" fontId="26" fillId="28" borderId="12" xfId="0" applyNumberFormat="1" applyFont="1" applyFill="1" applyBorder="1"/>
    <x:xf numFmtId="0" fontId="26" fillId="28" borderId="13" xfId="0" applyNumberFormat="1" applyFont="1" applyFill="1" applyBorder="1"/>
    <x:xf numFmtId="0" fontId="26" fillId="28" borderId="14" xfId="0" applyNumberFormat="1" applyFont="1" applyFill="1" applyBorder="1"/>
    <x:xf numFmtId="0" fontId="26" fillId="28" borderId="15" xfId="0" applyNumberFormat="1" applyFont="1" applyFill="1" applyBorder="1"/>
    <x:xf numFmtId="0" fontId="26" fillId="28" borderId="16" xfId="0" applyNumberFormat="1" applyFont="1" applyFill="1" applyBorder="1"/>
    <x:xf numFmtId="0" fontId="26" fillId="28" borderId="17" xfId="0" applyNumberFormat="1" applyFont="1" applyFill="1" applyBorder="1"/>
    <x:xf numFmtId="203" fontId="26" fillId="28" borderId="12" xfId="0" applyNumberFormat="1" applyFont="1" applyFill="1" applyBorder="1"/>
    <x:xf numFmtId="203" fontId="26" fillId="28" borderId="13" xfId="0" applyNumberFormat="1" applyFont="1" applyFill="1" applyBorder="1"/>
    <x:xf numFmtId="203" fontId="26" fillId="28" borderId="14" xfId="0" applyNumberFormat="1" applyFont="1" applyFill="1" applyBorder="1"/>
    <x:xf numFmtId="203" fontId="26" fillId="28" borderId="15" xfId="0" applyNumberFormat="1" applyFont="1" applyFill="1" applyBorder="1"/>
    <x:xf numFmtId="203" fontId="26" fillId="28" borderId="16" xfId="0" applyNumberFormat="1" applyFont="1" applyFill="1" applyBorder="1"/>
    <x:xf numFmtId="203" fontId="26" fillId="28" borderId="17" xfId="0" applyNumberFormat="1" applyFont="1" applyFill="1" applyBorder="1"/>
    <x:xf numFmtId="203" fontId="26" fillId="28" borderId="12" xfId="0" applyNumberFormat="1" applyFont="1" applyFill="1" applyBorder="1" applyAlignment="1">
      <x:alignment horizontal="center"/>
    </x:xf>
    <x:xf numFmtId="203" fontId="26" fillId="28" borderId="13" xfId="0" applyNumberFormat="1" applyFont="1" applyFill="1" applyBorder="1" applyAlignment="1">
      <x:alignment horizontal="center"/>
    </x:xf>
    <x:xf numFmtId="203" fontId="26" fillId="28" borderId="14" xfId="0" applyNumberFormat="1" applyFont="1" applyFill="1" applyBorder="1" applyAlignment="1">
      <x:alignment horizontal="center"/>
    </x:xf>
    <x:xf numFmtId="203" fontId="26" fillId="28" borderId="15" xfId="0" applyNumberFormat="1" applyFont="1" applyFill="1" applyBorder="1" applyAlignment="1">
      <x:alignment horizontal="center"/>
    </x:xf>
    <x:xf numFmtId="203" fontId="26" fillId="28" borderId="16" xfId="0" applyNumberFormat="1" applyFont="1" applyFill="1" applyBorder="1" applyAlignment="1">
      <x:alignment horizontal="center"/>
    </x:xf>
    <x:xf numFmtId="203" fontId="26" fillId="28" borderId="17" xfId="0" applyNumberFormat="1" applyFont="1" applyFill="1" applyBorder="1" applyAlignment="1">
      <x:alignment horizontal="center"/>
    </x:xf>
    <x:xf numFmtId="203" fontId="26" fillId="28" borderId="12" xfId="0" applyNumberFormat="1" applyFont="1" applyFill="1" applyBorder="1" applyAlignment="1">
      <x:alignment horizontal="center" vertical="center"/>
    </x:xf>
    <x:xf numFmtId="203" fontId="26" fillId="28" borderId="13" xfId="0" applyNumberFormat="1" applyFont="1" applyFill="1" applyBorder="1" applyAlignment="1">
      <x:alignment horizontal="center" vertical="center"/>
    </x:xf>
    <x:xf numFmtId="203" fontId="26" fillId="28" borderId="14" xfId="0" applyNumberFormat="1" applyFont="1" applyFill="1" applyBorder="1" applyAlignment="1">
      <x:alignment horizontal="center" vertical="center"/>
    </x:xf>
    <x:xf numFmtId="203" fontId="26" fillId="28" borderId="15" xfId="0" applyNumberFormat="1" applyFont="1" applyFill="1" applyBorder="1" applyAlignment="1">
      <x:alignment horizontal="center" vertical="center"/>
    </x:xf>
    <x:xf numFmtId="203" fontId="26" fillId="28" borderId="16" xfId="0" applyNumberFormat="1" applyFont="1" applyFill="1" applyBorder="1" applyAlignment="1">
      <x:alignment horizontal="center" vertical="center"/>
    </x:xf>
    <x:xf numFmtId="203" fontId="26" fillId="28" borderId="17" xfId="0" applyNumberFormat="1" applyFont="1" applyFill="1" applyBorder="1" applyAlignment="1">
      <x:alignment horizontal="center" vertical="center"/>
    </x:xf>
    <x:xf numFmtId="0" fontId="25" fillId="29" borderId="0" xfId="0" applyNumberFormat="1" applyFont="1" applyFill="1" applyBorder="1"/>
    <x:xf numFmtId="0" fontId="26" fillId="29" borderId="0" xfId="0" applyNumberFormat="1" applyFont="1" applyFill="1" applyBorder="1"/>
    <x:xf numFmtId="0" fontId="26" fillId="29" borderId="12" xfId="0" applyNumberFormat="1" applyFont="1" applyFill="1" applyBorder="1"/>
    <x:xf numFmtId="0" fontId="26" fillId="29" borderId="13" xfId="0" applyNumberFormat="1" applyFont="1" applyFill="1" applyBorder="1"/>
    <x:xf numFmtId="0" fontId="26" fillId="29" borderId="14" xfId="0" applyNumberFormat="1" applyFont="1" applyFill="1" applyBorder="1"/>
    <x:xf numFmtId="0" fontId="26" fillId="29" borderId="15" xfId="0" applyNumberFormat="1" applyFont="1" applyFill="1" applyBorder="1"/>
    <x:xf numFmtId="0" fontId="26" fillId="29" borderId="16" xfId="0" applyNumberFormat="1" applyFont="1" applyFill="1" applyBorder="1"/>
    <x:xf numFmtId="0" fontId="26" fillId="29" borderId="17" xfId="0" applyNumberFormat="1" applyFont="1" applyFill="1" applyBorder="1"/>
    <x:xf numFmtId="203" fontId="26" fillId="29" borderId="12" xfId="0" applyNumberFormat="1" applyFont="1" applyFill="1" applyBorder="1"/>
    <x:xf numFmtId="203" fontId="26" fillId="29" borderId="13" xfId="0" applyNumberFormat="1" applyFont="1" applyFill="1" applyBorder="1"/>
    <x:xf numFmtId="203" fontId="26" fillId="29" borderId="14" xfId="0" applyNumberFormat="1" applyFont="1" applyFill="1" applyBorder="1"/>
    <x:xf numFmtId="203" fontId="26" fillId="29" borderId="15" xfId="0" applyNumberFormat="1" applyFont="1" applyFill="1" applyBorder="1"/>
    <x:xf numFmtId="203" fontId="26" fillId="29" borderId="16" xfId="0" applyNumberFormat="1" applyFont="1" applyFill="1" applyBorder="1"/>
    <x:xf numFmtId="203" fontId="26" fillId="29" borderId="17" xfId="0" applyNumberFormat="1" applyFont="1" applyFill="1" applyBorder="1"/>
    <x:xf numFmtId="203" fontId="26" fillId="29" borderId="12" xfId="0" applyNumberFormat="1" applyFont="1" applyFill="1" applyBorder="1" applyAlignment="1">
      <x:alignment horizontal="center"/>
    </x:xf>
    <x:xf numFmtId="203" fontId="26" fillId="29" borderId="13" xfId="0" applyNumberFormat="1" applyFont="1" applyFill="1" applyBorder="1" applyAlignment="1">
      <x:alignment horizontal="center"/>
    </x:xf>
    <x:xf numFmtId="203" fontId="26" fillId="29" borderId="14" xfId="0" applyNumberFormat="1" applyFont="1" applyFill="1" applyBorder="1" applyAlignment="1">
      <x:alignment horizontal="center"/>
    </x:xf>
    <x:xf numFmtId="203" fontId="26" fillId="29" borderId="15" xfId="0" applyNumberFormat="1" applyFont="1" applyFill="1" applyBorder="1" applyAlignment="1">
      <x:alignment horizontal="center"/>
    </x:xf>
    <x:xf numFmtId="203" fontId="26" fillId="29" borderId="16" xfId="0" applyNumberFormat="1" applyFont="1" applyFill="1" applyBorder="1" applyAlignment="1">
      <x:alignment horizontal="center"/>
    </x:xf>
    <x:xf numFmtId="203" fontId="26" fillId="29" borderId="17" xfId="0" applyNumberFormat="1" applyFont="1" applyFill="1" applyBorder="1" applyAlignment="1">
      <x:alignment horizontal="center"/>
    </x:xf>
    <x:xf numFmtId="203" fontId="26" fillId="29" borderId="12" xfId="0" applyNumberFormat="1" applyFont="1" applyFill="1" applyBorder="1" applyAlignment="1">
      <x:alignment horizontal="center" vertical="center"/>
    </x:xf>
    <x:xf numFmtId="203" fontId="26" fillId="29" borderId="13" xfId="0" applyNumberFormat="1" applyFont="1" applyFill="1" applyBorder="1" applyAlignment="1">
      <x:alignment horizontal="center" vertical="center"/>
    </x:xf>
    <x:xf numFmtId="203" fontId="26" fillId="29" borderId="14" xfId="0" applyNumberFormat="1" applyFont="1" applyFill="1" applyBorder="1" applyAlignment="1">
      <x:alignment horizontal="center" vertical="center"/>
    </x:xf>
    <x:xf numFmtId="203" fontId="26" fillId="29" borderId="15" xfId="0" applyNumberFormat="1" applyFont="1" applyFill="1" applyBorder="1" applyAlignment="1">
      <x:alignment horizontal="center" vertical="center"/>
    </x:xf>
    <x:xf numFmtId="203" fontId="26" fillId="29" borderId="16" xfId="0" applyNumberFormat="1" applyFont="1" applyFill="1" applyBorder="1" applyAlignment="1">
      <x:alignment horizontal="center" vertical="center"/>
    </x:xf>
    <x:xf numFmtId="203" fontId="26" fillId="29" borderId="17" xfId="0" applyNumberFormat="1" applyFont="1" applyFill="1" applyBorder="1" applyAlignment="1">
      <x:alignment horizontal="center" vertical="center"/>
    </x:xf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horizontal="center"/>
    </x:xf>
    <x:xf numFmtId="0" fontId="12" fillId="26" borderId="0" xfId="0" applyNumberFormat="1" applyFont="1" applyFill="1" applyBorder="1" applyAlignment="1">
      <x:alignment horizontal="center" vertical="center"/>
    </x:xf>
    <x:xf numFmtId="0" fontId="25" fillId="30" borderId="0" xfId="0" applyNumberFormat="1" applyFont="1" applyFill="1" applyBorder="1"/>
    <x:xf numFmtId="0" fontId="22" fillId="30" borderId="0" xfId="0" applyNumberFormat="1" applyFont="1" applyFill="1" applyBorder="1"/>
    <x:xf numFmtId="0" fontId="22" fillId="30" borderId="12" xfId="0" applyNumberFormat="1" applyFont="1" applyFill="1" applyBorder="1"/>
    <x:xf numFmtId="0" fontId="22" fillId="30" borderId="13" xfId="0" applyNumberFormat="1" applyFont="1" applyFill="1" applyBorder="1"/>
    <x:xf numFmtId="0" fontId="22" fillId="30" borderId="14" xfId="0" applyNumberFormat="1" applyFont="1" applyFill="1" applyBorder="1"/>
    <x:xf numFmtId="0" fontId="22" fillId="30" borderId="15" xfId="0" applyNumberFormat="1" applyFont="1" applyFill="1" applyBorder="1"/>
    <x:xf numFmtId="0" fontId="22" fillId="30" borderId="16" xfId="0" applyNumberFormat="1" applyFont="1" applyFill="1" applyBorder="1"/>
    <x:xf numFmtId="0" fontId="22" fillId="30" borderId="17" xfId="0" applyNumberFormat="1" applyFont="1" applyFill="1" applyBorder="1"/>
    <x:xf numFmtId="0" fontId="22" fillId="30" borderId="12" xfId="0" applyNumberFormat="1" applyFont="1" applyFill="1" applyBorder="1" applyAlignment="1">
      <x:alignment wrapText="1"/>
    </x:xf>
    <x:xf numFmtId="0" fontId="22" fillId="30" borderId="13" xfId="0" applyNumberFormat="1" applyFont="1" applyFill="1" applyBorder="1" applyAlignment="1">
      <x:alignment wrapText="1"/>
    </x:xf>
    <x:xf numFmtId="0" fontId="22" fillId="30" borderId="14" xfId="0" applyNumberFormat="1" applyFont="1" applyFill="1" applyBorder="1" applyAlignment="1">
      <x:alignment wrapText="1"/>
    </x:xf>
    <x:xf numFmtId="0" fontId="22" fillId="30" borderId="15" xfId="0" applyNumberFormat="1" applyFont="1" applyFill="1" applyBorder="1" applyAlignment="1">
      <x:alignment wrapText="1"/>
    </x:xf>
    <x:xf numFmtId="0" fontId="22" fillId="30" borderId="16" xfId="0" applyNumberFormat="1" applyFont="1" applyFill="1" applyBorder="1" applyAlignment="1">
      <x:alignment wrapText="1"/>
    </x:xf>
    <x:xf numFmtId="0" fontId="22" fillId="30" borderId="17" xfId="0" applyNumberFormat="1" applyFont="1" applyFill="1" applyBorder="1" applyAlignment="1">
      <x:alignment wrapText="1"/>
    </x:xf>
    <x:xf numFmtId="0" fontId="22" fillId="30" borderId="12" xfId="0" applyNumberFormat="1" applyFont="1" applyFill="1" applyBorder="1" applyAlignment="1">
      <x:alignment horizontal="center" wrapText="1"/>
    </x:xf>
    <x:xf numFmtId="0" fontId="22" fillId="30" borderId="13" xfId="0" applyNumberFormat="1" applyFont="1" applyFill="1" applyBorder="1" applyAlignment="1">
      <x:alignment horizontal="center" wrapText="1"/>
    </x:xf>
    <x:xf numFmtId="0" fontId="22" fillId="30" borderId="14" xfId="0" applyNumberFormat="1" applyFont="1" applyFill="1" applyBorder="1" applyAlignment="1">
      <x:alignment horizontal="center" wrapText="1"/>
    </x:xf>
    <x:xf numFmtId="0" fontId="22" fillId="30" borderId="15" xfId="0" applyNumberFormat="1" applyFont="1" applyFill="1" applyBorder="1" applyAlignment="1">
      <x:alignment horizontal="center" wrapText="1"/>
    </x:xf>
    <x:xf numFmtId="0" fontId="22" fillId="30" borderId="16" xfId="0" applyNumberFormat="1" applyFont="1" applyFill="1" applyBorder="1" applyAlignment="1">
      <x:alignment horizontal="center" wrapText="1"/>
    </x:xf>
    <x:xf numFmtId="0" fontId="22" fillId="30" borderId="17" xfId="0" applyNumberFormat="1" applyFont="1" applyFill="1" applyBorder="1" applyAlignment="1">
      <x:alignment horizontal="center" wrapText="1"/>
    </x:xf>
    <x:xf numFmtId="0" fontId="22" fillId="30" borderId="12" xfId="0" applyNumberFormat="1" applyFont="1" applyFill="1" applyBorder="1" applyAlignment="1">
      <x:alignment horizontal="center" vertical="center" wrapText="1"/>
    </x:xf>
    <x:xf numFmtId="0" fontId="22" fillId="30" borderId="13" xfId="0" applyNumberFormat="1" applyFont="1" applyFill="1" applyBorder="1" applyAlignment="1">
      <x:alignment horizontal="center" vertical="center" wrapText="1"/>
    </x:xf>
    <x:xf numFmtId="0" fontId="22" fillId="30" borderId="14" xfId="0" applyNumberFormat="1" applyFont="1" applyFill="1" applyBorder="1" applyAlignment="1">
      <x:alignment horizontal="center" vertical="center" wrapText="1"/>
    </x:xf>
    <x:xf numFmtId="0" fontId="22" fillId="30" borderId="15" xfId="0" applyNumberFormat="1" applyFont="1" applyFill="1" applyBorder="1" applyAlignment="1">
      <x:alignment horizontal="center" vertical="center" wrapText="1"/>
    </x:xf>
    <x:xf numFmtId="0" fontId="22" fillId="30" borderId="16" xfId="0" applyNumberFormat="1" applyFont="1" applyFill="1" applyBorder="1" applyAlignment="1">
      <x:alignment horizontal="center" vertical="center" wrapText="1"/>
    </x:xf>
    <x:xf numFmtId="0" fontId="22" fillId="30" borderId="17" xfId="0" applyNumberFormat="1" applyFont="1" applyFill="1" applyBorder="1" applyAlignment="1">
      <x:alignment horizontal="center" vertical="center" wrapText="1"/>
    </x:xf>
    <x:xf numFmtId="0" fontId="16" fillId="23" borderId="0" xfId="0" applyNumberFormat="1" applyFont="1" applyFill="1" applyBorder="1"/>
    <x:xf numFmtId="0" fontId="16" fillId="23" borderId="12" xfId="0" applyNumberFormat="1" applyFont="1" applyFill="1" applyBorder="1"/>
    <x:xf numFmtId="0" fontId="16" fillId="23" borderId="13" xfId="0" applyNumberFormat="1" applyFont="1" applyFill="1" applyBorder="1"/>
    <x:xf numFmtId="0" fontId="16" fillId="23" borderId="14" xfId="0" applyNumberFormat="1" applyFont="1" applyFill="1" applyBorder="1"/>
    <x:xf numFmtId="0" fontId="16" fillId="23" borderId="15" xfId="0" applyNumberFormat="1" applyFont="1" applyFill="1" applyBorder="1"/>
    <x:xf numFmtId="0" fontId="16" fillId="23" borderId="16" xfId="0" applyNumberFormat="1" applyFont="1" applyFill="1" applyBorder="1"/>
    <x:xf numFmtId="0" fontId="16" fillId="23" borderId="17" xfId="0" applyNumberFormat="1" applyFont="1" applyFill="1" applyBorder="1"/>
    <x:xf numFmtId="0" fontId="16" fillId="23" borderId="12" xfId="0" applyNumberFormat="1" applyFont="1" applyFill="1" applyBorder="1" applyAlignment="1">
      <x:alignment wrapText="1"/>
    </x:xf>
    <x:xf numFmtId="0" fontId="16" fillId="23" borderId="13" xfId="0" applyNumberFormat="1" applyFont="1" applyFill="1" applyBorder="1" applyAlignment="1">
      <x:alignment wrapText="1"/>
    </x:xf>
    <x:xf numFmtId="0" fontId="16" fillId="23" borderId="14" xfId="0" applyNumberFormat="1" applyFont="1" applyFill="1" applyBorder="1" applyAlignment="1">
      <x:alignment wrapText="1"/>
    </x:xf>
    <x:xf numFmtId="0" fontId="16" fillId="23" borderId="15" xfId="0" applyNumberFormat="1" applyFont="1" applyFill="1" applyBorder="1" applyAlignment="1">
      <x:alignment wrapText="1"/>
    </x:xf>
    <x:xf numFmtId="0" fontId="16" fillId="23" borderId="16" xfId="0" applyNumberFormat="1" applyFont="1" applyFill="1" applyBorder="1" applyAlignment="1">
      <x:alignment wrapText="1"/>
    </x:xf>
    <x:xf numFmtId="0" fontId="16" fillId="23" borderId="17" xfId="0" applyNumberFormat="1" applyFont="1" applyFill="1" applyBorder="1" applyAlignment="1">
      <x:alignment wrapText="1"/>
    </x:xf>
    <x:xf numFmtId="0" fontId="16" fillId="23" borderId="12" xfId="0" applyNumberFormat="1" applyFont="1" applyFill="1" applyBorder="1" applyAlignment="1">
      <x:alignment horizontal="center" wrapText="1"/>
    </x:xf>
    <x:xf numFmtId="0" fontId="16" fillId="23" borderId="13" xfId="0" applyNumberFormat="1" applyFont="1" applyFill="1" applyBorder="1" applyAlignment="1">
      <x:alignment horizontal="center" wrapText="1"/>
    </x:xf>
    <x:xf numFmtId="0" fontId="16" fillId="23" borderId="14" xfId="0" applyNumberFormat="1" applyFont="1" applyFill="1" applyBorder="1" applyAlignment="1">
      <x:alignment horizontal="center" wrapText="1"/>
    </x:xf>
    <x:xf numFmtId="0" fontId="16" fillId="23" borderId="15" xfId="0" applyNumberFormat="1" applyFont="1" applyFill="1" applyBorder="1" applyAlignment="1">
      <x:alignment horizontal="center" wrapText="1"/>
    </x:xf>
    <x:xf numFmtId="0" fontId="16" fillId="23" borderId="16" xfId="0" applyNumberFormat="1" applyFont="1" applyFill="1" applyBorder="1" applyAlignment="1">
      <x:alignment horizontal="center" wrapText="1"/>
    </x:xf>
    <x:xf numFmtId="0" fontId="16" fillId="23" borderId="17" xfId="0" applyNumberFormat="1" applyFont="1" applyFill="1" applyBorder="1" applyAlignment="1">
      <x:alignment horizontal="center" wrapText="1"/>
    </x:xf>
    <x:xf numFmtId="0" fontId="16" fillId="23" borderId="12" xfId="0" applyNumberFormat="1" applyFont="1" applyFill="1" applyBorder="1" applyAlignment="1">
      <x:alignment horizontal="center" vertical="center" wrapText="1"/>
    </x:xf>
    <x:xf numFmtId="0" fontId="16" fillId="23" borderId="13" xfId="0" applyNumberFormat="1" applyFont="1" applyFill="1" applyBorder="1" applyAlignment="1">
      <x:alignment horizontal="center" vertical="center" wrapText="1"/>
    </x:xf>
    <x:xf numFmtId="0" fontId="16" fillId="23" borderId="14" xfId="0" applyNumberFormat="1" applyFont="1" applyFill="1" applyBorder="1" applyAlignment="1">
      <x:alignment horizontal="center" vertical="center" wrapText="1"/>
    </x:xf>
    <x:xf numFmtId="0" fontId="16" fillId="23" borderId="15" xfId="0" applyNumberFormat="1" applyFont="1" applyFill="1" applyBorder="1" applyAlignment="1">
      <x:alignment horizontal="center" vertical="center" wrapText="1"/>
    </x:xf>
    <x:xf numFmtId="0" fontId="16" fillId="23" borderId="16" xfId="0" applyNumberFormat="1" applyFont="1" applyFill="1" applyBorder="1" applyAlignment="1">
      <x:alignment horizontal="center" vertical="center" wrapText="1"/>
    </x:xf>
    <x:xf numFmtId="0" fontId="16" fillId="23" borderId="17" xfId="0" applyNumberFormat="1" applyFont="1" applyFill="1" applyBorder="1" applyAlignment="1">
      <x:alignment horizontal="center" vertical="center" wrapText="1"/>
    </x:xf>
    <x:xf numFmtId="0" fontId="25" fillId="31" borderId="0" xfId="0" applyNumberFormat="1" applyFont="1" applyFill="1" applyBorder="1"/>
    <x:xf numFmtId="0" fontId="29" fillId="31" borderId="0" xfId="0" applyNumberFormat="1" applyFont="1" applyFill="1" applyBorder="1"/>
    <x:xf numFmtId="0" fontId="29" fillId="31" borderId="12" xfId="0" applyNumberFormat="1" applyFont="1" applyFill="1" applyBorder="1"/>
    <x:xf numFmtId="0" fontId="29" fillId="31" borderId="13" xfId="0" applyNumberFormat="1" applyFont="1" applyFill="1" applyBorder="1"/>
    <x:xf numFmtId="0" fontId="29" fillId="31" borderId="14" xfId="0" applyNumberFormat="1" applyFont="1" applyFill="1" applyBorder="1"/>
    <x:xf numFmtId="0" fontId="29" fillId="31" borderId="15" xfId="0" applyNumberFormat="1" applyFont="1" applyFill="1" applyBorder="1"/>
    <x:xf numFmtId="0" fontId="29" fillId="31" borderId="16" xfId="0" applyNumberFormat="1" applyFont="1" applyFill="1" applyBorder="1"/>
    <x:xf numFmtId="0" fontId="29" fillId="31" borderId="17" xfId="0" applyNumberFormat="1" applyFont="1" applyFill="1" applyBorder="1"/>
    <x:xf numFmtId="0" fontId="29" fillId="31" borderId="12" xfId="0" applyNumberFormat="1" applyFont="1" applyFill="1" applyBorder="1" applyAlignment="1">
      <x:alignment wrapText="1"/>
    </x:xf>
    <x:xf numFmtId="0" fontId="29" fillId="31" borderId="13" xfId="0" applyNumberFormat="1" applyFont="1" applyFill="1" applyBorder="1" applyAlignment="1">
      <x:alignment wrapText="1"/>
    </x:xf>
    <x:xf numFmtId="0" fontId="29" fillId="31" borderId="14" xfId="0" applyNumberFormat="1" applyFont="1" applyFill="1" applyBorder="1" applyAlignment="1">
      <x:alignment wrapText="1"/>
    </x:xf>
    <x:xf numFmtId="0" fontId="29" fillId="31" borderId="15" xfId="0" applyNumberFormat="1" applyFont="1" applyFill="1" applyBorder="1" applyAlignment="1">
      <x:alignment wrapText="1"/>
    </x:xf>
    <x:xf numFmtId="0" fontId="29" fillId="31" borderId="16" xfId="0" applyNumberFormat="1" applyFont="1" applyFill="1" applyBorder="1" applyAlignment="1">
      <x:alignment wrapText="1"/>
    </x:xf>
    <x:xf numFmtId="0" fontId="29" fillId="31" borderId="17" xfId="0" applyNumberFormat="1" applyFont="1" applyFill="1" applyBorder="1" applyAlignment="1">
      <x:alignment wrapText="1"/>
    </x:xf>
    <x:xf numFmtId="0" fontId="29" fillId="31" borderId="12" xfId="0" applyNumberFormat="1" applyFont="1" applyFill="1" applyBorder="1" applyAlignment="1">
      <x:alignment horizontal="center" wrapText="1"/>
    </x:xf>
    <x:xf numFmtId="0" fontId="29" fillId="31" borderId="13" xfId="0" applyNumberFormat="1" applyFont="1" applyFill="1" applyBorder="1" applyAlignment="1">
      <x:alignment horizontal="center" wrapText="1"/>
    </x:xf>
    <x:xf numFmtId="0" fontId="29" fillId="31" borderId="14" xfId="0" applyNumberFormat="1" applyFont="1" applyFill="1" applyBorder="1" applyAlignment="1">
      <x:alignment horizontal="center" wrapText="1"/>
    </x:xf>
    <x:xf numFmtId="0" fontId="29" fillId="31" borderId="15" xfId="0" applyNumberFormat="1" applyFont="1" applyFill="1" applyBorder="1" applyAlignment="1">
      <x:alignment horizontal="center" wrapText="1"/>
    </x:xf>
    <x:xf numFmtId="0" fontId="29" fillId="31" borderId="16" xfId="0" applyNumberFormat="1" applyFont="1" applyFill="1" applyBorder="1" applyAlignment="1">
      <x:alignment horizontal="center" wrapText="1"/>
    </x:xf>
    <x:xf numFmtId="0" fontId="29" fillId="31" borderId="17" xfId="0" applyNumberFormat="1" applyFont="1" applyFill="1" applyBorder="1" applyAlignment="1">
      <x:alignment horizontal="center" wrapText="1"/>
    </x:xf>
    <x:xf numFmtId="0" fontId="29" fillId="31" borderId="12" xfId="0" applyNumberFormat="1" applyFont="1" applyFill="1" applyBorder="1" applyAlignment="1">
      <x:alignment horizontal="center" vertical="center" wrapText="1"/>
    </x:xf>
    <x:xf numFmtId="0" fontId="29" fillId="31" borderId="13" xfId="0" applyNumberFormat="1" applyFont="1" applyFill="1" applyBorder="1" applyAlignment="1">
      <x:alignment horizontal="center" vertical="center" wrapText="1"/>
    </x:xf>
    <x:xf numFmtId="0" fontId="29" fillId="31" borderId="14" xfId="0" applyNumberFormat="1" applyFont="1" applyFill="1" applyBorder="1" applyAlignment="1">
      <x:alignment horizontal="center" vertical="center" wrapText="1"/>
    </x:xf>
    <x:xf numFmtId="0" fontId="29" fillId="31" borderId="15" xfId="0" applyNumberFormat="1" applyFont="1" applyFill="1" applyBorder="1" applyAlignment="1">
      <x:alignment horizontal="center" vertical="center" wrapText="1"/>
    </x:xf>
    <x:xf numFmtId="0" fontId="29" fillId="31" borderId="16" xfId="0" applyNumberFormat="1" applyFont="1" applyFill="1" applyBorder="1" applyAlignment="1">
      <x:alignment horizontal="center" vertical="center" wrapText="1"/>
    </x:xf>
    <x:xf numFmtId="0" fontId="29" fillId="31" borderId="17" xfId="0" applyNumberFormat="1" applyFont="1" applyFill="1" applyBorder="1" applyAlignment="1">
      <x:alignment horizontal="center" vertical="center" wrapText="1"/>
    </x:xf>
    <x:xf numFmtId="0" fontId="17" fillId="22" borderId="0" xfId="0" applyNumberFormat="1" applyFont="1" applyFill="1" applyBorder="1"/>
    <x:xf numFmtId="0" fontId="17" fillId="22" borderId="0" xfId="0" applyNumberFormat="1" applyFont="1" applyFill="1" applyBorder="1" applyAlignment="1">
      <x:alignment horizontal="center"/>
    </x:xf>
    <x:xf numFmtId="204" fontId="25" fillId="0" borderId="0" xfId="0" applyNumberFormat="1" applyFont="1" applyFill="1" applyBorder="1"/>
    <x:xf numFmtId="0" fontId="30" fillId="26" borderId="0" xfId="0" applyNumberFormat="1" applyFont="1" applyFill="1" applyBorder="1"/>
    <x:xf numFmtId="0" fontId="30" fillId="26" borderId="8" xfId="0" applyNumberFormat="1" applyFont="1" applyFill="1" applyBorder="1"/>
    <x:xf numFmtId="0" fontId="30" fillId="26" borderId="8" xfId="0" applyNumberFormat="1" applyFont="1" applyFill="1" applyBorder="1" applyAlignment="1">
      <x:alignment horizontal="center"/>
    </x:xf>
    <x:xf numFmtId="0" fontId="25" fillId="32" borderId="0" xfId="0" applyNumberFormat="1" applyFont="1" applyFill="1" applyBorder="1"/>
    <x:xf numFmtId="0" fontId="13" fillId="32" borderId="0" xfId="0" applyNumberFormat="1" applyFont="1" applyFill="1" applyBorder="1"/>
    <x:xf numFmtId="0" fontId="13" fillId="32" borderId="8" xfId="0" applyNumberFormat="1" applyFont="1" applyFill="1" applyBorder="1"/>
    <x:xf numFmtId="0" fontId="13" fillId="32" borderId="8" xfId="0" applyNumberFormat="1" applyFont="1" applyFill="1" applyBorder="1" applyAlignment="1">
      <x:alignment vertical="center"/>
    </x:xf>
    <x:xf numFmtId="204" fontId="25" fillId="32" borderId="0" xfId="0" applyNumberFormat="1" applyFont="1" applyFill="1" applyBorder="1"/>
    <x:xf numFmtId="204" fontId="13" fillId="32" borderId="0" xfId="0" applyNumberFormat="1" applyFont="1" applyFill="1" applyBorder="1"/>
    <x:xf numFmtId="204" fontId="13" fillId="32" borderId="8" xfId="0" applyNumberFormat="1" applyFont="1" applyFill="1" applyBorder="1"/>
    <x:xf numFmtId="204" fontId="13" fillId="32" borderId="8" xfId="0" applyNumberFormat="1" applyFont="1" applyFill="1" applyBorder="1" applyAlignment="1">
      <x:alignment vertical="center"/>
    </x:xf>
    <x:xf numFmtId="0" fontId="13" fillId="32" borderId="8" xfId="0" applyNumberFormat="1" applyFont="1" applyFill="1" applyBorder="1" applyAlignment="1">
      <x:alignment horizontal="center" vertical="center"/>
    </x:xf>
    <x:xf numFmtId="0" fontId="13" fillId="32" borderId="8" xfId="0" applyNumberFormat="1" applyFont="1" applyFill="1" applyBorder="1" applyAlignment="1">
      <x:alignment horizontal="right" vertical="center"/>
    </x:xf>
    <x:xf numFmtId="204" fontId="13" fillId="32" borderId="8" xfId="0" applyNumberFormat="1" applyFont="1" applyFill="1" applyBorder="1" applyAlignment="1">
      <x:alignment horizontal="right" vertical="center"/>
    </x:xf>
    <x:xf numFmtId="0" fontId="25" fillId="33" borderId="0" xfId="0" applyNumberFormat="1" applyFont="1" applyFill="1" applyBorder="1"/>
    <x:xf numFmtId="0" fontId="4" fillId="33" borderId="0" xfId="0" applyNumberFormat="1" applyFont="1" applyFill="1" applyBorder="1"/>
    <x:xf numFmtId="0" fontId="4" fillId="33" borderId="0" xfId="0" applyNumberFormat="1" applyFont="1" applyFill="1" applyBorder="1" applyAlignment="1">
      <x:alignment horizontal="center"/>
    </x:xf>
    <x:xf numFmtId="0" fontId="25" fillId="34" borderId="0" xfId="0" applyNumberFormat="1" applyFont="1" applyFill="1" applyBorder="1"/>
    <x:xf numFmtId="0" fontId="31" fillId="34" borderId="0" xfId="0" applyNumberFormat="1" applyFont="1" applyFill="1" applyBorder="1"/>
    <x:xf numFmtId="0" fontId="31" fillId="34" borderId="12" xfId="0" applyNumberFormat="1" applyFont="1" applyFill="1" applyBorder="1"/>
    <x:xf numFmtId="0" fontId="31" fillId="34" borderId="13" xfId="0" applyNumberFormat="1" applyFont="1" applyFill="1" applyBorder="1"/>
    <x:xf numFmtId="0" fontId="31" fillId="34" borderId="14" xfId="0" applyNumberFormat="1" applyFont="1" applyFill="1" applyBorder="1"/>
    <x:xf numFmtId="0" fontId="31" fillId="34" borderId="18" xfId="0" applyNumberFormat="1" applyFont="1" applyFill="1" applyBorder="1"/>
    <x:xf numFmtId="0" fontId="31" fillId="34" xfId="0" applyNumberFormat="1" applyFont="1" applyFill="1" applyBorder="0"/>
    <x:xf numFmtId="0" fontId="31" fillId="34" borderId="19" xfId="0" applyNumberFormat="1" applyFont="1" applyFill="1" applyBorder="1"/>
    <x:xf numFmtId="0" fontId="31" fillId="34" borderId="15" xfId="0" applyNumberFormat="1" applyFont="1" applyFill="1" applyBorder="1"/>
    <x:xf numFmtId="0" fontId="31" fillId="34" borderId="16" xfId="0" applyNumberFormat="1" applyFont="1" applyFill="1" applyBorder="1"/>
    <x:xf numFmtId="0" fontId="31" fillId="34" borderId="17" xfId="0" applyNumberFormat="1" applyFont="1" applyFill="1" applyBorder="1"/>
    <x:xf numFmtId="0" fontId="31" fillId="34" borderId="12" xfId="0" applyNumberFormat="1" applyFont="1" applyFill="1" applyBorder="1" applyAlignment="1">
      <x:alignment wrapText="1"/>
    </x:xf>
    <x:xf numFmtId="0" fontId="31" fillId="34" borderId="13" xfId="0" applyNumberFormat="1" applyFont="1" applyFill="1" applyBorder="1" applyAlignment="1">
      <x:alignment wrapText="1"/>
    </x:xf>
    <x:xf numFmtId="0" fontId="31" fillId="34" borderId="14" xfId="0" applyNumberFormat="1" applyFont="1" applyFill="1" applyBorder="1" applyAlignment="1">
      <x:alignment wrapText="1"/>
    </x:xf>
    <x:xf numFmtId="0" fontId="31" fillId="34" borderId="18" xfId="0" applyNumberFormat="1" applyFont="1" applyFill="1" applyBorder="1" applyAlignment="1">
      <x:alignment wrapText="1"/>
    </x:xf>
    <x:xf numFmtId="0" fontId="31" fillId="34" xfId="0" applyNumberFormat="1" applyFont="1" applyFill="1" applyBorder="0" applyAlignment="1">
      <x:alignment wrapText="1"/>
    </x:xf>
    <x:xf numFmtId="0" fontId="31" fillId="34" borderId="19" xfId="0" applyNumberFormat="1" applyFont="1" applyFill="1" applyBorder="1" applyAlignment="1">
      <x:alignment wrapText="1"/>
    </x:xf>
    <x:xf numFmtId="0" fontId="31" fillId="34" borderId="15" xfId="0" applyNumberFormat="1" applyFont="1" applyFill="1" applyBorder="1" applyAlignment="1">
      <x:alignment wrapText="1"/>
    </x:xf>
    <x:xf numFmtId="0" fontId="31" fillId="34" borderId="16" xfId="0" applyNumberFormat="1" applyFont="1" applyFill="1" applyBorder="1" applyAlignment="1">
      <x:alignment wrapText="1"/>
    </x:xf>
    <x:xf numFmtId="0" fontId="31" fillId="34" borderId="17" xfId="0" applyNumberFormat="1" applyFont="1" applyFill="1" applyBorder="1" applyAlignment="1">
      <x:alignment wrapText="1"/>
    </x:xf>
    <x:xf numFmtId="0" fontId="31" fillId="34" borderId="12" xfId="0" applyNumberFormat="1" applyFont="1" applyFill="1" applyBorder="1" applyAlignment="1">
      <x:alignment vertical="top" wrapText="1"/>
    </x:xf>
    <x:xf numFmtId="0" fontId="31" fillId="34" borderId="13" xfId="0" applyNumberFormat="1" applyFont="1" applyFill="1" applyBorder="1" applyAlignment="1">
      <x:alignment vertical="top" wrapText="1"/>
    </x:xf>
    <x:xf numFmtId="0" fontId="31" fillId="34" borderId="14" xfId="0" applyNumberFormat="1" applyFont="1" applyFill="1" applyBorder="1" applyAlignment="1">
      <x:alignment vertical="top" wrapText="1"/>
    </x:xf>
    <x:xf numFmtId="0" fontId="31" fillId="34" borderId="18" xfId="0" applyNumberFormat="1" applyFont="1" applyFill="1" applyBorder="1" applyAlignment="1">
      <x:alignment vertical="top" wrapText="1"/>
    </x:xf>
    <x:xf numFmtId="0" fontId="31" fillId="34" xfId="0" applyNumberFormat="1" applyFont="1" applyFill="1" applyBorder="0" applyAlignment="1">
      <x:alignment vertical="top" wrapText="1"/>
    </x:xf>
    <x:xf numFmtId="0" fontId="31" fillId="34" borderId="19" xfId="0" applyNumberFormat="1" applyFont="1" applyFill="1" applyBorder="1" applyAlignment="1">
      <x:alignment vertical="top" wrapText="1"/>
    </x:xf>
    <x:xf numFmtId="0" fontId="31" fillId="34" borderId="15" xfId="0" applyNumberFormat="1" applyFont="1" applyFill="1" applyBorder="1" applyAlignment="1">
      <x:alignment vertical="top" wrapText="1"/>
    </x:xf>
    <x:xf numFmtId="0" fontId="31" fillId="34" borderId="16" xfId="0" applyNumberFormat="1" applyFont="1" applyFill="1" applyBorder="1" applyAlignment="1">
      <x:alignment vertical="top" wrapText="1"/>
    </x:xf>
    <x:xf numFmtId="0" fontId="31" fillId="34" borderId="17" xfId="0" applyNumberFormat="1" applyFont="1" applyFill="1" applyBorder="1" applyAlignment="1">
      <x:alignment vertical="top" wrapText="1"/>
    </x:xf>
    <x:xf numFmtId="0" fontId="32" fillId="34" borderId="0" xfId="0" applyNumberFormat="1" applyFont="1" applyFill="1" applyBorder="1"/>
    <x:xf numFmtId="0" fontId="32" fillId="34" borderId="0" xfId="0" applyNumberFormat="1" applyFont="1" applyFill="1" applyBorder="1" applyAlignment="1">
      <x:alignment wrapText="1"/>
    </x:xf>
    <x:xf numFmtId="0" fontId="32" fillId="34" borderId="0" xfId="0" applyNumberFormat="1" applyFont="1" applyFill="1" applyBorder="1" applyAlignment="1">
      <x:alignment horizontal="center" wrapText="1"/>
    </x:xf>
    <x:xf numFmtId="0" fontId="32" fillId="34" borderId="0" xfId="0" applyNumberFormat="1" applyFont="1" applyFill="1" applyBorder="1" applyAlignment="1">
      <x:alignment horizontal="center" vertical="center" wrapText="1"/>
    </x:xf>
    <x:xf numFmtId="0" fontId="25" fillId="35" borderId="0" xfId="0" applyNumberFormat="1" applyFont="1" applyFill="1" applyBorder="1"/>
    <x:xf numFmtId="0" fontId="26" fillId="35" borderId="0" xfId="0" applyNumberFormat="1" applyFont="1" applyFill="1" applyBorder="1"/>
    <x:xf numFmtId="0" fontId="26" fillId="35" borderId="0" xfId="0" applyNumberFormat="1" applyFont="1" applyFill="1" applyBorder="1" applyAlignment="1">
      <x:alignment vertical="center"/>
    </x:xf>
    <x:xf numFmtId="0" fontId="25" fillId="36" borderId="0" xfId="0" applyNumberFormat="1" applyFont="1" applyFill="1" applyBorder="1"/>
    <x:xf numFmtId="0" fontId="10" fillId="36" borderId="0" xfId="0" applyNumberFormat="1" applyFont="1" applyFill="1" applyBorder="1"/>
    <x:xf numFmtId="0" fontId="10" fillId="36" borderId="0" xfId="0" applyNumberFormat="1" applyFont="1" applyFill="1" applyBorder="1" applyAlignment="1">
      <x:alignment wrapText="1"/>
    </x:xf>
    <x:xf numFmtId="0" fontId="10" fillId="36" borderId="0" xfId="0" applyNumberFormat="1" applyFont="1" applyFill="1" applyBorder="1" applyAlignment="1">
      <x:alignment vertical="center" wrapText="1"/>
    </x:xf>
    <x:xf numFmtId="0" fontId="4" fillId="35" borderId="0" xfId="0" applyNumberFormat="1" applyFont="1" applyFill="1" applyBorder="1"/>
    <x:xf numFmtId="0" fontId="4" fillId="35" borderId="9" xfId="0" applyNumberFormat="1" applyFont="1" applyFill="1" applyBorder="1"/>
    <x:xf numFmtId="0" fontId="4" fillId="35" borderId="10" xfId="0" applyNumberFormat="1" applyFont="1" applyFill="1" applyBorder="1"/>
    <x:xf numFmtId="0" fontId="4" fillId="35" borderId="11" xfId="0" applyNumberFormat="1" applyFont="1" applyFill="1" applyBorder="1"/>
    <x:xf numFmtId="0" fontId="4" fillId="35" borderId="9" xfId="0" applyNumberFormat="1" applyFont="1" applyFill="1" applyBorder="1" applyAlignment="1">
      <x:alignment horizontal="center"/>
    </x:xf>
    <x:xf numFmtId="0" fontId="4" fillId="35" borderId="10" xfId="0" applyNumberFormat="1" applyFont="1" applyFill="1" applyBorder="1" applyAlignment="1">
      <x:alignment horizontal="center"/>
    </x:xf>
    <x:xf numFmtId="0" fontId="4" fillId="35" borderId="11" xfId="0" applyNumberFormat="1" applyFont="1" applyFill="1" applyBorder="1" applyAlignment="1">
      <x:alignment horizontal="center"/>
    </x:xf>
    <x:xf numFmtId="0" fontId="4" fillId="35" borderId="9" xfId="0" applyNumberFormat="1" applyFont="1" applyFill="1" applyBorder="1" applyAlignment="1">
      <x:alignment horizontal="center" vertical="center"/>
    </x:xf>
    <x:xf numFmtId="0" fontId="4" fillId="35" borderId="10" xfId="0" applyNumberFormat="1" applyFont="1" applyFill="1" applyBorder="1" applyAlignment="1">
      <x:alignment horizontal="center" vertical="center"/>
    </x:xf>
    <x:xf numFmtId="0" fontId="4" fillId="35" borderId="11" xfId="0" applyNumberFormat="1" applyFont="1" applyFill="1" applyBorder="1" applyAlignment="1">
      <x:alignment horizontal="center" vertical="center"/>
    </x:xf>
    <x:xf numFmtId="0" fontId="25" fillId="37" borderId="0" xfId="0" applyNumberFormat="1" applyFont="1" applyFill="1" applyBorder="1"/>
    <x:xf numFmtId="0" fontId="26" fillId="37" borderId="0" xfId="0" applyNumberFormat="1" applyFont="1" applyFill="1" applyBorder="1"/>
    <x:xf numFmtId="0" fontId="26" fillId="37" borderId="12" xfId="0" applyNumberFormat="1" applyFont="1" applyFill="1" applyBorder="1"/>
    <x:xf numFmtId="0" fontId="26" fillId="37" borderId="13" xfId="0" applyNumberFormat="1" applyFont="1" applyFill="1" applyBorder="1"/>
    <x:xf numFmtId="0" fontId="26" fillId="37" borderId="14" xfId="0" applyNumberFormat="1" applyFont="1" applyFill="1" applyBorder="1"/>
    <x:xf numFmtId="0" fontId="26" fillId="37" borderId="15" xfId="0" applyNumberFormat="1" applyFont="1" applyFill="1" applyBorder="1"/>
    <x:xf numFmtId="0" fontId="26" fillId="37" borderId="16" xfId="0" applyNumberFormat="1" applyFont="1" applyFill="1" applyBorder="1"/>
    <x:xf numFmtId="0" fontId="26" fillId="37" borderId="17" xfId="0" applyNumberFormat="1" applyFont="1" applyFill="1" applyBorder="1"/>
    <x:xf numFmtId="203" fontId="26" fillId="37" borderId="12" xfId="0" applyNumberFormat="1" applyFont="1" applyFill="1" applyBorder="1"/>
    <x:xf numFmtId="203" fontId="26" fillId="37" borderId="13" xfId="0" applyNumberFormat="1" applyFont="1" applyFill="1" applyBorder="1"/>
    <x:xf numFmtId="203" fontId="26" fillId="37" borderId="14" xfId="0" applyNumberFormat="1" applyFont="1" applyFill="1" applyBorder="1"/>
    <x:xf numFmtId="203" fontId="26" fillId="37" borderId="15" xfId="0" applyNumberFormat="1" applyFont="1" applyFill="1" applyBorder="1"/>
    <x:xf numFmtId="203" fontId="26" fillId="37" borderId="16" xfId="0" applyNumberFormat="1" applyFont="1" applyFill="1" applyBorder="1"/>
    <x:xf numFmtId="203" fontId="26" fillId="37" borderId="17" xfId="0" applyNumberFormat="1" applyFont="1" applyFill="1" applyBorder="1"/>
    <x:xf numFmtId="203" fontId="26" fillId="37" borderId="12" xfId="0" applyNumberFormat="1" applyFont="1" applyFill="1" applyBorder="1" applyAlignment="1">
      <x:alignment horizontal="center"/>
    </x:xf>
    <x:xf numFmtId="203" fontId="26" fillId="37" borderId="13" xfId="0" applyNumberFormat="1" applyFont="1" applyFill="1" applyBorder="1" applyAlignment="1">
      <x:alignment horizontal="center"/>
    </x:xf>
    <x:xf numFmtId="203" fontId="26" fillId="37" borderId="14" xfId="0" applyNumberFormat="1" applyFont="1" applyFill="1" applyBorder="1" applyAlignment="1">
      <x:alignment horizontal="center"/>
    </x:xf>
    <x:xf numFmtId="203" fontId="26" fillId="37" borderId="15" xfId="0" applyNumberFormat="1" applyFont="1" applyFill="1" applyBorder="1" applyAlignment="1">
      <x:alignment horizontal="center"/>
    </x:xf>
    <x:xf numFmtId="203" fontId="26" fillId="37" borderId="16" xfId="0" applyNumberFormat="1" applyFont="1" applyFill="1" applyBorder="1" applyAlignment="1">
      <x:alignment horizontal="center"/>
    </x:xf>
    <x:xf numFmtId="203" fontId="26" fillId="37" borderId="17" xfId="0" applyNumberFormat="1" applyFont="1" applyFill="1" applyBorder="1" applyAlignment="1">
      <x:alignment horizontal="center"/>
    </x:xf>
    <x:xf numFmtId="203" fontId="26" fillId="37" borderId="12" xfId="0" applyNumberFormat="1" applyFont="1" applyFill="1" applyBorder="1" applyAlignment="1">
      <x:alignment horizontal="center" vertical="center"/>
    </x:xf>
    <x:xf numFmtId="203" fontId="26" fillId="37" borderId="13" xfId="0" applyNumberFormat="1" applyFont="1" applyFill="1" applyBorder="1" applyAlignment="1">
      <x:alignment horizontal="center" vertical="center"/>
    </x:xf>
    <x:xf numFmtId="203" fontId="26" fillId="37" borderId="14" xfId="0" applyNumberFormat="1" applyFont="1" applyFill="1" applyBorder="1" applyAlignment="1">
      <x:alignment horizontal="center" vertical="center"/>
    </x:xf>
    <x:xf numFmtId="203" fontId="26" fillId="37" borderId="15" xfId="0" applyNumberFormat="1" applyFont="1" applyFill="1" applyBorder="1" applyAlignment="1">
      <x:alignment horizontal="center" vertical="center"/>
    </x:xf>
    <x:xf numFmtId="203" fontId="26" fillId="37" borderId="16" xfId="0" applyNumberFormat="1" applyFont="1" applyFill="1" applyBorder="1" applyAlignment="1">
      <x:alignment horizontal="center" vertical="center"/>
    </x:xf>
    <x:xf numFmtId="203" fontId="26" fillId="37" borderId="17" xfId="0" applyNumberFormat="1" applyFont="1" applyFill="1" applyBorder="1" applyAlignment="1">
      <x:alignment horizontal="center" vertical="center"/>
    </x:xf>
    <x:xf numFmtId="0" fontId="25" fillId="38" borderId="0" xfId="0" applyNumberFormat="1" applyFont="1" applyFill="1" applyBorder="1"/>
    <x:xf numFmtId="0" fontId="28" fillId="38" borderId="0" xfId="0" applyNumberFormat="1" applyFont="1" applyFill="1" applyBorder="1"/>
    <x:xf numFmtId="0" fontId="28" fillId="38" borderId="9" xfId="0" applyNumberFormat="1" applyFont="1" applyFill="1" applyBorder="1"/>
    <x:xf numFmtId="0" fontId="28" fillId="38" borderId="10" xfId="0" applyNumberFormat="1" applyFont="1" applyFill="1" applyBorder="1"/>
    <x:xf numFmtId="0" fontId="28" fillId="38" borderId="11" xfId="0" applyNumberFormat="1" applyFont="1" applyFill="1" applyBorder="1"/>
    <x:xf numFmtId="0" fontId="28" fillId="38" borderId="9" xfId="0" applyNumberFormat="1" applyFont="1" applyFill="1" applyBorder="1" applyAlignment="1">
      <x:alignment wrapText="1"/>
    </x:xf>
    <x:xf numFmtId="0" fontId="28" fillId="38" borderId="10" xfId="0" applyNumberFormat="1" applyFont="1" applyFill="1" applyBorder="1" applyAlignment="1">
      <x:alignment wrapText="1"/>
    </x:xf>
    <x:xf numFmtId="0" fontId="28" fillId="38" borderId="11" xfId="0" applyNumberFormat="1" applyFont="1" applyFill="1" applyBorder="1" applyAlignment="1">
      <x:alignment wrapText="1"/>
    </x:xf>
    <x:xf numFmtId="0" fontId="28" fillId="38" borderId="9" xfId="0" applyNumberFormat="1" applyFont="1" applyFill="1" applyBorder="1" applyAlignment="1">
      <x:alignment horizontal="center" wrapText="1"/>
    </x:xf>
    <x:xf numFmtId="0" fontId="28" fillId="38" borderId="10" xfId="0" applyNumberFormat="1" applyFont="1" applyFill="1" applyBorder="1" applyAlignment="1">
      <x:alignment horizontal="center" wrapText="1"/>
    </x:xf>
    <x:xf numFmtId="0" fontId="28" fillId="38" borderId="11" xfId="0" applyNumberFormat="1" applyFont="1" applyFill="1" applyBorder="1" applyAlignment="1">
      <x:alignment horizontal="center" wrapText="1"/>
    </x:xf>
    <x:xf numFmtId="0" fontId="28" fillId="38" borderId="9" xfId="0" applyNumberFormat="1" applyFont="1" applyFill="1" applyBorder="1" applyAlignment="1">
      <x:alignment horizontal="center" vertical="center" wrapText="1"/>
    </x:xf>
    <x:xf numFmtId="0" fontId="28" fillId="38" borderId="10" xfId="0" applyNumberFormat="1" applyFont="1" applyFill="1" applyBorder="1" applyAlignment="1">
      <x:alignment horizontal="center" vertical="center" wrapText="1"/>
    </x:xf>
    <x:xf numFmtId="0" fontId="28" fillId="38" borderId="11" xfId="0" applyNumberFormat="1" applyFont="1" applyFill="1" applyBorder="1" applyAlignment="1">
      <x:alignment horizontal="center" vertical="center" wrapText="1"/>
    </x:xf>
    <x:xf numFmtId="0" fontId="25" fillId="39" borderId="0" xfId="0" applyNumberFormat="1" applyFont="1" applyFill="1" applyBorder="1"/>
    <x:xf numFmtId="0" fontId="26" fillId="39" borderId="0" xfId="0" applyNumberFormat="1" applyFont="1" applyFill="1" applyBorder="1"/>
    <x:xf numFmtId="0" fontId="26" fillId="39" borderId="12" xfId="0" applyNumberFormat="1" applyFont="1" applyFill="1" applyBorder="1"/>
    <x:xf numFmtId="0" fontId="26" fillId="39" borderId="13" xfId="0" applyNumberFormat="1" applyFont="1" applyFill="1" applyBorder="1"/>
    <x:xf numFmtId="0" fontId="26" fillId="39" borderId="14" xfId="0" applyNumberFormat="1" applyFont="1" applyFill="1" applyBorder="1"/>
    <x:xf numFmtId="0" fontId="26" fillId="39" borderId="15" xfId="0" applyNumberFormat="1" applyFont="1" applyFill="1" applyBorder="1"/>
    <x:xf numFmtId="0" fontId="26" fillId="39" borderId="16" xfId="0" applyNumberFormat="1" applyFont="1" applyFill="1" applyBorder="1"/>
    <x:xf numFmtId="0" fontId="26" fillId="39" borderId="17" xfId="0" applyNumberFormat="1" applyFont="1" applyFill="1" applyBorder="1"/>
    <x:xf numFmtId="203" fontId="26" fillId="39" borderId="12" xfId="0" applyNumberFormat="1" applyFont="1" applyFill="1" applyBorder="1"/>
    <x:xf numFmtId="203" fontId="26" fillId="39" borderId="13" xfId="0" applyNumberFormat="1" applyFont="1" applyFill="1" applyBorder="1"/>
    <x:xf numFmtId="203" fontId="26" fillId="39" borderId="14" xfId="0" applyNumberFormat="1" applyFont="1" applyFill="1" applyBorder="1"/>
    <x:xf numFmtId="203" fontId="26" fillId="39" borderId="15" xfId="0" applyNumberFormat="1" applyFont="1" applyFill="1" applyBorder="1"/>
    <x:xf numFmtId="203" fontId="26" fillId="39" borderId="16" xfId="0" applyNumberFormat="1" applyFont="1" applyFill="1" applyBorder="1"/>
    <x:xf numFmtId="203" fontId="26" fillId="39" borderId="17" xfId="0" applyNumberFormat="1" applyFont="1" applyFill="1" applyBorder="1"/>
    <x:xf numFmtId="203" fontId="26" fillId="39" borderId="12" xfId="0" applyNumberFormat="1" applyFont="1" applyFill="1" applyBorder="1" applyAlignment="1">
      <x:alignment horizontal="center"/>
    </x:xf>
    <x:xf numFmtId="203" fontId="26" fillId="39" borderId="13" xfId="0" applyNumberFormat="1" applyFont="1" applyFill="1" applyBorder="1" applyAlignment="1">
      <x:alignment horizontal="center"/>
    </x:xf>
    <x:xf numFmtId="203" fontId="26" fillId="39" borderId="14" xfId="0" applyNumberFormat="1" applyFont="1" applyFill="1" applyBorder="1" applyAlignment="1">
      <x:alignment horizontal="center"/>
    </x:xf>
    <x:xf numFmtId="203" fontId="26" fillId="39" borderId="15" xfId="0" applyNumberFormat="1" applyFont="1" applyFill="1" applyBorder="1" applyAlignment="1">
      <x:alignment horizontal="center"/>
    </x:xf>
    <x:xf numFmtId="203" fontId="26" fillId="39" borderId="16" xfId="0" applyNumberFormat="1" applyFont="1" applyFill="1" applyBorder="1" applyAlignment="1">
      <x:alignment horizontal="center"/>
    </x:xf>
    <x:xf numFmtId="203" fontId="26" fillId="39" borderId="17" xfId="0" applyNumberFormat="1" applyFont="1" applyFill="1" applyBorder="1" applyAlignment="1">
      <x:alignment horizontal="center"/>
    </x:xf>
    <x:xf numFmtId="203" fontId="26" fillId="39" borderId="12" xfId="0" applyNumberFormat="1" applyFont="1" applyFill="1" applyBorder="1" applyAlignment="1">
      <x:alignment horizontal="center" vertical="center"/>
    </x:xf>
    <x:xf numFmtId="203" fontId="26" fillId="39" borderId="13" xfId="0" applyNumberFormat="1" applyFont="1" applyFill="1" applyBorder="1" applyAlignment="1">
      <x:alignment horizontal="center" vertical="center"/>
    </x:xf>
    <x:xf numFmtId="203" fontId="26" fillId="39" borderId="14" xfId="0" applyNumberFormat="1" applyFont="1" applyFill="1" applyBorder="1" applyAlignment="1">
      <x:alignment horizontal="center" vertical="center"/>
    </x:xf>
    <x:xf numFmtId="203" fontId="26" fillId="39" borderId="15" xfId="0" applyNumberFormat="1" applyFont="1" applyFill="1" applyBorder="1" applyAlignment="1">
      <x:alignment horizontal="center" vertical="center"/>
    </x:xf>
    <x:xf numFmtId="203" fontId="26" fillId="39" borderId="16" xfId="0" applyNumberFormat="1" applyFont="1" applyFill="1" applyBorder="1" applyAlignment="1">
      <x:alignment horizontal="center" vertical="center"/>
    </x:xf>
    <x:xf numFmtId="203" fontId="26" fillId="39" borderId="17" xfId="0" applyNumberFormat="1" applyFont="1" applyFill="1" applyBorder="1" applyAlignment="1">
      <x:alignment horizontal="center" vertical="center"/>
    </x:xf>
    <x:xf numFmtId="0" fontId="25" fillId="40" borderId="0" xfId="0" applyNumberFormat="1" applyFont="1" applyFill="1" applyBorder="1"/>
    <x:xf numFmtId="0" fontId="26" fillId="40" borderId="0" xfId="0" applyNumberFormat="1" applyFont="1" applyFill="1" applyBorder="1"/>
    <x:xf numFmtId="0" fontId="26" fillId="40" borderId="12" xfId="0" applyNumberFormat="1" applyFont="1" applyFill="1" applyBorder="1"/>
    <x:xf numFmtId="0" fontId="26" fillId="40" borderId="13" xfId="0" applyNumberFormat="1" applyFont="1" applyFill="1" applyBorder="1"/>
    <x:xf numFmtId="0" fontId="26" fillId="40" borderId="14" xfId="0" applyNumberFormat="1" applyFont="1" applyFill="1" applyBorder="1"/>
    <x:xf numFmtId="0" fontId="26" fillId="40" borderId="15" xfId="0" applyNumberFormat="1" applyFont="1" applyFill="1" applyBorder="1"/>
    <x:xf numFmtId="0" fontId="26" fillId="40" borderId="16" xfId="0" applyNumberFormat="1" applyFont="1" applyFill="1" applyBorder="1"/>
    <x:xf numFmtId="0" fontId="26" fillId="40" borderId="17" xfId="0" applyNumberFormat="1" applyFont="1" applyFill="1" applyBorder="1"/>
    <x:xf numFmtId="203" fontId="26" fillId="40" borderId="12" xfId="0" applyNumberFormat="1" applyFont="1" applyFill="1" applyBorder="1"/>
    <x:xf numFmtId="203" fontId="26" fillId="40" borderId="13" xfId="0" applyNumberFormat="1" applyFont="1" applyFill="1" applyBorder="1"/>
    <x:xf numFmtId="203" fontId="26" fillId="40" borderId="14" xfId="0" applyNumberFormat="1" applyFont="1" applyFill="1" applyBorder="1"/>
    <x:xf numFmtId="203" fontId="26" fillId="40" borderId="15" xfId="0" applyNumberFormat="1" applyFont="1" applyFill="1" applyBorder="1"/>
    <x:xf numFmtId="203" fontId="26" fillId="40" borderId="16" xfId="0" applyNumberFormat="1" applyFont="1" applyFill="1" applyBorder="1"/>
    <x:xf numFmtId="203" fontId="26" fillId="40" borderId="17" xfId="0" applyNumberFormat="1" applyFont="1" applyFill="1" applyBorder="1"/>
    <x:xf numFmtId="203" fontId="26" fillId="40" borderId="12" xfId="0" applyNumberFormat="1" applyFont="1" applyFill="1" applyBorder="1" applyAlignment="1">
      <x:alignment horizontal="center"/>
    </x:xf>
    <x:xf numFmtId="203" fontId="26" fillId="40" borderId="13" xfId="0" applyNumberFormat="1" applyFont="1" applyFill="1" applyBorder="1" applyAlignment="1">
      <x:alignment horizontal="center"/>
    </x:xf>
    <x:xf numFmtId="203" fontId="26" fillId="40" borderId="14" xfId="0" applyNumberFormat="1" applyFont="1" applyFill="1" applyBorder="1" applyAlignment="1">
      <x:alignment horizontal="center"/>
    </x:xf>
    <x:xf numFmtId="203" fontId="26" fillId="40" borderId="15" xfId="0" applyNumberFormat="1" applyFont="1" applyFill="1" applyBorder="1" applyAlignment="1">
      <x:alignment horizontal="center"/>
    </x:xf>
    <x:xf numFmtId="203" fontId="26" fillId="40" borderId="16" xfId="0" applyNumberFormat="1" applyFont="1" applyFill="1" applyBorder="1" applyAlignment="1">
      <x:alignment horizontal="center"/>
    </x:xf>
    <x:xf numFmtId="203" fontId="26" fillId="40" borderId="17" xfId="0" applyNumberFormat="1" applyFont="1" applyFill="1" applyBorder="1" applyAlignment="1">
      <x:alignment horizontal="center"/>
    </x:xf>
    <x:xf numFmtId="203" fontId="26" fillId="40" borderId="12" xfId="0" applyNumberFormat="1" applyFont="1" applyFill="1" applyBorder="1" applyAlignment="1">
      <x:alignment horizontal="center" vertical="center"/>
    </x:xf>
    <x:xf numFmtId="203" fontId="26" fillId="40" borderId="13" xfId="0" applyNumberFormat="1" applyFont="1" applyFill="1" applyBorder="1" applyAlignment="1">
      <x:alignment horizontal="center" vertical="center"/>
    </x:xf>
    <x:xf numFmtId="203" fontId="26" fillId="40" borderId="14" xfId="0" applyNumberFormat="1" applyFont="1" applyFill="1" applyBorder="1" applyAlignment="1">
      <x:alignment horizontal="center" vertical="center"/>
    </x:xf>
    <x:xf numFmtId="203" fontId="26" fillId="40" borderId="15" xfId="0" applyNumberFormat="1" applyFont="1" applyFill="1" applyBorder="1" applyAlignment="1">
      <x:alignment horizontal="center" vertical="center"/>
    </x:xf>
    <x:xf numFmtId="203" fontId="26" fillId="40" borderId="16" xfId="0" applyNumberFormat="1" applyFont="1" applyFill="1" applyBorder="1" applyAlignment="1">
      <x:alignment horizontal="center" vertical="center"/>
    </x:xf>
    <x:xf numFmtId="203" fontId="26" fillId="40" borderId="17" xfId="0" applyNumberFormat="1" applyFont="1" applyFill="1" applyBorder="1" applyAlignment="1">
      <x:alignment horizontal="center" vertical="center"/>
    </x:xf>
    <x:xf numFmtId="0" fontId="25" fillId="41" borderId="0" xfId="0" applyNumberFormat="1" applyFont="1" applyFill="1" applyBorder="1"/>
    <x:xf numFmtId="0" fontId="26" fillId="41" borderId="0" xfId="0" applyNumberFormat="1" applyFont="1" applyFill="1" applyBorder="1"/>
    <x:xf numFmtId="0" fontId="26" fillId="41" borderId="12" xfId="0" applyNumberFormat="1" applyFont="1" applyFill="1" applyBorder="1"/>
    <x:xf numFmtId="0" fontId="26" fillId="41" borderId="13" xfId="0" applyNumberFormat="1" applyFont="1" applyFill="1" applyBorder="1"/>
    <x:xf numFmtId="0" fontId="26" fillId="41" borderId="14" xfId="0" applyNumberFormat="1" applyFont="1" applyFill="1" applyBorder="1"/>
    <x:xf numFmtId="0" fontId="26" fillId="41" borderId="15" xfId="0" applyNumberFormat="1" applyFont="1" applyFill="1" applyBorder="1"/>
    <x:xf numFmtId="0" fontId="26" fillId="41" borderId="16" xfId="0" applyNumberFormat="1" applyFont="1" applyFill="1" applyBorder="1"/>
    <x:xf numFmtId="0" fontId="26" fillId="41" borderId="17" xfId="0" applyNumberFormat="1" applyFont="1" applyFill="1" applyBorder="1"/>
    <x:xf numFmtId="203" fontId="26" fillId="41" borderId="12" xfId="0" applyNumberFormat="1" applyFont="1" applyFill="1" applyBorder="1"/>
    <x:xf numFmtId="203" fontId="26" fillId="41" borderId="13" xfId="0" applyNumberFormat="1" applyFont="1" applyFill="1" applyBorder="1"/>
    <x:xf numFmtId="203" fontId="26" fillId="41" borderId="14" xfId="0" applyNumberFormat="1" applyFont="1" applyFill="1" applyBorder="1"/>
    <x:xf numFmtId="203" fontId="26" fillId="41" borderId="15" xfId="0" applyNumberFormat="1" applyFont="1" applyFill="1" applyBorder="1"/>
    <x:xf numFmtId="203" fontId="26" fillId="41" borderId="16" xfId="0" applyNumberFormat="1" applyFont="1" applyFill="1" applyBorder="1"/>
    <x:xf numFmtId="203" fontId="26" fillId="41" borderId="17" xfId="0" applyNumberFormat="1" applyFont="1" applyFill="1" applyBorder="1"/>
    <x:xf numFmtId="203" fontId="26" fillId="41" borderId="12" xfId="0" applyNumberFormat="1" applyFont="1" applyFill="1" applyBorder="1" applyAlignment="1">
      <x:alignment horizontal="center"/>
    </x:xf>
    <x:xf numFmtId="203" fontId="26" fillId="41" borderId="13" xfId="0" applyNumberFormat="1" applyFont="1" applyFill="1" applyBorder="1" applyAlignment="1">
      <x:alignment horizontal="center"/>
    </x:xf>
    <x:xf numFmtId="203" fontId="26" fillId="41" borderId="14" xfId="0" applyNumberFormat="1" applyFont="1" applyFill="1" applyBorder="1" applyAlignment="1">
      <x:alignment horizontal="center"/>
    </x:xf>
    <x:xf numFmtId="203" fontId="26" fillId="41" borderId="15" xfId="0" applyNumberFormat="1" applyFont="1" applyFill="1" applyBorder="1" applyAlignment="1">
      <x:alignment horizontal="center"/>
    </x:xf>
    <x:xf numFmtId="203" fontId="26" fillId="41" borderId="16" xfId="0" applyNumberFormat="1" applyFont="1" applyFill="1" applyBorder="1" applyAlignment="1">
      <x:alignment horizontal="center"/>
    </x:xf>
    <x:xf numFmtId="203" fontId="26" fillId="41" borderId="17" xfId="0" applyNumberFormat="1" applyFont="1" applyFill="1" applyBorder="1" applyAlignment="1">
      <x:alignment horizontal="center"/>
    </x:xf>
    <x:xf numFmtId="203" fontId="26" fillId="41" borderId="12" xfId="0" applyNumberFormat="1" applyFont="1" applyFill="1" applyBorder="1" applyAlignment="1">
      <x:alignment horizontal="center" vertical="center"/>
    </x:xf>
    <x:xf numFmtId="203" fontId="26" fillId="41" borderId="13" xfId="0" applyNumberFormat="1" applyFont="1" applyFill="1" applyBorder="1" applyAlignment="1">
      <x:alignment horizontal="center" vertical="center"/>
    </x:xf>
    <x:xf numFmtId="203" fontId="26" fillId="41" borderId="14" xfId="0" applyNumberFormat="1" applyFont="1" applyFill="1" applyBorder="1" applyAlignment="1">
      <x:alignment horizontal="center" vertical="center"/>
    </x:xf>
    <x:xf numFmtId="203" fontId="26" fillId="41" borderId="15" xfId="0" applyNumberFormat="1" applyFont="1" applyFill="1" applyBorder="1" applyAlignment="1">
      <x:alignment horizontal="center" vertical="center"/>
    </x:xf>
    <x:xf numFmtId="203" fontId="26" fillId="41" borderId="16" xfId="0" applyNumberFormat="1" applyFont="1" applyFill="1" applyBorder="1" applyAlignment="1">
      <x:alignment horizontal="center" vertical="center"/>
    </x:xf>
    <x:xf numFmtId="203" fontId="26" fillId="41" borderId="17" xfId="0" applyNumberFormat="1" applyFont="1" applyFill="1" applyBorder="1" applyAlignment="1">
      <x:alignment horizontal="center" vertical="center"/>
    </x:xf>
    <x:xf numFmtId="0" fontId="25" fillId="42" borderId="0" xfId="0" applyNumberFormat="1" applyFont="1" applyFill="1" applyBorder="1"/>
    <x:xf numFmtId="0" fontId="26" fillId="42" borderId="0" xfId="0" applyNumberFormat="1" applyFont="1" applyFill="1" applyBorder="1"/>
    <x:xf numFmtId="0" fontId="26" fillId="42" borderId="12" xfId="0" applyNumberFormat="1" applyFont="1" applyFill="1" applyBorder="1"/>
    <x:xf numFmtId="0" fontId="26" fillId="42" borderId="13" xfId="0" applyNumberFormat="1" applyFont="1" applyFill="1" applyBorder="1"/>
    <x:xf numFmtId="0" fontId="26" fillId="42" borderId="14" xfId="0" applyNumberFormat="1" applyFont="1" applyFill="1" applyBorder="1"/>
    <x:xf numFmtId="0" fontId="26" fillId="42" borderId="15" xfId="0" applyNumberFormat="1" applyFont="1" applyFill="1" applyBorder="1"/>
    <x:xf numFmtId="0" fontId="26" fillId="42" borderId="16" xfId="0" applyNumberFormat="1" applyFont="1" applyFill="1" applyBorder="1"/>
    <x:xf numFmtId="0" fontId="26" fillId="42" borderId="17" xfId="0" applyNumberFormat="1" applyFont="1" applyFill="1" applyBorder="1"/>
    <x:xf numFmtId="203" fontId="26" fillId="42" borderId="12" xfId="0" applyNumberFormat="1" applyFont="1" applyFill="1" applyBorder="1"/>
    <x:xf numFmtId="203" fontId="26" fillId="42" borderId="13" xfId="0" applyNumberFormat="1" applyFont="1" applyFill="1" applyBorder="1"/>
    <x:xf numFmtId="203" fontId="26" fillId="42" borderId="14" xfId="0" applyNumberFormat="1" applyFont="1" applyFill="1" applyBorder="1"/>
    <x:xf numFmtId="203" fontId="26" fillId="42" borderId="15" xfId="0" applyNumberFormat="1" applyFont="1" applyFill="1" applyBorder="1"/>
    <x:xf numFmtId="203" fontId="26" fillId="42" borderId="16" xfId="0" applyNumberFormat="1" applyFont="1" applyFill="1" applyBorder="1"/>
    <x:xf numFmtId="203" fontId="26" fillId="42" borderId="17" xfId="0" applyNumberFormat="1" applyFont="1" applyFill="1" applyBorder="1"/>
    <x:xf numFmtId="203" fontId="26" fillId="42" borderId="12" xfId="0" applyNumberFormat="1" applyFont="1" applyFill="1" applyBorder="1" applyAlignment="1">
      <x:alignment horizontal="center"/>
    </x:xf>
    <x:xf numFmtId="203" fontId="26" fillId="42" borderId="13" xfId="0" applyNumberFormat="1" applyFont="1" applyFill="1" applyBorder="1" applyAlignment="1">
      <x:alignment horizontal="center"/>
    </x:xf>
    <x:xf numFmtId="203" fontId="26" fillId="42" borderId="14" xfId="0" applyNumberFormat="1" applyFont="1" applyFill="1" applyBorder="1" applyAlignment="1">
      <x:alignment horizontal="center"/>
    </x:xf>
    <x:xf numFmtId="203" fontId="26" fillId="42" borderId="15" xfId="0" applyNumberFormat="1" applyFont="1" applyFill="1" applyBorder="1" applyAlignment="1">
      <x:alignment horizontal="center"/>
    </x:xf>
    <x:xf numFmtId="203" fontId="26" fillId="42" borderId="16" xfId="0" applyNumberFormat="1" applyFont="1" applyFill="1" applyBorder="1" applyAlignment="1">
      <x:alignment horizontal="center"/>
    </x:xf>
    <x:xf numFmtId="203" fontId="26" fillId="42" borderId="17" xfId="0" applyNumberFormat="1" applyFont="1" applyFill="1" applyBorder="1" applyAlignment="1">
      <x:alignment horizontal="center"/>
    </x:xf>
    <x:xf numFmtId="203" fontId="26" fillId="42" borderId="12" xfId="0" applyNumberFormat="1" applyFont="1" applyFill="1" applyBorder="1" applyAlignment="1">
      <x:alignment horizontal="center" vertical="center"/>
    </x:xf>
    <x:xf numFmtId="203" fontId="26" fillId="42" borderId="13" xfId="0" applyNumberFormat="1" applyFont="1" applyFill="1" applyBorder="1" applyAlignment="1">
      <x:alignment horizontal="center" vertical="center"/>
    </x:xf>
    <x:xf numFmtId="203" fontId="26" fillId="42" borderId="14" xfId="0" applyNumberFormat="1" applyFont="1" applyFill="1" applyBorder="1" applyAlignment="1">
      <x:alignment horizontal="center" vertical="center"/>
    </x:xf>
    <x:xf numFmtId="203" fontId="26" fillId="42" borderId="15" xfId="0" applyNumberFormat="1" applyFont="1" applyFill="1" applyBorder="1" applyAlignment="1">
      <x:alignment horizontal="center" vertical="center"/>
    </x:xf>
    <x:xf numFmtId="203" fontId="26" fillId="42" borderId="16" xfId="0" applyNumberFormat="1" applyFont="1" applyFill="1" applyBorder="1" applyAlignment="1">
      <x:alignment horizontal="center" vertical="center"/>
    </x:xf>
    <x:xf numFmtId="203" fontId="26" fillId="42" borderId="17" xfId="0" applyNumberFormat="1" applyFont="1" applyFill="1" applyBorder="1" applyAlignment="1">
      <x:alignment horizontal="center" vertical="center"/>
    </x:xf>
    <x:xf numFmtId="200" fontId="26" fillId="42" borderId="12" xfId="0" applyNumberFormat="1" applyFont="1" applyFill="1" applyBorder="1" applyAlignment="1">
      <x:alignment horizontal="center" vertical="center"/>
    </x:xf>
    <x:xf numFmtId="200" fontId="26" fillId="42" borderId="13" xfId="0" applyNumberFormat="1" applyFont="1" applyFill="1" applyBorder="1" applyAlignment="1">
      <x:alignment horizontal="center" vertical="center"/>
    </x:xf>
    <x:xf numFmtId="200" fontId="26" fillId="42" borderId="14" xfId="0" applyNumberFormat="1" applyFont="1" applyFill="1" applyBorder="1" applyAlignment="1">
      <x:alignment horizontal="center" vertical="center"/>
    </x:xf>
    <x:xf numFmtId="200" fontId="26" fillId="42" borderId="15" xfId="0" applyNumberFormat="1" applyFont="1" applyFill="1" applyBorder="1" applyAlignment="1">
      <x:alignment horizontal="center" vertical="center"/>
    </x:xf>
    <x:xf numFmtId="200" fontId="26" fillId="42" borderId="16" xfId="0" applyNumberFormat="1" applyFont="1" applyFill="1" applyBorder="1" applyAlignment="1">
      <x:alignment horizontal="center" vertical="center"/>
    </x:xf>
    <x:xf numFmtId="200" fontId="26" fillId="42" borderId="17" xfId="0" applyNumberFormat="1" applyFont="1" applyFill="1" applyBorder="1" applyAlignment="1">
      <x:alignment horizontal="center" vertical="center"/>
    </x:xf>
    <x:xf numFmtId="0" fontId="12" fillId="39" borderId="0" xfId="0" applyNumberFormat="1" applyFont="1" applyFill="1" applyBorder="1"/>
    <x:xf numFmtId="0" fontId="12" fillId="39" borderId="0" xfId="0" applyNumberFormat="1" applyFont="1" applyFill="1" applyBorder="1" applyAlignment="1">
      <x:alignment horizontal="center"/>
    </x:xf>
    <x:xf numFmtId="0" fontId="12" fillId="39" borderId="0" xfId="0" applyNumberFormat="1" applyFont="1" applyFill="1" applyBorder="1" applyAlignment="1">
      <x:alignment horizontal="center" vertical="center"/>
    </x:xf>
    <x:xf numFmtId="0" fontId="25" fillId="43" borderId="0" xfId="0" applyNumberFormat="1" applyFont="1" applyFill="1" applyBorder="1"/>
    <x:xf numFmtId="0" fontId="22" fillId="43" borderId="0" xfId="0" applyNumberFormat="1" applyFont="1" applyFill="1" applyBorder="1"/>
    <x:xf numFmtId="0" fontId="22" fillId="43" borderId="12" xfId="0" applyNumberFormat="1" applyFont="1" applyFill="1" applyBorder="1"/>
    <x:xf numFmtId="0" fontId="22" fillId="43" borderId="13" xfId="0" applyNumberFormat="1" applyFont="1" applyFill="1" applyBorder="1"/>
    <x:xf numFmtId="0" fontId="22" fillId="43" borderId="14" xfId="0" applyNumberFormat="1" applyFont="1" applyFill="1" applyBorder="1"/>
    <x:xf numFmtId="0" fontId="22" fillId="43" borderId="15" xfId="0" applyNumberFormat="1" applyFont="1" applyFill="1" applyBorder="1"/>
    <x:xf numFmtId="0" fontId="22" fillId="43" borderId="16" xfId="0" applyNumberFormat="1" applyFont="1" applyFill="1" applyBorder="1"/>
    <x:xf numFmtId="0" fontId="22" fillId="43" borderId="17" xfId="0" applyNumberFormat="1" applyFont="1" applyFill="1" applyBorder="1"/>
    <x:xf numFmtId="0" fontId="22" fillId="43" borderId="12" xfId="0" applyNumberFormat="1" applyFont="1" applyFill="1" applyBorder="1" applyAlignment="1">
      <x:alignment wrapText="1"/>
    </x:xf>
    <x:xf numFmtId="0" fontId="22" fillId="43" borderId="13" xfId="0" applyNumberFormat="1" applyFont="1" applyFill="1" applyBorder="1" applyAlignment="1">
      <x:alignment wrapText="1"/>
    </x:xf>
    <x:xf numFmtId="0" fontId="22" fillId="43" borderId="14" xfId="0" applyNumberFormat="1" applyFont="1" applyFill="1" applyBorder="1" applyAlignment="1">
      <x:alignment wrapText="1"/>
    </x:xf>
    <x:xf numFmtId="0" fontId="22" fillId="43" borderId="15" xfId="0" applyNumberFormat="1" applyFont="1" applyFill="1" applyBorder="1" applyAlignment="1">
      <x:alignment wrapText="1"/>
    </x:xf>
    <x:xf numFmtId="0" fontId="22" fillId="43" borderId="16" xfId="0" applyNumberFormat="1" applyFont="1" applyFill="1" applyBorder="1" applyAlignment="1">
      <x:alignment wrapText="1"/>
    </x:xf>
    <x:xf numFmtId="0" fontId="22" fillId="43" borderId="17" xfId="0" applyNumberFormat="1" applyFont="1" applyFill="1" applyBorder="1" applyAlignment="1">
      <x:alignment wrapText="1"/>
    </x:xf>
    <x:xf numFmtId="0" fontId="22" fillId="43" borderId="12" xfId="0" applyNumberFormat="1" applyFont="1" applyFill="1" applyBorder="1" applyAlignment="1">
      <x:alignment horizontal="center" wrapText="1"/>
    </x:xf>
    <x:xf numFmtId="0" fontId="22" fillId="43" borderId="13" xfId="0" applyNumberFormat="1" applyFont="1" applyFill="1" applyBorder="1" applyAlignment="1">
      <x:alignment horizontal="center" wrapText="1"/>
    </x:xf>
    <x:xf numFmtId="0" fontId="22" fillId="43" borderId="14" xfId="0" applyNumberFormat="1" applyFont="1" applyFill="1" applyBorder="1" applyAlignment="1">
      <x:alignment horizontal="center" wrapText="1"/>
    </x:xf>
    <x:xf numFmtId="0" fontId="22" fillId="43" borderId="15" xfId="0" applyNumberFormat="1" applyFont="1" applyFill="1" applyBorder="1" applyAlignment="1">
      <x:alignment horizontal="center" wrapText="1"/>
    </x:xf>
    <x:xf numFmtId="0" fontId="22" fillId="43" borderId="16" xfId="0" applyNumberFormat="1" applyFont="1" applyFill="1" applyBorder="1" applyAlignment="1">
      <x:alignment horizontal="center" wrapText="1"/>
    </x:xf>
    <x:xf numFmtId="0" fontId="22" fillId="43" borderId="17" xfId="0" applyNumberFormat="1" applyFont="1" applyFill="1" applyBorder="1" applyAlignment="1">
      <x:alignment horizontal="center" wrapText="1"/>
    </x:xf>
    <x:xf numFmtId="0" fontId="22" fillId="43" borderId="12" xfId="0" applyNumberFormat="1" applyFont="1" applyFill="1" applyBorder="1" applyAlignment="1">
      <x:alignment horizontal="center" vertical="center" wrapText="1"/>
    </x:xf>
    <x:xf numFmtId="0" fontId="22" fillId="43" borderId="13" xfId="0" applyNumberFormat="1" applyFont="1" applyFill="1" applyBorder="1" applyAlignment="1">
      <x:alignment horizontal="center" vertical="center" wrapText="1"/>
    </x:xf>
    <x:xf numFmtId="0" fontId="22" fillId="43" borderId="14" xfId="0" applyNumberFormat="1" applyFont="1" applyFill="1" applyBorder="1" applyAlignment="1">
      <x:alignment horizontal="center" vertical="center" wrapText="1"/>
    </x:xf>
    <x:xf numFmtId="0" fontId="22" fillId="43" borderId="15" xfId="0" applyNumberFormat="1" applyFont="1" applyFill="1" applyBorder="1" applyAlignment="1">
      <x:alignment horizontal="center" vertical="center" wrapText="1"/>
    </x:xf>
    <x:xf numFmtId="0" fontId="22" fillId="43" borderId="16" xfId="0" applyNumberFormat="1" applyFont="1" applyFill="1" applyBorder="1" applyAlignment="1">
      <x:alignment horizontal="center" vertical="center" wrapText="1"/>
    </x:xf>
    <x:xf numFmtId="0" fontId="22" fillId="43" borderId="17" xfId="0" applyNumberFormat="1" applyFont="1" applyFill="1" applyBorder="1" applyAlignment="1">
      <x:alignment horizontal="center" vertical="center" wrapText="1"/>
    </x:xf>
    <x:xf numFmtId="0" fontId="16" fillId="36" borderId="0" xfId="0" applyNumberFormat="1" applyFont="1" applyFill="1" applyBorder="1"/>
    <x:xf numFmtId="0" fontId="16" fillId="36" borderId="12" xfId="0" applyNumberFormat="1" applyFont="1" applyFill="1" applyBorder="1"/>
    <x:xf numFmtId="0" fontId="16" fillId="36" borderId="13" xfId="0" applyNumberFormat="1" applyFont="1" applyFill="1" applyBorder="1"/>
    <x:xf numFmtId="0" fontId="16" fillId="36" borderId="14" xfId="0" applyNumberFormat="1" applyFont="1" applyFill="1" applyBorder="1"/>
    <x:xf numFmtId="0" fontId="16" fillId="36" borderId="15" xfId="0" applyNumberFormat="1" applyFont="1" applyFill="1" applyBorder="1"/>
    <x:xf numFmtId="0" fontId="16" fillId="36" borderId="16" xfId="0" applyNumberFormat="1" applyFont="1" applyFill="1" applyBorder="1"/>
    <x:xf numFmtId="0" fontId="16" fillId="36" borderId="17" xfId="0" applyNumberFormat="1" applyFont="1" applyFill="1" applyBorder="1"/>
    <x:xf numFmtId="0" fontId="16" fillId="36" borderId="12" xfId="0" applyNumberFormat="1" applyFont="1" applyFill="1" applyBorder="1" applyAlignment="1">
      <x:alignment wrapText="1"/>
    </x:xf>
    <x:xf numFmtId="0" fontId="16" fillId="36" borderId="13" xfId="0" applyNumberFormat="1" applyFont="1" applyFill="1" applyBorder="1" applyAlignment="1">
      <x:alignment wrapText="1"/>
    </x:xf>
    <x:xf numFmtId="0" fontId="16" fillId="36" borderId="14" xfId="0" applyNumberFormat="1" applyFont="1" applyFill="1" applyBorder="1" applyAlignment="1">
      <x:alignment wrapText="1"/>
    </x:xf>
    <x:xf numFmtId="0" fontId="16" fillId="36" borderId="15" xfId="0" applyNumberFormat="1" applyFont="1" applyFill="1" applyBorder="1" applyAlignment="1">
      <x:alignment wrapText="1"/>
    </x:xf>
    <x:xf numFmtId="0" fontId="16" fillId="36" borderId="16" xfId="0" applyNumberFormat="1" applyFont="1" applyFill="1" applyBorder="1" applyAlignment="1">
      <x:alignment wrapText="1"/>
    </x:xf>
    <x:xf numFmtId="0" fontId="16" fillId="36" borderId="17" xfId="0" applyNumberFormat="1" applyFont="1" applyFill="1" applyBorder="1" applyAlignment="1">
      <x:alignment wrapText="1"/>
    </x:xf>
    <x:xf numFmtId="0" fontId="16" fillId="36" borderId="12" xfId="0" applyNumberFormat="1" applyFont="1" applyFill="1" applyBorder="1" applyAlignment="1">
      <x:alignment horizontal="center" wrapText="1"/>
    </x:xf>
    <x:xf numFmtId="0" fontId="16" fillId="36" borderId="13" xfId="0" applyNumberFormat="1" applyFont="1" applyFill="1" applyBorder="1" applyAlignment="1">
      <x:alignment horizontal="center" wrapText="1"/>
    </x:xf>
    <x:xf numFmtId="0" fontId="16" fillId="36" borderId="14" xfId="0" applyNumberFormat="1" applyFont="1" applyFill="1" applyBorder="1" applyAlignment="1">
      <x:alignment horizontal="center" wrapText="1"/>
    </x:xf>
    <x:xf numFmtId="0" fontId="16" fillId="36" borderId="15" xfId="0" applyNumberFormat="1" applyFont="1" applyFill="1" applyBorder="1" applyAlignment="1">
      <x:alignment horizontal="center" wrapText="1"/>
    </x:xf>
    <x:xf numFmtId="0" fontId="16" fillId="36" borderId="16" xfId="0" applyNumberFormat="1" applyFont="1" applyFill="1" applyBorder="1" applyAlignment="1">
      <x:alignment horizontal="center" wrapText="1"/>
    </x:xf>
    <x:xf numFmtId="0" fontId="16" fillId="36" borderId="17" xfId="0" applyNumberFormat="1" applyFont="1" applyFill="1" applyBorder="1" applyAlignment="1">
      <x:alignment horizontal="center" wrapText="1"/>
    </x:xf>
    <x:xf numFmtId="0" fontId="16" fillId="36" borderId="12" xfId="0" applyNumberFormat="1" applyFont="1" applyFill="1" applyBorder="1" applyAlignment="1">
      <x:alignment horizontal="center" vertical="center" wrapText="1"/>
    </x:xf>
    <x:xf numFmtId="0" fontId="16" fillId="36" borderId="13" xfId="0" applyNumberFormat="1" applyFont="1" applyFill="1" applyBorder="1" applyAlignment="1">
      <x:alignment horizontal="center" vertical="center" wrapText="1"/>
    </x:xf>
    <x:xf numFmtId="0" fontId="16" fillId="36" borderId="14" xfId="0" applyNumberFormat="1" applyFont="1" applyFill="1" applyBorder="1" applyAlignment="1">
      <x:alignment horizontal="center" vertical="center" wrapText="1"/>
    </x:xf>
    <x:xf numFmtId="0" fontId="16" fillId="36" borderId="15" xfId="0" applyNumberFormat="1" applyFont="1" applyFill="1" applyBorder="1" applyAlignment="1">
      <x:alignment horizontal="center" vertical="center" wrapText="1"/>
    </x:xf>
    <x:xf numFmtId="0" fontId="16" fillId="36" borderId="16" xfId="0" applyNumberFormat="1" applyFont="1" applyFill="1" applyBorder="1" applyAlignment="1">
      <x:alignment horizontal="center" vertical="center" wrapText="1"/>
    </x:xf>
    <x:xf numFmtId="0" fontId="16" fillId="36" borderId="17" xfId="0" applyNumberFormat="1" applyFont="1" applyFill="1" applyBorder="1" applyAlignment="1">
      <x:alignment horizontal="center" vertical="center" wrapText="1"/>
    </x:xf>
    <x:xf numFmtId="0" fontId="25" fillId="44" borderId="0" xfId="0" applyNumberFormat="1" applyFont="1" applyFill="1" applyBorder="1"/>
    <x:xf numFmtId="0" fontId="29" fillId="44" borderId="0" xfId="0" applyNumberFormat="1" applyFont="1" applyFill="1" applyBorder="1"/>
    <x:xf numFmtId="0" fontId="29" fillId="44" borderId="12" xfId="0" applyNumberFormat="1" applyFont="1" applyFill="1" applyBorder="1"/>
    <x:xf numFmtId="0" fontId="29" fillId="44" borderId="13" xfId="0" applyNumberFormat="1" applyFont="1" applyFill="1" applyBorder="1"/>
    <x:xf numFmtId="0" fontId="29" fillId="44" borderId="14" xfId="0" applyNumberFormat="1" applyFont="1" applyFill="1" applyBorder="1"/>
    <x:xf numFmtId="0" fontId="29" fillId="44" borderId="15" xfId="0" applyNumberFormat="1" applyFont="1" applyFill="1" applyBorder="1"/>
    <x:xf numFmtId="0" fontId="29" fillId="44" borderId="16" xfId="0" applyNumberFormat="1" applyFont="1" applyFill="1" applyBorder="1"/>
    <x:xf numFmtId="0" fontId="29" fillId="44" borderId="17" xfId="0" applyNumberFormat="1" applyFont="1" applyFill="1" applyBorder="1"/>
    <x:xf numFmtId="0" fontId="29" fillId="44" borderId="12" xfId="0" applyNumberFormat="1" applyFont="1" applyFill="1" applyBorder="1" applyAlignment="1">
      <x:alignment wrapText="1"/>
    </x:xf>
    <x:xf numFmtId="0" fontId="29" fillId="44" borderId="13" xfId="0" applyNumberFormat="1" applyFont="1" applyFill="1" applyBorder="1" applyAlignment="1">
      <x:alignment wrapText="1"/>
    </x:xf>
    <x:xf numFmtId="0" fontId="29" fillId="44" borderId="14" xfId="0" applyNumberFormat="1" applyFont="1" applyFill="1" applyBorder="1" applyAlignment="1">
      <x:alignment wrapText="1"/>
    </x:xf>
    <x:xf numFmtId="0" fontId="29" fillId="44" borderId="15" xfId="0" applyNumberFormat="1" applyFont="1" applyFill="1" applyBorder="1" applyAlignment="1">
      <x:alignment wrapText="1"/>
    </x:xf>
    <x:xf numFmtId="0" fontId="29" fillId="44" borderId="16" xfId="0" applyNumberFormat="1" applyFont="1" applyFill="1" applyBorder="1" applyAlignment="1">
      <x:alignment wrapText="1"/>
    </x:xf>
    <x:xf numFmtId="0" fontId="29" fillId="44" borderId="17" xfId="0" applyNumberFormat="1" applyFont="1" applyFill="1" applyBorder="1" applyAlignment="1">
      <x:alignment wrapText="1"/>
    </x:xf>
    <x:xf numFmtId="0" fontId="29" fillId="44" borderId="12" xfId="0" applyNumberFormat="1" applyFont="1" applyFill="1" applyBorder="1" applyAlignment="1">
      <x:alignment horizontal="center" wrapText="1"/>
    </x:xf>
    <x:xf numFmtId="0" fontId="29" fillId="44" borderId="13" xfId="0" applyNumberFormat="1" applyFont="1" applyFill="1" applyBorder="1" applyAlignment="1">
      <x:alignment horizontal="center" wrapText="1"/>
    </x:xf>
    <x:xf numFmtId="0" fontId="29" fillId="44" borderId="14" xfId="0" applyNumberFormat="1" applyFont="1" applyFill="1" applyBorder="1" applyAlignment="1">
      <x:alignment horizontal="center" wrapText="1"/>
    </x:xf>
    <x:xf numFmtId="0" fontId="29" fillId="44" borderId="15" xfId="0" applyNumberFormat="1" applyFont="1" applyFill="1" applyBorder="1" applyAlignment="1">
      <x:alignment horizontal="center" wrapText="1"/>
    </x:xf>
    <x:xf numFmtId="0" fontId="29" fillId="44" borderId="16" xfId="0" applyNumberFormat="1" applyFont="1" applyFill="1" applyBorder="1" applyAlignment="1">
      <x:alignment horizontal="center" wrapText="1"/>
    </x:xf>
    <x:xf numFmtId="0" fontId="29" fillId="44" borderId="17" xfId="0" applyNumberFormat="1" applyFont="1" applyFill="1" applyBorder="1" applyAlignment="1">
      <x:alignment horizontal="center" wrapText="1"/>
    </x:xf>
    <x:xf numFmtId="0" fontId="29" fillId="44" borderId="12" xfId="0" applyNumberFormat="1" applyFont="1" applyFill="1" applyBorder="1" applyAlignment="1">
      <x:alignment horizontal="center" vertical="center" wrapText="1"/>
    </x:xf>
    <x:xf numFmtId="0" fontId="29" fillId="44" borderId="13" xfId="0" applyNumberFormat="1" applyFont="1" applyFill="1" applyBorder="1" applyAlignment="1">
      <x:alignment horizontal="center" vertical="center" wrapText="1"/>
    </x:xf>
    <x:xf numFmtId="0" fontId="29" fillId="44" borderId="14" xfId="0" applyNumberFormat="1" applyFont="1" applyFill="1" applyBorder="1" applyAlignment="1">
      <x:alignment horizontal="center" vertical="center" wrapText="1"/>
    </x:xf>
    <x:xf numFmtId="0" fontId="29" fillId="44" borderId="15" xfId="0" applyNumberFormat="1" applyFont="1" applyFill="1" applyBorder="1" applyAlignment="1">
      <x:alignment horizontal="center" vertical="center" wrapText="1"/>
    </x:xf>
    <x:xf numFmtId="0" fontId="29" fillId="44" borderId="16" xfId="0" applyNumberFormat="1" applyFont="1" applyFill="1" applyBorder="1" applyAlignment="1">
      <x:alignment horizontal="center" vertical="center" wrapText="1"/>
    </x:xf>
    <x:xf numFmtId="0" fontId="29" fillId="44" borderId="17" xfId="0" applyNumberFormat="1" applyFont="1" applyFill="1" applyBorder="1" applyAlignment="1">
      <x:alignment horizontal="center" vertical="center" wrapText="1"/>
    </x:xf>
    <x:xf numFmtId="0" fontId="17" fillId="35" borderId="0" xfId="0" applyNumberFormat="1" applyFont="1" applyFill="1" applyBorder="1"/>
    <x:xf numFmtId="0" fontId="17" fillId="35" borderId="0" xfId="0" applyNumberFormat="1" applyFont="1" applyFill="1" applyBorder="1" applyAlignment="1">
      <x:alignment horizontal="center"/>
    </x:xf>
    <x:xf numFmtId="0" fontId="30" fillId="39" borderId="0" xfId="0" applyNumberFormat="1" applyFont="1" applyFill="1" applyBorder="1"/>
    <x:xf numFmtId="0" fontId="30" fillId="39" borderId="8" xfId="0" applyNumberFormat="1" applyFont="1" applyFill="1" applyBorder="1"/>
    <x:xf numFmtId="0" fontId="30" fillId="39" borderId="8" xfId="0" applyNumberFormat="1" applyFont="1" applyFill="1" applyBorder="1" applyAlignment="1">
      <x:alignment horizontal="center"/>
    </x:xf>
    <x:xf numFmtId="0" fontId="25" fillId="45" borderId="0" xfId="0" applyNumberFormat="1" applyFont="1" applyFill="1" applyBorder="1"/>
    <x:xf numFmtId="0" fontId="13" fillId="45" borderId="0" xfId="0" applyNumberFormat="1" applyFont="1" applyFill="1" applyBorder="1"/>
    <x:xf numFmtId="0" fontId="13" fillId="45" borderId="8" xfId="0" applyNumberFormat="1" applyFont="1" applyFill="1" applyBorder="1"/>
    <x:xf numFmtId="0" fontId="13" fillId="45" borderId="8" xfId="0" applyNumberFormat="1" applyFont="1" applyFill="1" applyBorder="1" applyAlignment="1">
      <x:alignment vertical="center"/>
    </x:xf>
    <x:xf numFmtId="204" fontId="25" fillId="45" borderId="0" xfId="0" applyNumberFormat="1" applyFont="1" applyFill="1" applyBorder="1"/>
    <x:xf numFmtId="204" fontId="13" fillId="45" borderId="0" xfId="0" applyNumberFormat="1" applyFont="1" applyFill="1" applyBorder="1"/>
    <x:xf numFmtId="204" fontId="13" fillId="45" borderId="8" xfId="0" applyNumberFormat="1" applyFont="1" applyFill="1" applyBorder="1"/>
    <x:xf numFmtId="204" fontId="13" fillId="45" borderId="8" xfId="0" applyNumberFormat="1" applyFont="1" applyFill="1" applyBorder="1" applyAlignment="1">
      <x:alignment vertical="center"/>
    </x:xf>
    <x:xf numFmtId="0" fontId="13" fillId="45" borderId="8" xfId="0" applyNumberFormat="1" applyFont="1" applyFill="1" applyBorder="1" applyAlignment="1">
      <x:alignment horizontal="center" vertical="center"/>
    </x:xf>
    <x:xf numFmtId="0" fontId="13" fillId="45" borderId="8" xfId="0" applyNumberFormat="1" applyFont="1" applyFill="1" applyBorder="1" applyAlignment="1">
      <x:alignment horizontal="right" vertical="center"/>
    </x:xf>
    <x:xf numFmtId="204" fontId="13" fillId="45" borderId="8" xfId="0" applyNumberFormat="1" applyFont="1" applyFill="1" applyBorder="1" applyAlignment="1">
      <x:alignment horizontal="right" vertical="center"/>
    </x:xf>
    <x:xf numFmtId="0" fontId="25" fillId="46" borderId="0" xfId="0" applyNumberFormat="1" applyFont="1" applyFill="1" applyBorder="1"/>
    <x:xf numFmtId="0" fontId="4" fillId="46" borderId="0" xfId="0" applyNumberFormat="1" applyFont="1" applyFill="1" applyBorder="1"/>
    <x:xf numFmtId="0" fontId="4" fillId="46" borderId="0" xfId="0" applyNumberFormat="1" applyFont="1" applyFill="1" applyBorder="1" applyAlignment="1">
      <x:alignment horizontal="center"/>
    </x:xf>
    <x:xf numFmtId="0" fontId="25" fillId="47" borderId="0" xfId="0" applyNumberFormat="1" applyFont="1" applyFill="1" applyBorder="1"/>
    <x:xf numFmtId="0" fontId="31" fillId="47" borderId="0" xfId="0" applyNumberFormat="1" applyFont="1" applyFill="1" applyBorder="1"/>
    <x:xf numFmtId="0" fontId="31" fillId="47" borderId="12" xfId="0" applyNumberFormat="1" applyFont="1" applyFill="1" applyBorder="1"/>
    <x:xf numFmtId="0" fontId="31" fillId="47" borderId="13" xfId="0" applyNumberFormat="1" applyFont="1" applyFill="1" applyBorder="1"/>
    <x:xf numFmtId="0" fontId="31" fillId="47" borderId="14" xfId="0" applyNumberFormat="1" applyFont="1" applyFill="1" applyBorder="1"/>
    <x:xf numFmtId="0" fontId="31" fillId="47" borderId="18" xfId="0" applyNumberFormat="1" applyFont="1" applyFill="1" applyBorder="1"/>
    <x:xf numFmtId="0" fontId="31" fillId="47" xfId="0" applyNumberFormat="1" applyFont="1" applyFill="1" applyBorder="0"/>
    <x:xf numFmtId="0" fontId="31" fillId="47" borderId="19" xfId="0" applyNumberFormat="1" applyFont="1" applyFill="1" applyBorder="1"/>
    <x:xf numFmtId="0" fontId="31" fillId="47" borderId="15" xfId="0" applyNumberFormat="1" applyFont="1" applyFill="1" applyBorder="1"/>
    <x:xf numFmtId="0" fontId="31" fillId="47" borderId="16" xfId="0" applyNumberFormat="1" applyFont="1" applyFill="1" applyBorder="1"/>
    <x:xf numFmtId="0" fontId="31" fillId="47" borderId="17" xfId="0" applyNumberFormat="1" applyFont="1" applyFill="1" applyBorder="1"/>
    <x:xf numFmtId="0" fontId="31" fillId="47" borderId="12" xfId="0" applyNumberFormat="1" applyFont="1" applyFill="1" applyBorder="1" applyAlignment="1">
      <x:alignment wrapText="1"/>
    </x:xf>
    <x:xf numFmtId="0" fontId="31" fillId="47" borderId="13" xfId="0" applyNumberFormat="1" applyFont="1" applyFill="1" applyBorder="1" applyAlignment="1">
      <x:alignment wrapText="1"/>
    </x:xf>
    <x:xf numFmtId="0" fontId="31" fillId="47" borderId="14" xfId="0" applyNumberFormat="1" applyFont="1" applyFill="1" applyBorder="1" applyAlignment="1">
      <x:alignment wrapText="1"/>
    </x:xf>
    <x:xf numFmtId="0" fontId="31" fillId="47" borderId="18" xfId="0" applyNumberFormat="1" applyFont="1" applyFill="1" applyBorder="1" applyAlignment="1">
      <x:alignment wrapText="1"/>
    </x:xf>
    <x:xf numFmtId="0" fontId="31" fillId="47" xfId="0" applyNumberFormat="1" applyFont="1" applyFill="1" applyBorder="0" applyAlignment="1">
      <x:alignment wrapText="1"/>
    </x:xf>
    <x:xf numFmtId="0" fontId="31" fillId="47" borderId="19" xfId="0" applyNumberFormat="1" applyFont="1" applyFill="1" applyBorder="1" applyAlignment="1">
      <x:alignment wrapText="1"/>
    </x:xf>
    <x:xf numFmtId="0" fontId="31" fillId="47" borderId="15" xfId="0" applyNumberFormat="1" applyFont="1" applyFill="1" applyBorder="1" applyAlignment="1">
      <x:alignment wrapText="1"/>
    </x:xf>
    <x:xf numFmtId="0" fontId="31" fillId="47" borderId="16" xfId="0" applyNumberFormat="1" applyFont="1" applyFill="1" applyBorder="1" applyAlignment="1">
      <x:alignment wrapText="1"/>
    </x:xf>
    <x:xf numFmtId="0" fontId="31" fillId="47" borderId="17" xfId="0" applyNumberFormat="1" applyFont="1" applyFill="1" applyBorder="1" applyAlignment="1">
      <x:alignment wrapText="1"/>
    </x:xf>
    <x:xf numFmtId="0" fontId="31" fillId="47" borderId="12" xfId="0" applyNumberFormat="1" applyFont="1" applyFill="1" applyBorder="1" applyAlignment="1">
      <x:alignment vertical="top" wrapText="1"/>
    </x:xf>
    <x:xf numFmtId="0" fontId="31" fillId="47" borderId="13" xfId="0" applyNumberFormat="1" applyFont="1" applyFill="1" applyBorder="1" applyAlignment="1">
      <x:alignment vertical="top" wrapText="1"/>
    </x:xf>
    <x:xf numFmtId="0" fontId="31" fillId="47" borderId="14" xfId="0" applyNumberFormat="1" applyFont="1" applyFill="1" applyBorder="1" applyAlignment="1">
      <x:alignment vertical="top" wrapText="1"/>
    </x:xf>
    <x:xf numFmtId="0" fontId="31" fillId="47" borderId="18" xfId="0" applyNumberFormat="1" applyFont="1" applyFill="1" applyBorder="1" applyAlignment="1">
      <x:alignment vertical="top" wrapText="1"/>
    </x:xf>
    <x:xf numFmtId="0" fontId="31" fillId="47" xfId="0" applyNumberFormat="1" applyFont="1" applyFill="1" applyBorder="0" applyAlignment="1">
      <x:alignment vertical="top" wrapText="1"/>
    </x:xf>
    <x:xf numFmtId="0" fontId="31" fillId="47" borderId="19" xfId="0" applyNumberFormat="1" applyFont="1" applyFill="1" applyBorder="1" applyAlignment="1">
      <x:alignment vertical="top" wrapText="1"/>
    </x:xf>
    <x:xf numFmtId="0" fontId="31" fillId="47" borderId="15" xfId="0" applyNumberFormat="1" applyFont="1" applyFill="1" applyBorder="1" applyAlignment="1">
      <x:alignment vertical="top" wrapText="1"/>
    </x:xf>
    <x:xf numFmtId="0" fontId="31" fillId="47" borderId="16" xfId="0" applyNumberFormat="1" applyFont="1" applyFill="1" applyBorder="1" applyAlignment="1">
      <x:alignment vertical="top" wrapText="1"/>
    </x:xf>
    <x:xf numFmtId="0" fontId="31" fillId="47" borderId="17" xfId="0" applyNumberFormat="1" applyFont="1" applyFill="1" applyBorder="1" applyAlignment="1">
      <x:alignment vertical="top" wrapText="1"/>
    </x:xf>
    <x:xf numFmtId="0" fontId="32" fillId="47" borderId="0" xfId="0" applyNumberFormat="1" applyFont="1" applyFill="1" applyBorder="1"/>
    <x:xf numFmtId="0" fontId="32" fillId="47" borderId="0" xfId="0" applyNumberFormat="1" applyFont="1" applyFill="1" applyBorder="1" applyAlignment="1">
      <x:alignment wrapText="1"/>
    </x:xf>
    <x:xf numFmtId="0" fontId="32" fillId="47" borderId="0" xfId="0" applyNumberFormat="1" applyFont="1" applyFill="1" applyBorder="1" applyAlignment="1">
      <x:alignment horizontal="center" wrapText="1"/>
    </x:xf>
    <x:xf numFmtId="0" fontId="32" fillId="4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color rgb="FF166534"/>
      </x:font>
      <x:fill>
        <x:patternFill>
          <x:bgColor rgb="FFE8F5EC"/>
        </x:patternFill>
      </x:fill>
    </x:dxf>
    <x:dxf>
      <x:font>
        <x:color rgb="FFA61B29"/>
      </x:font>
      <x:fill>
        <x:patternFill>
          <x:bgColor rgb="FFFDEBEC"/>
        </x:patternFill>
      </x:fill>
    </x:dxf>
    <x:dxf>
      <x:font>
        <x:color rgb="FF8A5A00"/>
      </x:font>
      <x:fill>
        <x:patternFill>
          <x:bgColor rgb="FFFFF4CC"/>
        </x:patternFill>
      </x:fill>
    </x:dxf>
    <x:dxf>
      <x:font>
        <x:color rgb="FF166534"/>
      </x:font>
      <x:fill>
        <x:patternFill>
          <x:bgColor rgb="FFE8F5EC"/>
        </x:patternFill>
      </x:fill>
    </x:dxf>
    <x:dxf>
      <x:font>
        <x:color rgb="FFA61B29"/>
      </x:font>
      <x:fill>
        <x:patternFill>
          <x:bgColor rgb="FFFDEBEC"/>
        </x:patternFill>
      </x:fill>
    </x:dxf>
    <x:dxf>
      <x:font>
        <x:b/>
        <x:color rgb="FF166534"/>
      </x:font>
      <x:fill>
        <x:patternFill>
          <x:bgColor rgb="FFE8F5EC"/>
        </x:patternFill>
      </x:fill>
    </x:dxf>
    <x:dxf>
      <x:font>
        <x:color rgb="FF8A5A00"/>
      </x:font>
      <x:fill>
        <x:patternFill>
          <x:bgColor rgb="FFFFF4CC"/>
        </x:patternFill>
      </x:fill>
    </x:dxf>
    <x:dxf>
      <x:font>
        <x:b/>
        <x:color rgb="FF157A5A"/>
      </x:font>
      <x:fill>
        <x:patternFill>
          <x:bgColor rgb="FFE5F6EF"/>
        </x:patternFill>
      </x:fill>
    </x:dxf>
    <x:dxf>
      <x:font>
        <x:b/>
        <x:color rgb="FFA65D00"/>
      </x:font>
      <x:fill>
        <x:patternFill>
          <x:bgColor rgb="FFFFF5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000af822244f4" /><Relationship Type="http://schemas.openxmlformats.org/officeDocument/2006/relationships/theme" Target="/xl/theme/theme1.xml" Id="R809fe69eeae3495d" /><Relationship Type="http://schemas.openxmlformats.org/officeDocument/2006/relationships/sharedStrings" Target="/xl/sharedStrings.xml" Id="R48d7d961bb094de7" /><Relationship Type="http://schemas.openxmlformats.org/officeDocument/2006/relationships/worksheet" Target="/xl/worksheets/sheet1.xml" Id="R2a1c0cdb9f8c45b4" /><Relationship Type="http://schemas.openxmlformats.org/officeDocument/2006/relationships/worksheet" Target="/xl/worksheets/sheet2.xml" Id="R5de175dda10947f8" /><Relationship Type="http://schemas.openxmlformats.org/officeDocument/2006/relationships/worksheet" Target="/xl/worksheets/sheet3.xml" Id="R3c950a999df740f6" /><Relationship Type="http://schemas.openxmlformats.org/officeDocument/2006/relationships/worksheet" Target="/xl/worksheets/sheet4.xml" Id="R19a806caaa15442c" /><Relationship Type="http://schemas.openxmlformats.org/officeDocument/2006/relationships/worksheet" Target="/xl/worksheets/sheet5.xml" Id="Rd7a186bd37664a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1b4ec7a44d43d7" /><Relationship Type="http://schemas.openxmlformats.org/officeDocument/2006/relationships/chart" Target="/xl/drawings/charts/chart2.xml" Id="Rb476cb21c70844bd" /><Relationship Type="http://schemas.openxmlformats.org/officeDocument/2006/relationships/chart" Target="/xl/drawings/charts/chart3.xml" Id="R26224abf435c4ec9" /><Relationship Type="http://schemas.openxmlformats.org/officeDocument/2006/relationships/chart" Target="/xl/drawings/charts/chart4.xml" Id="R1ec5a196207846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연도별 유행·트렌드 사건 수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사건 수</c:v>
          </c:tx>
          <c:spPr>
            <a:solidFill xmlns:a="http://schemas.openxmlformats.org/drawingml/2006/main">
              <a:srgbClr val="F4006D"/>
            </a:solidFill>
          </c:spPr>
          <c:marker>
            <c:symbol val="none"/>
          </c:marker>
          <c:cat>
            <c:strRef>
              <c:f>'00_안내'!$A$49:$A$66</c:f>
              <c:strCache>
                <c:ptCount val="0"/>
              </c:strCache>
            </c:strRef>
          </c:cat>
          <c:val>
            <c:numRef>
              <c:f>'00_안내'!$B$49:$B$66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3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대분류별 사건 수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전체 사건</c:v>
          </c:tx>
          <c:spPr>
            <a:solidFill xmlns:a="http://schemas.openxmlformats.org/drawingml/2006/main">
              <a:srgbClr val="163D8C"/>
            </a:solidFill>
          </c:spPr>
          <c:cat>
            <c:strRef>
              <c:f>'00_안내'!$D$49:$D$57</c:f>
              <c:strCache>
                <c:ptCount val="0"/>
              </c:strCache>
            </c:strRef>
          </c:cat>
          <c:val>
            <c:numRef>
              <c:f>'00_안내'!$E$49:$E$57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주가 연결 상태 — 70건 확인, 228건 조사 후보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doughnutChart>
        <c:ser>
          <c:idx val="0"/>
          <c:order val="0"/>
          <c:tx>
            <c:v>사건 수</c:v>
          </c:tx>
          <c:cat>
            <c:strRef>
              <c:f>'00_안내'!$I$49:$I$50</c:f>
              <c:strCache>
                <c:ptCount val="0"/>
              </c:strCache>
            </c:strRef>
          </c:cat>
          <c:val>
            <c:numRef>
              <c:f>'00_안내'!$J$49:$J$50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대분류별 주가 연결률 — 표본 크기 유의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주가 연결률</c:v>
          </c:tx>
          <c:spPr>
            <a:solidFill xmlns:a="http://schemas.openxmlformats.org/drawingml/2006/main">
              <a:srgbClr val="6C3BE8"/>
            </a:solidFill>
          </c:spPr>
          <c:cat>
            <c:strRef>
              <c:f>'00_안내'!$K$49:$K$57</c:f>
              <c:strCache>
                <c:ptCount val="0"/>
              </c:strCache>
            </c:strRef>
          </c:cat>
          <c:val>
            <c:numRef>
              <c:f>'00_안내'!$L$49:$L$57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1b4ec7a44d43d7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76cb21c70844bd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8</xdr:col>
      <xdr:colOff>0</xdr:colOff>
      <xdr:row>44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224abf435c4ec9"/>
        </a:graphicData>
      </a:graphic>
    </xdr:graphicFrame>
    <xdr:clientData/>
  </xdr:twoCellAnchor>
  <xdr:twoCellAnchor>
    <xdr:from>
      <xdr:col>8</xdr:col>
      <xdr:colOff>0</xdr:colOff>
      <xdr:row>29</xdr:row>
      <xdr:rowOff>0</xdr:rowOff>
    </xdr:from>
    <xdr:to>
      <xdr:col>16</xdr:col>
      <xdr:colOff>0</xdr:colOff>
      <xdr:row>44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c5a1962078468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endEventsTable" displayName="TrendEventsTable" ref="A5:L303" headerRowCount="1" totalsRowCount="0" totalsRowShown="0">
  <x:tableColumns count="12">
    <x:tableColumn id="1" name="이벤트ID"/>
    <x:tableColumn id="2" name="연도"/>
    <x:tableColumn id="3" name="생활·산업영역"/>
    <x:tableColumn id="4" name="유형"/>
    <x:tableColumn id="5" name="유행·트렌드·밈"/>
    <x:tableColumn id="6" name="왜 유행했나"/>
    <x:tableColumn id="7" name="주요 플랫폼·확산권역"/>
    <x:tableColumn id="8" name="확산 근거"/>
    <x:tableColumn id="9" name="주가 연결 상태"/>
    <x:tableColumn id="10" name="연결 종목 수"/>
    <x:tableColumn id="11" name="간단 시간 흐름"/>
    <x:tableColumn id="12" name="출처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sTable" displayName="SourcesTable" ref="A4:F136" headerRowCount="1" totalsRowCount="0" totalsRowShown="0">
  <x:tableColumns count="6">
    <x:tableColumn id="1" name="출처ID"/>
    <x:tableColumn id="2" name="발행처"/>
    <x:tableColumn id="3" name="제목·활용 내용"/>
    <x:tableColumn id="4" name="발행일"/>
    <x:tableColumn id="5" name="URL"/>
    <x:tableColumn id="6" name="유형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8cbb35c80f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d60b71aef041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3e72239bf7a43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2" hidden="0" customWidth="1"/>
  </x:cols>
  <x:sheetData>
    <x:row r="1" ht="38" customHeight="1">
      <x:c r="A1" s="484" t="str">
        <x:v>키움 트렌드 인사이트 — 데이터 한눈에 보기</x:v>
      </x:c>
      <x:c r="B1" s="484"/>
      <x:c r="C1" s="484"/>
      <x:c r="D1" s="484"/>
      <x:c r="E1" s="484"/>
      <x:c r="F1" s="484"/>
      <x:c r="G1" s="484"/>
      <x:c r="H1" s="484"/>
      <x:c r="I1" s="484"/>
      <x:c r="J1" s="484"/>
      <x:c r="K1" s="484"/>
      <x:c r="L1" s="484"/>
      <x:c r="M1" s="484"/>
      <x:c r="N1" s="484"/>
      <x:c r="O1" s="484"/>
      <x:c r="P1" s="484"/>
    </x:row>
    <x:row r="2" ht="26" customHeight="1">
      <x:c r="A2" s="488" t="str">
        <x:v>2009~2026년 비정치 인터넷·SNS 유행 298건을 연도·카테고리·주가 연결 상태로 요약했습니다. 유행은 매수 신호가 아니라 기업 조사의 출발점입니다.</x:v>
      </x:c>
      <x:c r="B2" s="488"/>
      <x:c r="C2" s="488"/>
      <x:c r="D2" s="488"/>
      <x:c r="E2" s="488"/>
      <x:c r="F2" s="488"/>
      <x:c r="G2" s="488"/>
      <x:c r="H2" s="488"/>
      <x:c r="I2" s="488"/>
      <x:c r="J2" s="488"/>
      <x:c r="K2" s="488"/>
      <x:c r="L2" s="488"/>
      <x:c r="M2" s="488"/>
      <x:c r="N2" s="488"/>
      <x:c r="O2" s="488"/>
      <x:c r="P2" s="488"/>
    </x:row>
    <x:row r="3">
      <x:c r="A3" s="194" t="str">
        <x:v>읽는 순서  ① 핵심 숫자 → ② 데이터가 말하는 세 가지 → ③ 연도·카테고리 분포 → ④ 주가 연결 정도</x:v>
      </x:c>
      <x:c r="B3" s="194"/>
      <x:c r="C3" s="194"/>
      <x:c r="D3" s="194"/>
      <x:c r="E3" s="194"/>
      <x:c r="F3" s="194"/>
      <x:c r="G3" s="194"/>
      <x:c r="H3" s="194"/>
      <x:c r="I3" s="194"/>
      <x:c r="J3" s="194"/>
      <x:c r="K3" s="194"/>
      <x:c r="L3" s="194"/>
      <x:c r="M3" s="194"/>
      <x:c r="N3" s="194"/>
      <x:c r="O3" s="194"/>
      <x:c r="P3" s="194"/>
    </x:row>
    <x:row r="4" ht="28" customHeight="1">
      <x:c r="A4" s="184"/>
      <x:c r="B4" s="184"/>
      <x:c r="C4" s="184"/>
      <x:c r="D4" s="184"/>
      <x:c r="E4" s="184"/>
      <x:c r="F4" s="184"/>
      <x:c r="G4" s="184"/>
      <x:c r="H4" s="184"/>
      <x:c r="I4" s="184"/>
      <x:c r="J4" s="184"/>
      <x:c r="K4" s="184"/>
      <x:c r="L4" s="184"/>
      <x:c r="M4" s="184"/>
      <x:c r="N4" s="184"/>
      <x:c r="O4" s="184"/>
      <x:c r="P4" s="184"/>
    </x:row>
    <x:row r="5" ht="24" customHeight="1">
      <x:c r="A5" s="496" t="str">
        <x:v>전체 유행 사건</x:v>
      </x:c>
      <x:c r="B5" s="497"/>
      <x:c r="C5" s="498"/>
      <x:c r="D5" s="496" t="str">
        <x:v>주가 반응 확인</x:v>
      </x:c>
      <x:c r="E5" s="497"/>
      <x:c r="F5" s="498"/>
      <x:c r="G5" s="496" t="str">
        <x:v>후속 조사 후보</x:v>
      </x:c>
      <x:c r="H5" s="497"/>
      <x:c r="I5" s="498"/>
      <x:c r="J5" s="496" t="str">
        <x:v>가장 큰 카테고리</x:v>
      </x:c>
      <x:c r="K5" s="497"/>
      <x:c r="L5" s="498"/>
      <x:c r="M5" s="496" t="str">
        <x:v>가장 많은 연도</x:v>
      </x:c>
      <x:c r="N5" s="497"/>
      <x:c r="O5" s="497"/>
      <x:c r="P5" s="498"/>
    </x:row>
    <x:row r="6" ht="28" customHeight="1">
      <x:c r="A6" s="519" t="n">
        <x:f>COUNTA('01_유행이벤트'!$A$6:$A$303)</x:f>
        <x:v>298</x:v>
      </x:c>
      <x:c r="B6" s="520"/>
      <x:c r="C6" s="521"/>
      <x:c r="D6" s="559" t="n">
        <x:f>COUNTIF('01_유행이벤트'!$I$6:$I$303,"주가 반응 기록 있음")</x:f>
        <x:v>70</x:v>
      </x:c>
      <x:c r="E6" s="560"/>
      <x:c r="F6" s="561"/>
      <x:c r="G6" s="585" t="n">
        <x:f>COUNTIF('01_유행이벤트'!$I$6:$I$303,"주가 미확인·연결 전")</x:f>
        <x:v>228</x:v>
      </x:c>
      <x:c r="H6" s="586"/>
      <x:c r="I6" s="587"/>
      <x:c r="J6" s="611" t="str">
        <x:f>INDEX($D$49:$D$57,MATCH(MAX($E$49:$E$57),$E$49:$E$57,0))</x:f>
        <x:v>콘텐츠·엔터</x:v>
      </x:c>
      <x:c r="K6" s="612"/>
      <x:c r="L6" s="613"/>
      <x:c r="M6" s="643" t="n">
        <x:f>INDEX($A$49:$A$66,MATCH(MAX($B$49:$B$66),$B$49:$B$66,0))</x:f>
        <x:v>2023</x:v>
      </x:c>
      <x:c r="N6" s="644"/>
      <x:c r="O6" s="644"/>
      <x:c r="P6" s="645"/>
    </x:row>
    <x:row r="7" ht="28" customHeight="1">
      <x:c r="A7" s="522"/>
      <x:c r="B7" s="523"/>
      <x:c r="C7" s="524"/>
      <x:c r="D7" s="562"/>
      <x:c r="E7" s="563"/>
      <x:c r="F7" s="564"/>
      <x:c r="G7" s="588"/>
      <x:c r="H7" s="589"/>
      <x:c r="I7" s="590"/>
      <x:c r="J7" s="614"/>
      <x:c r="K7" s="615"/>
      <x:c r="L7" s="616"/>
      <x:c r="M7" s="646"/>
      <x:c r="N7" s="647"/>
      <x:c r="O7" s="647"/>
      <x:c r="P7" s="648"/>
    </x:row>
    <x:row r="8" ht="24" customHeight="1">
      <x:c r="A8" s="536" t="str">
        <x:f>"2009~2026 · 출처 "&amp;COUNTA('03_출처'!$A$5:$A$136)&amp;"개"</x:f>
        <x:v>2009~2026 · 출처 132개</x:v>
      </x:c>
      <x:c r="B8" s="537"/>
      <x:c r="C8" s="538"/>
      <x:c r="D8" s="536" t="str">
        <x:f>"전체의 "&amp;TEXT(D6/A6,"0.0%")</x:f>
        <x:v>전체의 23.5%</x:v>
      </x:c>
      <x:c r="E8" s="537"/>
      <x:c r="F8" s="538"/>
      <x:c r="G8" s="536" t="str">
        <x:f>"전체의 "&amp;TEXT(G6/A6,"0.0%")</x:f>
        <x:v>전체의 76.5%</x:v>
      </x:c>
      <x:c r="H8" s="537"/>
      <x:c r="I8" s="538"/>
      <x:c r="J8" s="536" t="str">
        <x:f>MAX($E$49:$E$57)&amp;"건 · "&amp;TEXT(MAX($E$49:$E$57)/A6,"0.0%")</x:f>
        <x:v>89건 · 29.9%</x:v>
      </x:c>
      <x:c r="K8" s="537"/>
      <x:c r="L8" s="538"/>
      <x:c r="M8" s="536" t="str">
        <x:f>MAX($B$49:$B$66)&amp;"건 · 2026년은 진행 중"</x:f>
        <x:v>27건 · 2026년은 진행 중</x:v>
      </x:c>
      <x:c r="N8" s="537"/>
      <x:c r="O8" s="537"/>
      <x:c r="P8" s="538"/>
    </x:row>
    <x:row r="9" ht="30" customHeight="1">
      <x:c r="A9" s="184"/>
      <x:c r="B9" s="184"/>
      <x:c r="C9" s="184"/>
      <x:c r="D9" s="184"/>
      <x:c r="E9" s="184"/>
      <x:c r="F9" s="184"/>
      <x:c r="G9" s="184"/>
      <x:c r="H9" s="184"/>
      <x:c r="I9" s="184"/>
      <x:c r="J9" s="184"/>
      <x:c r="K9" s="184"/>
      <x:c r="L9" s="184"/>
      <x:c r="M9" s="184"/>
      <x:c r="N9" s="184"/>
      <x:c r="O9" s="184"/>
      <x:c r="P9" s="184"/>
    </x:row>
    <x:row r="10" ht="30" customHeight="1">
      <x:c r="A10" s="651" t="str">
        <x:v>데이터가 말하는 세 가지</x:v>
      </x:c>
      <x:c r="B10" s="651"/>
      <x:c r="C10" s="651"/>
      <x:c r="D10" s="651"/>
      <x:c r="E10" s="651"/>
      <x:c r="F10" s="651"/>
      <x:c r="G10" s="651"/>
      <x:c r="H10" s="651"/>
      <x:c r="I10" s="651"/>
      <x:c r="J10" s="651"/>
      <x:c r="K10" s="651"/>
      <x:c r="L10" s="651"/>
      <x:c r="M10" s="651"/>
      <x:c r="N10" s="651"/>
      <x:c r="O10" s="651"/>
      <x:c r="P10" s="651"/>
    </x:row>
    <x:row r="11" ht="30" customHeight="1">
      <x:c r="A11" s="672" t="str">
        <x:f>"① 콘텐츠·엔터 "&amp;E49&amp;"건 + 식품·음료 "&amp;E50&amp;"건 = 전체 "&amp;TEXT((E49+E50)/A6,"0.0%")</x:f>
        <x:v>① 콘텐츠·엔터 89건 + 식품·음료 76건 = 전체 55.4%</x:v>
      </x:c>
      <x:c r="B11" s="673"/>
      <x:c r="C11" s="673"/>
      <x:c r="D11" s="673"/>
      <x:c r="E11" s="674"/>
      <x:c r="F11" s="697" t="str">
        <x:f>"② 주가 반응 확인 "&amp;D6&amp;"건보다 조사 대기 "&amp;G6&amp;"건이 "&amp;TEXT(G6/D6,"0.0x")&amp;" 많음"</x:f>
        <x:v>② 주가 반응 확인 70건보다 조사 대기 228건이 3.3x 많음</x:v>
      </x:c>
      <x:c r="G11" s="698"/>
      <x:c r="H11" s="698"/>
      <x:c r="I11" s="698"/>
      <x:c r="J11" s="699"/>
      <x:c r="K11" s="723" t="str">
        <x:f>"③ 최다 기록 연도 "&amp;M6&amp;"년 "&amp;MAX($B$49:$B$66)&amp;"건 · 최근 기록 집중"</x:f>
        <x:v>③ 최다 기록 연도 2023년 27건 · 최근 기록 집중</x:v>
      </x:c>
      <x:c r="L11" s="724"/>
      <x:c r="M11" s="724"/>
      <x:c r="N11" s="724"/>
      <x:c r="O11" s="724"/>
      <x:c r="P11" s="725"/>
    </x:row>
    <x:row r="12" ht="30" customHeight="1">
      <x:c r="A12" s="675"/>
      <x:c r="B12" s="676"/>
      <x:c r="C12" s="676"/>
      <x:c r="D12" s="676"/>
      <x:c r="E12" s="677"/>
      <x:c r="F12" s="700"/>
      <x:c r="G12" s="701"/>
      <x:c r="H12" s="701"/>
      <x:c r="I12" s="701"/>
      <x:c r="J12" s="702"/>
      <x:c r="K12" s="726"/>
      <x:c r="L12" s="727"/>
      <x:c r="M12" s="727"/>
      <x:c r="N12" s="727"/>
      <x:c r="O12" s="727"/>
      <x:c r="P12" s="728"/>
    </x:row>
    <x:row r="13">
      <x:c r="A13" s="184"/>
      <x:c r="B13" s="184"/>
      <x:c r="C13" s="184"/>
      <x:c r="D13" s="184"/>
      <x:c r="E13" s="184"/>
      <x:c r="F13" s="184"/>
      <x:c r="G13" s="184"/>
      <x:c r="H13" s="184"/>
      <x:c r="I13" s="184"/>
      <x:c r="J13" s="184"/>
      <x:c r="K13" s="184"/>
      <x:c r="L13" s="184"/>
      <x:c r="M13" s="184"/>
      <x:c r="N13" s="184"/>
      <x:c r="O13" s="184"/>
      <x:c r="P13" s="184"/>
    </x:row>
    <x:row r="14" ht="34" customHeight="1">
      <x:c r="A14" s="184"/>
      <x:c r="B14" s="184"/>
      <x:c r="C14" s="184"/>
      <x:c r="D14" s="184"/>
      <x:c r="E14" s="184"/>
      <x:c r="F14" s="184"/>
      <x:c r="G14" s="184"/>
      <x:c r="H14" s="184"/>
      <x:c r="I14" s="184"/>
      <x:c r="J14" s="184"/>
      <x:c r="K14" s="184"/>
      <x:c r="L14" s="184"/>
      <x:c r="M14" s="184"/>
      <x:c r="N14" s="184"/>
      <x:c r="O14" s="184"/>
      <x:c r="P14" s="184"/>
    </x:row>
    <x:row r="15">
      <x:c r="A15" s="184"/>
      <x:c r="B15" s="184"/>
      <x:c r="C15" s="184"/>
      <x:c r="D15" s="184"/>
      <x:c r="E15" s="184"/>
      <x:c r="F15" s="184"/>
      <x:c r="G15" s="184"/>
      <x:c r="H15" s="184"/>
      <x:c r="I15" s="184"/>
      <x:c r="J15" s="184"/>
      <x:c r="K15" s="184"/>
      <x:c r="L15" s="184"/>
      <x:c r="M15" s="184"/>
      <x:c r="N15" s="184"/>
      <x:c r="O15" s="184"/>
      <x:c r="P15" s="184"/>
    </x:row>
    <x:row r="16" ht="28" customHeight="1">
      <x:c r="A16" s="184"/>
      <x:c r="B16" s="184"/>
      <x:c r="C16" s="184"/>
      <x:c r="D16" s="184"/>
      <x:c r="E16" s="184"/>
      <x:c r="F16" s="184"/>
      <x:c r="G16" s="184"/>
      <x:c r="H16" s="184"/>
      <x:c r="I16" s="184"/>
      <x:c r="J16" s="184"/>
      <x:c r="K16" s="184"/>
      <x:c r="L16" s="184"/>
      <x:c r="M16" s="184"/>
      <x:c r="N16" s="184"/>
      <x:c r="O16" s="184"/>
      <x:c r="P16" s="184"/>
    </x:row>
    <x:row r="17" ht="28" customHeight="1">
      <x:c r="A17" s="184"/>
      <x:c r="B17" s="184"/>
      <x:c r="C17" s="184"/>
      <x:c r="D17" s="184"/>
      <x:c r="E17" s="184"/>
      <x:c r="F17" s="184"/>
      <x:c r="G17" s="184"/>
      <x:c r="H17" s="184"/>
      <x:c r="I17" s="184"/>
      <x:c r="J17" s="184"/>
      <x:c r="K17" s="184"/>
      <x:c r="L17" s="184"/>
      <x:c r="M17" s="184"/>
      <x:c r="N17" s="184"/>
      <x:c r="O17" s="184"/>
      <x:c r="P17" s="184"/>
    </x:row>
    <x:row r="18">
      <x:c r="A18" s="184"/>
      <x:c r="B18" s="184"/>
      <x:c r="C18" s="184"/>
      <x:c r="D18" s="184"/>
      <x:c r="E18" s="184"/>
      <x:c r="F18" s="184"/>
      <x:c r="G18" s="184"/>
      <x:c r="H18" s="184"/>
      <x:c r="I18" s="184"/>
      <x:c r="J18" s="184"/>
      <x:c r="K18" s="184"/>
      <x:c r="L18" s="184"/>
      <x:c r="M18" s="184"/>
      <x:c r="N18" s="184"/>
      <x:c r="O18" s="184"/>
      <x:c r="P18" s="184"/>
    </x:row>
    <x:row r="19">
      <x:c r="A19" s="184"/>
      <x:c r="B19" s="184"/>
      <x:c r="C19" s="184"/>
      <x:c r="D19" s="184"/>
      <x:c r="E19" s="184"/>
      <x:c r="F19" s="184"/>
      <x:c r="G19" s="184"/>
      <x:c r="H19" s="184"/>
      <x:c r="I19" s="184"/>
      <x:c r="J19" s="184"/>
      <x:c r="K19" s="184"/>
      <x:c r="L19" s="184"/>
      <x:c r="M19" s="184"/>
      <x:c r="N19" s="184"/>
      <x:c r="O19" s="184"/>
      <x:c r="P19" s="184"/>
    </x:row>
    <x:row r="20">
      <x:c r="A20" s="184"/>
      <x:c r="B20" s="184"/>
      <x:c r="C20" s="184"/>
      <x:c r="D20" s="184"/>
      <x:c r="E20" s="184"/>
      <x:c r="F20" s="184"/>
      <x:c r="G20" s="184"/>
      <x:c r="H20" s="184"/>
      <x:c r="I20" s="184"/>
      <x:c r="J20" s="184"/>
      <x:c r="K20" s="184"/>
      <x:c r="L20" s="184"/>
      <x:c r="M20" s="184"/>
      <x:c r="N20" s="184"/>
      <x:c r="O20" s="184"/>
      <x:c r="P20" s="184"/>
    </x:row>
    <x:row r="21">
      <x:c r="A21" s="184"/>
      <x:c r="B21" s="184"/>
      <x:c r="C21" s="184"/>
      <x:c r="D21" s="184"/>
      <x:c r="E21" s="184"/>
      <x:c r="F21" s="184"/>
      <x:c r="G21" s="184"/>
      <x:c r="H21" s="184"/>
      <x:c r="I21" s="184"/>
      <x:c r="J21" s="184"/>
      <x:c r="K21" s="184"/>
      <x:c r="L21" s="184"/>
      <x:c r="M21" s="184"/>
      <x:c r="N21" s="184"/>
      <x:c r="O21" s="184"/>
      <x:c r="P21" s="184"/>
    </x:row>
    <x:row r="22" ht="34" customHeight="1">
      <x:c r="A22" s="184"/>
      <x:c r="B22" s="184"/>
      <x:c r="C22" s="184"/>
      <x:c r="D22" s="184"/>
      <x:c r="E22" s="184"/>
      <x:c r="F22" s="184"/>
      <x:c r="G22" s="184"/>
      <x:c r="H22" s="184"/>
      <x:c r="I22" s="184"/>
      <x:c r="J22" s="184"/>
      <x:c r="K22" s="184"/>
      <x:c r="L22" s="184"/>
      <x:c r="M22" s="184"/>
      <x:c r="N22" s="184"/>
      <x:c r="O22" s="184"/>
      <x:c r="P22" s="184"/>
    </x:row>
    <x:row r="23">
      <x:c r="A23" s="184"/>
      <x:c r="B23" s="184"/>
      <x:c r="C23" s="184"/>
      <x:c r="D23" s="184"/>
      <x:c r="E23" s="184"/>
      <x:c r="F23" s="184"/>
      <x:c r="G23" s="184"/>
      <x:c r="H23" s="184"/>
      <x:c r="I23" s="184"/>
      <x:c r="J23" s="184"/>
      <x:c r="K23" s="184"/>
      <x:c r="L23" s="184"/>
      <x:c r="M23" s="184"/>
      <x:c r="N23" s="184"/>
      <x:c r="O23" s="184"/>
      <x:c r="P23" s="184"/>
    </x:row>
    <x:row r="24">
      <x:c r="A24" s="184"/>
      <x:c r="B24" s="184"/>
      <x:c r="C24" s="184"/>
      <x:c r="D24" s="184"/>
      <x:c r="E24" s="184"/>
      <x:c r="F24" s="184"/>
      <x:c r="G24" s="184"/>
      <x:c r="H24" s="184"/>
      <x:c r="I24" s="184"/>
      <x:c r="J24" s="184"/>
      <x:c r="K24" s="184"/>
      <x:c r="L24" s="184"/>
      <x:c r="M24" s="184"/>
      <x:c r="N24" s="184"/>
      <x:c r="O24" s="184"/>
      <x:c r="P24" s="184"/>
    </x:row>
    <x:row r="25">
      <x:c r="A25" s="184"/>
      <x:c r="B25" s="184"/>
      <x:c r="C25" s="184"/>
      <x:c r="D25" s="184"/>
      <x:c r="E25" s="184"/>
      <x:c r="F25" s="184"/>
      <x:c r="G25" s="184"/>
      <x:c r="H25" s="184"/>
      <x:c r="I25" s="184"/>
      <x:c r="J25" s="184"/>
      <x:c r="K25" s="184"/>
      <x:c r="L25" s="184"/>
      <x:c r="M25" s="184"/>
      <x:c r="N25" s="184"/>
      <x:c r="O25" s="184"/>
      <x:c r="P25" s="184"/>
    </x:row>
    <x:row r="26">
      <x:c r="A26" s="184"/>
      <x:c r="B26" s="184"/>
      <x:c r="C26" s="184"/>
      <x:c r="D26" s="184"/>
      <x:c r="E26" s="184"/>
      <x:c r="F26" s="184"/>
      <x:c r="G26" s="184"/>
      <x:c r="H26" s="184"/>
      <x:c r="I26" s="184"/>
      <x:c r="J26" s="184"/>
      <x:c r="K26" s="184"/>
      <x:c r="L26" s="184"/>
      <x:c r="M26" s="184"/>
      <x:c r="N26" s="184"/>
      <x:c r="O26" s="184"/>
      <x:c r="P26" s="184"/>
    </x:row>
    <x:row r="27">
      <x:c r="A27" s="184"/>
      <x:c r="B27" s="184"/>
      <x:c r="C27" s="184"/>
      <x:c r="D27" s="184"/>
      <x:c r="E27" s="184"/>
      <x:c r="F27" s="184"/>
      <x:c r="G27" s="184"/>
      <x:c r="H27" s="184"/>
      <x:c r="I27" s="184"/>
      <x:c r="J27" s="184"/>
      <x:c r="K27" s="184"/>
      <x:c r="L27" s="184"/>
      <x:c r="M27" s="184"/>
      <x:c r="N27" s="184"/>
      <x:c r="O27" s="184"/>
      <x:c r="P27" s="184"/>
    </x:row>
    <x:row r="28">
      <x:c r="A28" s="184"/>
      <x:c r="B28" s="184"/>
      <x:c r="C28" s="184"/>
      <x:c r="D28" s="184"/>
      <x:c r="E28" s="184"/>
      <x:c r="F28" s="184"/>
      <x:c r="G28" s="184"/>
      <x:c r="H28" s="184"/>
      <x:c r="I28" s="184"/>
      <x:c r="J28" s="184"/>
      <x:c r="K28" s="184"/>
      <x:c r="L28" s="184"/>
      <x:c r="M28" s="184"/>
      <x:c r="N28" s="184"/>
      <x:c r="O28" s="184"/>
      <x:c r="P28" s="184"/>
    </x:row>
    <x:row r="29">
      <x:c r="A29" s="184"/>
      <x:c r="B29" s="184"/>
      <x:c r="C29" s="184"/>
      <x:c r="D29" s="184"/>
      <x:c r="E29" s="184"/>
      <x:c r="F29" s="184"/>
      <x:c r="G29" s="184"/>
      <x:c r="H29" s="184"/>
      <x:c r="I29" s="184"/>
      <x:c r="J29" s="184"/>
      <x:c r="K29" s="184"/>
      <x:c r="L29" s="184"/>
      <x:c r="M29" s="184"/>
      <x:c r="N29" s="184"/>
      <x:c r="O29" s="184"/>
      <x:c r="P29" s="184"/>
    </x:row>
    <x:row r="30">
      <x:c r="A30" s="184"/>
      <x:c r="B30" s="184"/>
      <x:c r="C30" s="184"/>
      <x:c r="D30" s="184"/>
      <x:c r="E30" s="184"/>
      <x:c r="F30" s="184"/>
      <x:c r="G30" s="184"/>
      <x:c r="H30" s="184"/>
      <x:c r="I30" s="184"/>
      <x:c r="J30" s="184"/>
      <x:c r="K30" s="184"/>
      <x:c r="L30" s="184"/>
      <x:c r="M30" s="184"/>
      <x:c r="N30" s="184"/>
      <x:c r="O30" s="184"/>
      <x:c r="P30" s="184"/>
    </x:row>
    <x:row r="31">
      <x:c r="A31" s="184"/>
      <x:c r="B31" s="184"/>
      <x:c r="C31" s="184"/>
      <x:c r="D31" s="184"/>
      <x:c r="E31" s="184"/>
      <x:c r="F31" s="184"/>
      <x:c r="G31" s="184"/>
      <x:c r="H31" s="184"/>
      <x:c r="I31" s="184"/>
      <x:c r="J31" s="184"/>
      <x:c r="K31" s="184"/>
      <x:c r="L31" s="184"/>
      <x:c r="M31" s="184"/>
      <x:c r="N31" s="184"/>
      <x:c r="O31" s="184"/>
      <x:c r="P31" s="184"/>
    </x:row>
    <x:row r="32">
      <x:c r="A32" s="184"/>
      <x:c r="B32" s="184"/>
      <x:c r="C32" s="184"/>
      <x:c r="D32" s="184"/>
      <x:c r="E32" s="184"/>
      <x:c r="F32" s="184"/>
      <x:c r="G32" s="184"/>
      <x:c r="H32" s="184"/>
      <x:c r="I32" s="184"/>
      <x:c r="J32" s="184"/>
      <x:c r="K32" s="184"/>
      <x:c r="L32" s="184"/>
      <x:c r="M32" s="184"/>
      <x:c r="N32" s="184"/>
      <x:c r="O32" s="184"/>
      <x:c r="P32" s="184"/>
    </x:row>
    <x:row r="33">
      <x:c r="A33" s="184"/>
      <x:c r="B33" s="184"/>
      <x:c r="C33" s="184"/>
      <x:c r="D33" s="184"/>
      <x:c r="E33" s="184"/>
      <x:c r="F33" s="184"/>
      <x:c r="G33" s="184"/>
      <x:c r="H33" s="184"/>
      <x:c r="I33" s="184"/>
      <x:c r="J33" s="184"/>
      <x:c r="K33" s="184"/>
      <x:c r="L33" s="184"/>
      <x:c r="M33" s="184"/>
      <x:c r="N33" s="184"/>
      <x:c r="O33" s="184"/>
      <x:c r="P33" s="184"/>
    </x:row>
    <x:row r="34">
      <x:c r="A34" s="184"/>
      <x:c r="B34" s="184"/>
      <x:c r="C34" s="184"/>
      <x:c r="D34" s="184"/>
      <x:c r="E34" s="184"/>
      <x:c r="F34" s="184"/>
      <x:c r="G34" s="184"/>
      <x:c r="H34" s="184"/>
      <x:c r="I34" s="184"/>
      <x:c r="J34" s="184"/>
      <x:c r="K34" s="184"/>
      <x:c r="L34" s="184"/>
      <x:c r="M34" s="184"/>
      <x:c r="N34" s="184"/>
      <x:c r="O34" s="184"/>
      <x:c r="P34" s="184"/>
    </x:row>
    <x:row r="35">
      <x:c r="A35" s="184"/>
      <x:c r="B35" s="184"/>
      <x:c r="C35" s="184"/>
      <x:c r="D35" s="184"/>
      <x:c r="E35" s="184"/>
      <x:c r="F35" s="184"/>
      <x:c r="G35" s="184"/>
      <x:c r="H35" s="184"/>
      <x:c r="I35" s="184"/>
      <x:c r="J35" s="184"/>
      <x:c r="K35" s="184"/>
      <x:c r="L35" s="184"/>
      <x:c r="M35" s="184"/>
      <x:c r="N35" s="184"/>
      <x:c r="O35" s="184"/>
      <x:c r="P35" s="184"/>
    </x:row>
    <x:row r="36">
      <x:c r="A36" s="184"/>
      <x:c r="B36" s="184"/>
      <x:c r="C36" s="184"/>
      <x:c r="D36" s="184"/>
      <x:c r="E36" s="184"/>
      <x:c r="F36" s="184"/>
      <x:c r="G36" s="184"/>
      <x:c r="H36" s="184"/>
      <x:c r="I36" s="184"/>
      <x:c r="J36" s="184"/>
      <x:c r="K36" s="184"/>
      <x:c r="L36" s="184"/>
      <x:c r="M36" s="184"/>
      <x:c r="N36" s="184"/>
      <x:c r="O36" s="184"/>
      <x:c r="P36" s="184"/>
    </x:row>
    <x:row r="37">
      <x:c r="A37" s="184"/>
      <x:c r="B37" s="184"/>
      <x:c r="C37" s="184"/>
      <x:c r="D37" s="184"/>
      <x:c r="E37" s="184"/>
      <x:c r="F37" s="184"/>
      <x:c r="G37" s="184"/>
      <x:c r="H37" s="184"/>
      <x:c r="I37" s="184"/>
      <x:c r="J37" s="184"/>
      <x:c r="K37" s="184"/>
      <x:c r="L37" s="184"/>
      <x:c r="M37" s="184"/>
      <x:c r="N37" s="184"/>
      <x:c r="O37" s="184"/>
      <x:c r="P37" s="184"/>
    </x:row>
    <x:row r="38">
      <x:c r="A38" s="184"/>
      <x:c r="B38" s="184"/>
      <x:c r="C38" s="184"/>
      <x:c r="D38" s="184"/>
      <x:c r="E38" s="184"/>
      <x:c r="F38" s="184"/>
      <x:c r="G38" s="184"/>
      <x:c r="H38" s="184"/>
      <x:c r="I38" s="184"/>
      <x:c r="J38" s="184"/>
      <x:c r="K38" s="184"/>
      <x:c r="L38" s="184"/>
      <x:c r="M38" s="184"/>
      <x:c r="N38" s="184"/>
      <x:c r="O38" s="184"/>
      <x:c r="P38" s="184"/>
    </x:row>
    <x:row r="39">
      <x:c r="A39" s="184"/>
      <x:c r="B39" s="184"/>
      <x:c r="C39" s="184"/>
      <x:c r="D39" s="184"/>
      <x:c r="E39" s="184"/>
      <x:c r="F39" s="184"/>
      <x:c r="G39" s="184"/>
      <x:c r="H39" s="184"/>
      <x:c r="I39" s="184"/>
      <x:c r="J39" s="184"/>
      <x:c r="K39" s="184"/>
      <x:c r="L39" s="184"/>
      <x:c r="M39" s="184"/>
      <x:c r="N39" s="184"/>
      <x:c r="O39" s="184"/>
      <x:c r="P39" s="184"/>
    </x:row>
    <x:row r="40">
      <x:c r="A40" s="184"/>
      <x:c r="B40" s="184"/>
      <x:c r="C40" s="184"/>
      <x:c r="D40" s="184"/>
      <x:c r="E40" s="184"/>
      <x:c r="F40" s="184"/>
      <x:c r="G40" s="184"/>
      <x:c r="H40" s="184"/>
      <x:c r="I40" s="184"/>
      <x:c r="J40" s="184"/>
      <x:c r="K40" s="184"/>
      <x:c r="L40" s="184"/>
      <x:c r="M40" s="184"/>
      <x:c r="N40" s="184"/>
      <x:c r="O40" s="184"/>
      <x:c r="P40" s="184"/>
    </x:row>
    <x:row r="41">
      <x:c r="A41" s="184"/>
      <x:c r="B41" s="184"/>
      <x:c r="C41" s="184"/>
      <x:c r="D41" s="184"/>
      <x:c r="E41" s="184"/>
      <x:c r="F41" s="184"/>
      <x:c r="G41" s="184"/>
      <x:c r="H41" s="184"/>
      <x:c r="I41" s="184"/>
      <x:c r="J41" s="184"/>
      <x:c r="K41" s="184"/>
      <x:c r="L41" s="184"/>
      <x:c r="M41" s="184"/>
      <x:c r="N41" s="184"/>
      <x:c r="O41" s="184"/>
      <x:c r="P41" s="184"/>
    </x:row>
    <x:row r="42">
      <x:c r="A42" s="184"/>
      <x:c r="B42" s="184"/>
      <x:c r="C42" s="184"/>
      <x:c r="D42" s="184"/>
      <x:c r="E42" s="184"/>
      <x:c r="F42" s="184"/>
      <x:c r="G42" s="184"/>
      <x:c r="H42" s="184"/>
      <x:c r="I42" s="184"/>
      <x:c r="J42" s="184"/>
      <x:c r="K42" s="184"/>
      <x:c r="L42" s="184"/>
      <x:c r="M42" s="184"/>
      <x:c r="N42" s="184"/>
      <x:c r="O42" s="184"/>
      <x:c r="P42" s="184"/>
    </x:row>
    <x:row r="43">
      <x:c r="A43" s="184"/>
      <x:c r="B43" s="184"/>
      <x:c r="C43" s="184"/>
      <x:c r="D43" s="184"/>
      <x:c r="E43" s="184"/>
      <x:c r="F43" s="184"/>
      <x:c r="G43" s="184"/>
      <x:c r="H43" s="184"/>
      <x:c r="I43" s="184"/>
      <x:c r="J43" s="184"/>
      <x:c r="K43" s="184"/>
      <x:c r="L43" s="184"/>
      <x:c r="M43" s="184"/>
      <x:c r="N43" s="184"/>
      <x:c r="O43" s="184"/>
      <x:c r="P43" s="184"/>
    </x:row>
    <x:row r="44">
      <x:c r="A44" s="184"/>
      <x:c r="B44" s="184"/>
      <x:c r="C44" s="184"/>
      <x:c r="D44" s="184"/>
      <x:c r="E44" s="184"/>
      <x:c r="F44" s="184"/>
      <x:c r="G44" s="184"/>
      <x:c r="H44" s="184"/>
      <x:c r="I44" s="184"/>
      <x:c r="J44" s="184"/>
      <x:c r="K44" s="184"/>
      <x:c r="L44" s="184"/>
      <x:c r="M44" s="184"/>
      <x:c r="N44" s="184"/>
      <x:c r="O44" s="184"/>
      <x:c r="P44" s="184"/>
    </x:row>
    <x:row r="45" ht="26" customHeight="1">
      <x:c r="A45" s="780" t="str">
        <x:v>주의: 본 대시보드는 공개 기록 기반 조사 현황입니다. 유행·검색·SNS 확산과 주가 반응의 인과관계를 단정하거나 매수를 권유하지 않습니다.</x:v>
      </x:c>
      <x:c r="B45" s="780"/>
      <x:c r="C45" s="780"/>
      <x:c r="D45" s="780"/>
      <x:c r="E45" s="780"/>
      <x:c r="F45" s="780"/>
      <x:c r="G45" s="780"/>
      <x:c r="H45" s="780"/>
      <x:c r="I45" s="780"/>
      <x:c r="J45" s="780"/>
      <x:c r="K45" s="780"/>
      <x:c r="L45" s="780"/>
      <x:c r="M45" s="780"/>
      <x:c r="N45" s="780"/>
      <x:c r="O45" s="780"/>
      <x:c r="P45" s="780"/>
    </x:row>
    <x:row r="46">
      <x:c r="A46" s="184"/>
      <x:c r="B46" s="184"/>
      <x:c r="C46" s="184"/>
      <x:c r="D46" s="184"/>
      <x:c r="E46" s="184"/>
      <x:c r="F46" s="184"/>
      <x:c r="G46" s="184"/>
      <x:c r="H46" s="184"/>
      <x:c r="I46" s="184"/>
      <x:c r="J46" s="184"/>
      <x:c r="K46" s="184"/>
      <x:c r="L46" s="184"/>
      <x:c r="M46" s="184"/>
      <x:c r="N46" s="184"/>
      <x:c r="O46" s="184"/>
      <x:c r="P46" s="184"/>
    </x:row>
    <x:row r="47">
      <x:c r="A47" s="730" t="str">
        <x:v>차트 계산 근거 — 01 유행이벤트 시트와 수식으로 연결</x:v>
      </x:c>
      <x:c r="B47" s="730"/>
      <x:c r="C47" s="730"/>
      <x:c r="D47" s="730"/>
      <x:c r="E47" s="730"/>
      <x:c r="F47" s="730"/>
      <x:c r="G47" s="730"/>
      <x:c r="H47" s="730"/>
      <x:c r="I47" s="730"/>
      <x:c r="J47" s="730"/>
      <x:c r="K47" s="730"/>
      <x:c r="L47" s="730"/>
      <x:c r="M47" s="730"/>
      <x:c r="N47" s="730"/>
      <x:c r="O47" s="730"/>
      <x:c r="P47" s="730"/>
    </x:row>
    <x:row r="48">
      <x:c r="A48" s="733" t="str">
        <x:v>연도</x:v>
      </x:c>
      <x:c r="B48" s="733" t="str">
        <x:v>사건 수</x:v>
      </x:c>
      <x:c r="C48" s="184"/>
      <x:c r="D48" s="733" t="str">
        <x:v>대분류</x:v>
      </x:c>
      <x:c r="E48" s="733" t="str">
        <x:v>전체 사건</x:v>
      </x:c>
      <x:c r="F48" s="733" t="str">
        <x:v>주가 연결</x:v>
      </x:c>
      <x:c r="G48" s="733" t="str">
        <x:v>연결률</x:v>
      </x:c>
      <x:c r="H48" s="184"/>
      <x:c r="I48" s="733" t="str">
        <x:v>주가 연결 상태</x:v>
      </x:c>
      <x:c r="J48" s="733" t="str">
        <x:v>사건 수</x:v>
      </x:c>
      <x:c r="K48" s="733" t="str">
        <x:v>대분류</x:v>
      </x:c>
      <x:c r="L48" s="733" t="str">
        <x:v>주가 연결률</x:v>
      </x:c>
      <x:c r="M48" s="184"/>
      <x:c r="N48" s="747" t="str">
        <x:v>해석 주의</x:v>
      </x:c>
      <x:c r="O48" s="747"/>
      <x:c r="P48" s="747"/>
    </x:row>
    <x:row r="49">
      <x:c r="A49" s="742" t="str">
        <x:v>2009</x:v>
      </x:c>
      <x:c r="B49" s="743" t="n">
        <x:f>COUNTIF('01_유행이벤트'!$B$6:$B$303,A49)</x:f>
        <x:v>11</x:v>
      </x:c>
      <x:c r="C49" s="184"/>
      <x:c r="D49" s="737" t="str">
        <x:v>콘텐츠·엔터</x:v>
      </x:c>
      <x:c r="E49" s="743" t="n">
        <x:f>COUNTIF('01_유행이벤트'!$C$6:$C$303,D49)</x:f>
        <x:v>89</x:v>
      </x:c>
      <x:c r="F49" s="743" t="n">
        <x:f>COUNTIFS('01_유행이벤트'!$C$6:$C$303,D49,'01_유행이벤트'!$I$6:$I$303,"주가 반응 기록 있음")</x:f>
        <x:v>21</x:v>
      </x:c>
      <x:c r="G49" s="744" t="n">
        <x:f>IFERROR(F49/E49,0)</x:f>
        <x:v>0.23595505617977527</x:v>
      </x:c>
      <x:c r="H49" s="184"/>
      <x:c r="I49" s="737" t="str">
        <x:v>주가 반응 기록 있음</x:v>
      </x:c>
      <x:c r="J49" s="743" t="n">
        <x:f>COUNTIF('01_유행이벤트'!$I$6:$I$303,I49)</x:f>
        <x:v>70</x:v>
      </x:c>
      <x:c r="K49" s="737" t="str">
        <x:f>D49</x:f>
        <x:v>콘텐츠·엔터</x:v>
      </x:c>
      <x:c r="L49" s="744" t="n">
        <x:f>G49</x:f>
        <x:v>0.23595505617977527</x:v>
      </x:c>
      <x:c r="M49" s="184"/>
      <x:c r="N49" s="768" t="str">
        <x:v>• 연결률은 “주가 영향 확률”이 아니라 현재 원장에서 가격 근거까지 확보된 비중입니다.
• 금융·시장현상은 5건뿐이므로 100% 수치를 일반화하면 안 됩니다.
• 2026년은 진행 중인 연도라 과거 완결 연도와 직접 비교할 때 주의합니다.</x:v>
      </x:c>
      <x:c r="O49" s="769"/>
      <x:c r="P49" s="770"/>
    </x:row>
    <x:row r="50">
      <x:c r="A50" s="742" t="str">
        <x:v>2010</x:v>
      </x:c>
      <x:c r="B50" s="743" t="n">
        <x:f>COUNTIF('01_유행이벤트'!$B$6:$B$303,A50)</x:f>
        <x:v>14</x:v>
      </x:c>
      <x:c r="C50" s="184"/>
      <x:c r="D50" s="737" t="str">
        <x:v>식품·음료</x:v>
      </x:c>
      <x:c r="E50" s="743" t="n">
        <x:f>COUNTIF('01_유행이벤트'!$C$6:$C$303,D50)</x:f>
        <x:v>76</x:v>
      </x:c>
      <x:c r="F50" s="743" t="n">
        <x:f>COUNTIFS('01_유행이벤트'!$C$6:$C$303,D50,'01_유행이벤트'!$I$6:$I$303,"주가 반응 기록 있음")</x:f>
        <x:v>19</x:v>
      </x:c>
      <x:c r="G50" s="744" t="n">
        <x:f>IFERROR(F50/E50,0)</x:f>
        <x:v>0.25</x:v>
      </x:c>
      <x:c r="H50" s="184"/>
      <x:c r="I50" s="737" t="str">
        <x:v>주가 미확인·연결 전</x:v>
      </x:c>
      <x:c r="J50" s="743" t="n">
        <x:f>COUNTIF('01_유행이벤트'!$I$6:$I$303,I50)</x:f>
        <x:v>228</x:v>
      </x:c>
      <x:c r="K50" s="737" t="str">
        <x:f>D50</x:f>
        <x:v>식품·음료</x:v>
      </x:c>
      <x:c r="L50" s="744" t="n">
        <x:f>G50</x:f>
        <x:v>0.25</x:v>
      </x:c>
      <x:c r="M50" s="184"/>
      <x:c r="N50" s="771"/>
      <x:c r="O50" s="772"/>
      <x:c r="P50" s="773"/>
    </x:row>
    <x:row r="51">
      <x:c r="A51" s="742" t="str">
        <x:v>2011</x:v>
      </x:c>
      <x:c r="B51" s="743" t="n">
        <x:f>COUNTIF('01_유행이벤트'!$B$6:$B$303,A51)</x:f>
        <x:v>11</x:v>
      </x:c>
      <x:c r="C51" s="184"/>
      <x:c r="D51" s="737" t="str">
        <x:v>디지털·플랫폼</x:v>
      </x:c>
      <x:c r="E51" s="743" t="n">
        <x:f>COUNTIF('01_유행이벤트'!$C$6:$C$303,D51)</x:f>
        <x:v>43</x:v>
      </x:c>
      <x:c r="F51" s="743" t="n">
        <x:f>COUNTIFS('01_유행이벤트'!$C$6:$C$303,D51,'01_유행이벤트'!$I$6:$I$303,"주가 반응 기록 있음")</x:f>
        <x:v>5</x:v>
      </x:c>
      <x:c r="G51" s="744" t="n">
        <x:f>IFERROR(F51/E51,0)</x:f>
        <x:v>0.11627906976744186</x:v>
      </x:c>
      <x:c r="H51" s="184"/>
      <x:c r="I51" s="184"/>
      <x:c r="J51" s="184"/>
      <x:c r="K51" s="737" t="str">
        <x:f>D51</x:f>
        <x:v>디지털·플랫폼</x:v>
      </x:c>
      <x:c r="L51" s="744" t="n">
        <x:f>G51</x:f>
        <x:v>0.11627906976744186</x:v>
      </x:c>
      <x:c r="M51" s="184"/>
      <x:c r="N51" s="771"/>
      <x:c r="O51" s="772"/>
      <x:c r="P51" s="773"/>
    </x:row>
    <x:row r="52">
      <x:c r="A52" s="742" t="str">
        <x:v>2012</x:v>
      </x:c>
      <x:c r="B52" s="743" t="n">
        <x:f>COUNTIF('01_유행이벤트'!$B$6:$B$303,A52)</x:f>
        <x:v>11</x:v>
      </x:c>
      <x:c r="C52" s="184"/>
      <x:c r="D52" s="737" t="str">
        <x:v>게임·e스포츠</x:v>
      </x:c>
      <x:c r="E52" s="743" t="n">
        <x:f>COUNTIF('01_유행이벤트'!$C$6:$C$303,D52)</x:f>
        <x:v>23</x:v>
      </x:c>
      <x:c r="F52" s="743" t="n">
        <x:f>COUNTIFS('01_유행이벤트'!$C$6:$C$303,D52,'01_유행이벤트'!$I$6:$I$303,"주가 반응 기록 있음")</x:f>
        <x:v>2</x:v>
      </x:c>
      <x:c r="G52" s="744" t="n">
        <x:f>IFERROR(F52/E52,0)</x:f>
        <x:v>0.08695652173913043</x:v>
      </x:c>
      <x:c r="H52" s="184"/>
      <x:c r="I52" s="184"/>
      <x:c r="J52" s="184"/>
      <x:c r="K52" s="737" t="str">
        <x:f>D52</x:f>
        <x:v>게임·e스포츠</x:v>
      </x:c>
      <x:c r="L52" s="744" t="n">
        <x:f>G52</x:f>
        <x:v>0.08695652173913043</x:v>
      </x:c>
      <x:c r="M52" s="184"/>
      <x:c r="N52" s="771"/>
      <x:c r="O52" s="772"/>
      <x:c r="P52" s="773"/>
    </x:row>
    <x:row r="53">
      <x:c r="A53" s="742" t="str">
        <x:v>2013</x:v>
      </x:c>
      <x:c r="B53" s="743" t="n">
        <x:f>COUNTIF('01_유행이벤트'!$B$6:$B$303,A53)</x:f>
        <x:v>12</x:v>
      </x:c>
      <x:c r="C53" s="184"/>
      <x:c r="D53" s="737" t="str">
        <x:v>패션·뷰티</x:v>
      </x:c>
      <x:c r="E53" s="743" t="n">
        <x:f>COUNTIF('01_유행이벤트'!$C$6:$C$303,D53)</x:f>
        <x:v>19</x:v>
      </x:c>
      <x:c r="F53" s="743" t="n">
        <x:f>COUNTIFS('01_유행이벤트'!$C$6:$C$303,D53,'01_유행이벤트'!$I$6:$I$303,"주가 반응 기록 있음")</x:f>
        <x:v>3</x:v>
      </x:c>
      <x:c r="G53" s="744" t="n">
        <x:f>IFERROR(F53/E53,0)</x:f>
        <x:v>0.15789473684210525</x:v>
      </x:c>
      <x:c r="H53" s="184"/>
      <x:c r="I53" s="184"/>
      <x:c r="J53" s="184"/>
      <x:c r="K53" s="737" t="str">
        <x:f>D53</x:f>
        <x:v>패션·뷰티</x:v>
      </x:c>
      <x:c r="L53" s="744" t="n">
        <x:f>G53</x:f>
        <x:v>0.15789473684210525</x:v>
      </x:c>
      <x:c r="M53" s="184"/>
      <x:c r="N53" s="771"/>
      <x:c r="O53" s="772"/>
      <x:c r="P53" s="773"/>
    </x:row>
    <x:row r="54">
      <x:c r="A54" s="742" t="str">
        <x:v>2014</x:v>
      </x:c>
      <x:c r="B54" s="743" t="n">
        <x:f>COUNTIF('01_유행이벤트'!$B$6:$B$303,A54)</x:f>
        <x:v>14</x:v>
      </x:c>
      <x:c r="C54" s="184"/>
      <x:c r="D54" s="737" t="str">
        <x:v>생활·소비</x:v>
      </x:c>
      <x:c r="E54" s="743" t="n">
        <x:f>COUNTIF('01_유행이벤트'!$C$6:$C$303,D54)</x:f>
        <x:v>16</x:v>
      </x:c>
      <x:c r="F54" s="743" t="n">
        <x:f>COUNTIFS('01_유행이벤트'!$C$6:$C$303,D54,'01_유행이벤트'!$I$6:$I$303,"주가 반응 기록 있음")</x:f>
        <x:v>5</x:v>
      </x:c>
      <x:c r="G54" s="744" t="n">
        <x:f>IFERROR(F54/E54,0)</x:f>
        <x:v>0.3125</x:v>
      </x:c>
      <x:c r="H54" s="184"/>
      <x:c r="I54" s="184"/>
      <x:c r="J54" s="184"/>
      <x:c r="K54" s="737" t="str">
        <x:f>D54</x:f>
        <x:v>생활·소비</x:v>
      </x:c>
      <x:c r="L54" s="744" t="n">
        <x:f>G54</x:f>
        <x:v>0.3125</x:v>
      </x:c>
      <x:c r="M54" s="184"/>
      <x:c r="N54" s="771"/>
      <x:c r="O54" s="772"/>
      <x:c r="P54" s="773"/>
    </x:row>
    <x:row r="55">
      <x:c r="A55" s="742" t="str">
        <x:v>2015</x:v>
      </x:c>
      <x:c r="B55" s="743" t="n">
        <x:f>COUNTIF('01_유행이벤트'!$B$6:$B$303,A55)</x:f>
        <x:v>14</x:v>
      </x:c>
      <x:c r="C55" s="184"/>
      <x:c r="D55" s="737" t="str">
        <x:v>사회·온라인문화</x:v>
      </x:c>
      <x:c r="E55" s="743" t="n">
        <x:f>COUNTIF('01_유행이벤트'!$C$6:$C$303,D55)</x:f>
        <x:v>14</x:v>
      </x:c>
      <x:c r="F55" s="743" t="n">
        <x:f>COUNTIFS('01_유행이벤트'!$C$6:$C$303,D55,'01_유행이벤트'!$I$6:$I$303,"주가 반응 기록 있음")</x:f>
        <x:v>1</x:v>
      </x:c>
      <x:c r="G55" s="744" t="n">
        <x:f>IFERROR(F55/E55,0)</x:f>
        <x:v>0.07142857142857142</x:v>
      </x:c>
      <x:c r="H55" s="184"/>
      <x:c r="I55" s="184"/>
      <x:c r="J55" s="184"/>
      <x:c r="K55" s="737" t="str">
        <x:f>D55</x:f>
        <x:v>사회·온라인문화</x:v>
      </x:c>
      <x:c r="L55" s="744" t="n">
        <x:f>G55</x:f>
        <x:v>0.07142857142857142</x:v>
      </x:c>
      <x:c r="M55" s="184"/>
      <x:c r="N55" s="771"/>
      <x:c r="O55" s="772"/>
      <x:c r="P55" s="773"/>
    </x:row>
    <x:row r="56">
      <x:c r="A56" s="742" t="str">
        <x:v>2016</x:v>
      </x:c>
      <x:c r="B56" s="743" t="n">
        <x:f>COUNTIF('01_유행이벤트'!$B$6:$B$303,A56)</x:f>
        <x:v>16</x:v>
      </x:c>
      <x:c r="C56" s="184"/>
      <x:c r="D56" s="737" t="str">
        <x:v>스포츠·건강</x:v>
      </x:c>
      <x:c r="E56" s="743" t="n">
        <x:f>COUNTIF('01_유행이벤트'!$C$6:$C$303,D56)</x:f>
        <x:v>13</x:v>
      </x:c>
      <x:c r="F56" s="743" t="n">
        <x:f>COUNTIFS('01_유행이벤트'!$C$6:$C$303,D56,'01_유행이벤트'!$I$6:$I$303,"주가 반응 기록 있음")</x:f>
        <x:v>9</x:v>
      </x:c>
      <x:c r="G56" s="744" t="n">
        <x:f>IFERROR(F56/E56,0)</x:f>
        <x:v>0.6923076923076923</x:v>
      </x:c>
      <x:c r="H56" s="184"/>
      <x:c r="I56" s="184"/>
      <x:c r="J56" s="184"/>
      <x:c r="K56" s="737" t="str">
        <x:f>D56</x:f>
        <x:v>스포츠·건강</x:v>
      </x:c>
      <x:c r="L56" s="744" t="n">
        <x:f>G56</x:f>
        <x:v>0.6923076923076923</x:v>
      </x:c>
      <x:c r="M56" s="184"/>
      <x:c r="N56" s="771"/>
      <x:c r="O56" s="772"/>
      <x:c r="P56" s="773"/>
    </x:row>
    <x:row r="57">
      <x:c r="A57" s="742" t="str">
        <x:v>2017</x:v>
      </x:c>
      <x:c r="B57" s="743" t="n">
        <x:f>COUNTIF('01_유행이벤트'!$B$6:$B$303,A57)</x:f>
        <x:v>13</x:v>
      </x:c>
      <x:c r="C57" s="184"/>
      <x:c r="D57" s="737" t="str">
        <x:v>금융·시장현상</x:v>
      </x:c>
      <x:c r="E57" s="743" t="n">
        <x:f>COUNTIF('01_유행이벤트'!$C$6:$C$303,D57)</x:f>
        <x:v>5</x:v>
      </x:c>
      <x:c r="F57" s="743" t="n">
        <x:f>COUNTIFS('01_유행이벤트'!$C$6:$C$303,D57,'01_유행이벤트'!$I$6:$I$303,"주가 반응 기록 있음")</x:f>
        <x:v>5</x:v>
      </x:c>
      <x:c r="G57" s="744" t="n">
        <x:f>IFERROR(F57/E57,0)</x:f>
        <x:v>1</x:v>
      </x:c>
      <x:c r="H57" s="184"/>
      <x:c r="I57" s="184"/>
      <x:c r="J57" s="184"/>
      <x:c r="K57" s="737" t="str">
        <x:f>D57</x:f>
        <x:v>금융·시장현상</x:v>
      </x:c>
      <x:c r="L57" s="744" t="n">
        <x:f>G57</x:f>
        <x:v>1</x:v>
      </x:c>
      <x:c r="M57" s="184"/>
      <x:c r="N57" s="774"/>
      <x:c r="O57" s="775"/>
      <x:c r="P57" s="776"/>
    </x:row>
    <x:row r="58">
      <x:c r="A58" s="742" t="str">
        <x:v>2018</x:v>
      </x:c>
      <x:c r="B58" s="743" t="n">
        <x:f>COUNTIF('01_유행이벤트'!$B$6:$B$303,A58)</x:f>
        <x:v>14</x:v>
      </x:c>
      <x:c r="C58" s="184"/>
      <x:c r="D58" s="184"/>
      <x:c r="E58" s="184"/>
      <x:c r="F58" s="184"/>
      <x:c r="G58" s="184"/>
      <x:c r="H58" s="184"/>
      <x:c r="I58" s="184"/>
      <x:c r="J58" s="184"/>
      <x:c r="K58" s="184"/>
      <x:c r="L58" s="184"/>
      <x:c r="M58" s="184"/>
      <x:c r="N58" s="184"/>
      <x:c r="O58" s="184"/>
      <x:c r="P58" s="184"/>
    </x:row>
    <x:row r="59">
      <x:c r="A59" s="742" t="str">
        <x:v>2019</x:v>
      </x:c>
      <x:c r="B59" s="743" t="n">
        <x:f>COUNTIF('01_유행이벤트'!$B$6:$B$303,A59)</x:f>
        <x:v>19</x:v>
      </x:c>
      <x:c r="C59" s="184"/>
      <x:c r="D59" s="184"/>
      <x:c r="E59" s="184"/>
      <x:c r="F59" s="184"/>
      <x:c r="G59" s="184"/>
      <x:c r="H59" s="184"/>
      <x:c r="I59" s="184"/>
      <x:c r="J59" s="184"/>
      <x:c r="K59" s="184"/>
      <x:c r="L59" s="184"/>
      <x:c r="M59" s="184"/>
      <x:c r="N59" s="184"/>
      <x:c r="O59" s="184"/>
      <x:c r="P59" s="184"/>
    </x:row>
    <x:row r="60">
      <x:c r="A60" s="742" t="str">
        <x:v>2020</x:v>
      </x:c>
      <x:c r="B60" s="743" t="n">
        <x:f>COUNTIF('01_유행이벤트'!$B$6:$B$303,A60)</x:f>
        <x:v>22</x:v>
      </x:c>
      <x:c r="C60" s="184"/>
      <x:c r="D60" s="184"/>
      <x:c r="E60" s="184"/>
      <x:c r="F60" s="184"/>
      <x:c r="G60" s="184"/>
      <x:c r="H60" s="184"/>
      <x:c r="I60" s="184"/>
      <x:c r="J60" s="184"/>
      <x:c r="K60" s="184"/>
      <x:c r="L60" s="184"/>
      <x:c r="M60" s="184"/>
      <x:c r="N60" s="184"/>
      <x:c r="O60" s="184"/>
      <x:c r="P60" s="184"/>
    </x:row>
    <x:row r="61">
      <x:c r="A61" s="742" t="str">
        <x:v>2021</x:v>
      </x:c>
      <x:c r="B61" s="743" t="n">
        <x:f>COUNTIF('01_유행이벤트'!$B$6:$B$303,A61)</x:f>
        <x:v>22</x:v>
      </x:c>
      <x:c r="C61" s="184"/>
      <x:c r="D61" s="184"/>
      <x:c r="E61" s="184"/>
      <x:c r="F61" s="184"/>
      <x:c r="G61" s="184"/>
      <x:c r="H61" s="184"/>
      <x:c r="I61" s="184"/>
      <x:c r="J61" s="184"/>
      <x:c r="K61" s="184"/>
      <x:c r="L61" s="184"/>
      <x:c r="M61" s="184"/>
      <x:c r="N61" s="184"/>
      <x:c r="O61" s="184"/>
      <x:c r="P61" s="184"/>
    </x:row>
    <x:row r="62">
      <x:c r="A62" s="742" t="str">
        <x:v>2022</x:v>
      </x:c>
      <x:c r="B62" s="743" t="n">
        <x:f>COUNTIF('01_유행이벤트'!$B$6:$B$303,A62)</x:f>
        <x:v>23</x:v>
      </x:c>
      <x:c r="C62" s="184"/>
      <x:c r="D62" s="184"/>
      <x:c r="E62" s="184"/>
      <x:c r="F62" s="184"/>
      <x:c r="G62" s="184"/>
      <x:c r="H62" s="184"/>
      <x:c r="I62" s="184"/>
      <x:c r="J62" s="184"/>
      <x:c r="K62" s="184"/>
      <x:c r="L62" s="184"/>
      <x:c r="M62" s="184"/>
      <x:c r="N62" s="184"/>
      <x:c r="O62" s="184"/>
      <x:c r="P62" s="184"/>
    </x:row>
    <x:row r="63">
      <x:c r="A63" s="742" t="str">
        <x:v>2023</x:v>
      </x:c>
      <x:c r="B63" s="743" t="n">
        <x:f>COUNTIF('01_유행이벤트'!$B$6:$B$303,A63)</x:f>
        <x:v>27</x:v>
      </x:c>
      <x:c r="C63" s="184"/>
      <x:c r="D63" s="184"/>
      <x:c r="E63" s="184"/>
      <x:c r="F63" s="184"/>
      <x:c r="G63" s="184"/>
      <x:c r="H63" s="184"/>
      <x:c r="I63" s="184"/>
      <x:c r="J63" s="184"/>
      <x:c r="K63" s="184"/>
      <x:c r="L63" s="184"/>
      <x:c r="M63" s="184"/>
      <x:c r="N63" s="184"/>
      <x:c r="O63" s="184"/>
      <x:c r="P63" s="184"/>
    </x:row>
    <x:row r="64">
      <x:c r="A64" s="742" t="str">
        <x:v>2024</x:v>
      </x:c>
      <x:c r="B64" s="743" t="n">
        <x:f>COUNTIF('01_유행이벤트'!$B$6:$B$303,A64)</x:f>
        <x:v>24</x:v>
      </x:c>
      <x:c r="C64" s="184"/>
      <x:c r="D64" s="184"/>
      <x:c r="E64" s="184"/>
      <x:c r="F64" s="184"/>
      <x:c r="G64" s="184"/>
      <x:c r="H64" s="184"/>
      <x:c r="I64" s="184"/>
      <x:c r="J64" s="184"/>
      <x:c r="K64" s="184"/>
      <x:c r="L64" s="184"/>
      <x:c r="M64" s="184"/>
      <x:c r="N64" s="184"/>
      <x:c r="O64" s="184"/>
      <x:c r="P64" s="184"/>
    </x:row>
    <x:row r="65">
      <x:c r="A65" s="742" t="str">
        <x:v>2025</x:v>
      </x:c>
      <x:c r="B65" s="743" t="n">
        <x:f>COUNTIF('01_유행이벤트'!$B$6:$B$303,A65)</x:f>
        <x:v>19</x:v>
      </x:c>
      <x:c r="C65" s="184"/>
      <x:c r="D65" s="184"/>
      <x:c r="E65" s="184"/>
      <x:c r="F65" s="184"/>
      <x:c r="G65" s="184"/>
      <x:c r="H65" s="184"/>
      <x:c r="I65" s="184"/>
      <x:c r="J65" s="184"/>
      <x:c r="K65" s="184"/>
      <x:c r="L65" s="184"/>
      <x:c r="M65" s="184"/>
      <x:c r="N65" s="184"/>
      <x:c r="O65" s="184"/>
      <x:c r="P65" s="184"/>
    </x:row>
    <x:row r="66">
      <x:c r="A66" s="742" t="str">
        <x:v>2026</x:v>
      </x:c>
      <x:c r="B66" s="743" t="n">
        <x:f>COUNTIF('01_유행이벤트'!$B$6:$B$303,A66)</x:f>
        <x:v>12</x:v>
      </x:c>
      <x:c r="C66" s="184"/>
      <x:c r="D66" s="184"/>
      <x:c r="E66" s="184"/>
      <x:c r="F66" s="184"/>
      <x:c r="G66" s="184"/>
      <x:c r="H66" s="184"/>
      <x:c r="I66" s="184"/>
      <x:c r="J66" s="184"/>
      <x:c r="K66" s="184"/>
      <x:c r="L66" s="184"/>
      <x:c r="M66" s="184"/>
      <x:c r="N66" s="184"/>
      <x:c r="O66" s="184"/>
      <x:c r="P66" s="184"/>
    </x:row>
    <x:row r="67">
      <x:c r="A67" s="184"/>
      <x:c r="B67" s="184"/>
      <x:c r="C67" s="184"/>
      <x:c r="D67" s="184"/>
      <x:c r="E67" s="184"/>
      <x:c r="F67" s="184"/>
      <x:c r="G67" s="184"/>
      <x:c r="H67" s="184"/>
      <x:c r="I67" s="184"/>
      <x:c r="J67" s="184"/>
      <x:c r="K67" s="184"/>
      <x:c r="L67" s="184"/>
      <x:c r="M67" s="184"/>
      <x:c r="N67" s="184"/>
      <x:c r="O67" s="184"/>
      <x:c r="P67" s="184"/>
    </x:row>
  </x:sheetData>
  <x:mergeCells>
    <x:mergeCell ref="A1:P1"/>
    <x:mergeCell ref="A2:P2"/>
    <x:mergeCell ref="A3:P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P5"/>
    <x:mergeCell ref="M6:P7"/>
    <x:mergeCell ref="M8:P8"/>
    <x:mergeCell ref="A10:P10"/>
    <x:mergeCell ref="A11:E12"/>
    <x:mergeCell ref="F11:J12"/>
    <x:mergeCell ref="K11:P12"/>
    <x:mergeCell ref="A47:P47"/>
    <x:mergeCell ref="N48:P48"/>
    <x:mergeCell ref="N49:P57"/>
    <x:mergeCell ref="A45:P45"/>
  </x:mergeCells>
  <x:pageMargins left="0.7" right="0.7" top="0.75" bottom="0.75" header="0.3" footer="0.3"/>
  <x:drawing xmlns:r="http://schemas.openxmlformats.org/officeDocument/2006/relationships" r:id="R2c8cbb35c80f475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6" hidden="0" customWidth="1"/>
    <x:col min="4" max="4" width="16" hidden="0" customWidth="1"/>
    <x:col min="5" max="5" width="25" hidden="0" customWidth="1"/>
    <x:col min="6" max="6" width="40" hidden="0" customWidth="1"/>
    <x:col min="7" max="7" width="25" hidden="0" customWidth="1"/>
    <x:col min="8" max="8" width="34" hidden="0" customWidth="1"/>
    <x:col min="9" max="9" width="20" hidden="0" customWidth="1"/>
    <x:col min="10" max="10" width="11" hidden="0" customWidth="1"/>
    <x:col min="11" max="11" width="34" hidden="0" customWidth="1"/>
    <x:col min="12" max="12" width="18" hidden="0" customWidth="1"/>
  </x:cols>
  <x:sheetData>
    <x:row r="1" ht="34" customHeight="1">
      <x:c r="A1" s="94" t="str">
        <x:v>01 유행이벤트 — 주가 연결 여부와 무관한 비정치 트렌드 원장</x:v>
      </x:c>
      <x:c r="B1"/>
      <x:c r="C1"/>
      <x:c r="D1"/>
      <x:c r="E1"/>
      <x:c r="F1"/>
      <x:c r="G1"/>
      <x:c r="H1"/>
      <x:c r="I1"/>
      <x:c r="J1"/>
      <x:c r="K1"/>
      <x:c r="L1"/>
    </x:row>
    <x:row r="2" ht="25" customHeight="1">
      <x:c r="A2" s="130" t="str">
        <x:v>연도 기준 최신→과거로 정렬했습니다. 같은 연도는 대분류→소분류→사건명 순이며, 정확한 월·일이 확인되지 않은 사건은 임의 날짜를 만들지 않습니다.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</x:row>
    <x:row r="3">
      <x:c r="A3" s="133" t="str">
        <x:v>전체 사건</x:v>
      </x:c>
      <x:c r="B3" s="135" t="n">
        <x:v>298</x:v>
      </x:c>
      <x:c r="C3" s="133" t="str">
        <x:v>주가 연결</x:v>
      </x:c>
      <x:c r="D3" s="135" t="n">
        <x:v>70</x:v>
      </x:c>
      <x:c r="E3" s="133" t="str">
        <x:v>미연결·미확인</x:v>
      </x:c>
      <x:c r="F3" s="135" t="n">
        <x:v>228</x:v>
      </x:c>
      <x:c r="G3" s="133" t="str">
        <x:v>대분류</x:v>
      </x:c>
      <x:c r="H3" s="135" t="n">
        <x:v>9</x:v>
      </x:c>
      <x:c r="I3" s="133" t="str">
        <x:v>정렬</x:v>
      </x:c>
      <x:c r="J3" s="135" t="str">
        <x:v>최신→과거</x:v>
      </x:c>
      <x:c r="K3" s="133" t="str">
        <x:v>기간</x:v>
      </x:c>
      <x:c r="L3" s="133" t="str">
        <x:v>2009~2026</x:v>
      </x:c>
    </x:row>
    <x:row r="5">
      <x:c r="A5" s="140" t="str">
        <x:v>이벤트ID</x:v>
      </x:c>
      <x:c r="B5" s="140" t="str">
        <x:v>연도</x:v>
      </x:c>
      <x:c r="C5" s="140" t="str">
        <x:v>대분류</x:v>
      </x:c>
      <x:c r="D5" s="140" t="str">
        <x:v>소분류</x:v>
      </x:c>
      <x:c r="E5" s="140" t="str">
        <x:v>유행·트렌드·밈</x:v>
      </x:c>
      <x:c r="F5" s="140" t="str">
        <x:v>왜 유행했나</x:v>
      </x:c>
      <x:c r="G5" s="140" t="str">
        <x:v>주요 플랫폼·확산권역</x:v>
      </x:c>
      <x:c r="H5" s="140" t="str">
        <x:v>확산 근거</x:v>
      </x:c>
      <x:c r="I5" s="140" t="str">
        <x:v>주가 연결 상태</x:v>
      </x:c>
      <x:c r="J5" s="140" t="str">
        <x:v>연결 종목 수</x:v>
      </x:c>
      <x:c r="K5" s="140" t="str">
        <x:v>간단 시간 흐름</x:v>
      </x:c>
      <x:c r="L5" s="140" t="str">
        <x:v>출처ID</x:v>
      </x:c>
    </x:row>
    <x:row r="6" ht="42" customHeight="1">
      <x:c r="A6" s="111" t="str">
        <x:v>TR2026-06</x:v>
      </x:c>
      <x:c r="B6" s="141" t="n">
        <x:v>2026</x:v>
      </x:c>
      <x:c r="C6" s="153" t="str">
        <x:v>식품·음료</x:v>
      </x:c>
      <x:c r="D6" s="153" t="str">
        <x:v>디저트·베이커리</x:v>
      </x:c>
      <x:c r="E6" s="111" t="str">
        <x:v>두바이 버터떡</x:v>
      </x:c>
      <x:c r="F6" s="111" t="str">
        <x:v>두바이 디저트 명칭과 버터떡 식감을 결합한 변형이 빠르게 등장했다.</x:v>
      </x:c>
      <x:c r="G6" s="111" t="str">
        <x:v>틱톡·인스타그램</x:v>
      </x:c>
      <x:c r="H6" s="111" t="str">
        <x:v>연말 검색·플랫폼 결산 또는 동시기 보도에서 확산이 확인됨</x:v>
      </x:c>
      <x:c r="I6" s="141" t="str">
        <x:f>IF(J6&gt;0,"주가 반응 기록 있음","주가 미확인·연결 전")</x:f>
        <x:v>주가 미확인·연결 전</x:v>
      </x:c>
      <x:c r="J6" s="141" t="n">
        <x:f>COUNTIF('02_종목반응'!$B$6:$B$166,A6)</x:f>
        <x:v>0</x:v>
      </x:c>
      <x:c r="K6" s="111" t="str">
        <x:v>첫 노출 → 후기·인증 → 검색·품절 → 모방 제품 → 재구매 또는 소멸</x:v>
      </x:c>
      <x:c r="L6" s="111" t="str">
        <x:v>S241;S242;S243;S244;S245;S246</x:v>
      </x:c>
    </x:row>
    <x:row r="7" ht="42" customHeight="1">
      <x:c r="A7" s="111" t="str">
        <x:v>EV0088</x:v>
      </x:c>
      <x:c r="B7" s="141" t="n">
        <x:v>2026</x:v>
      </x:c>
      <x:c r="C7" s="153" t="str">
        <x:v>식품·음료</x:v>
      </x:c>
      <x:c r="D7" s="153" t="str">
        <x:v>디저트·베이커리</x:v>
      </x:c>
      <x:c r="E7" s="111" t="str">
        <x:v>두바이 쫀득쿠키</x:v>
      </x:c>
      <x:c r="F7" s="111" t="str">
        <x:v>단면과 식감이 숏폼에 잘 보이고 희소한 피스타치오·카다이프, 오픈런 인증이 모방 구매를 부추겼다.</x:v>
      </x:c>
      <x:c r="G7" s="111" t="str">
        <x:v>SNS·블로그·검색·오프라인 구매</x:v>
      </x:c>
      <x:c r="H7" s="111" t="str">
        <x:v>대표 방향 혼합·급등락 | 가격·반응 원재료 공급 확대 소식에 상한가 | 복수 출처 교차확인</x:v>
      </x:c>
      <x:c r="I7" s="141" t="str">
        <x:f>IF(J7&gt;0,"주가 반응 기록 있음","주가 미확인·연결 전")</x:f>
        <x:v>주가 반응 기록 있음</x:v>
      </x:c>
      <x:c r="J7" s="141" t="n">
        <x:f>COUNTIF('02_종목반응'!$B$6:$B$166,A7)</x:f>
        <x:v>3</x:v>
      </x:c>
      <x:c r="K7" s="111" t="str">
        <x:v>제품 노출 → 후기·인증 확산 → 품절·검색 급증 → 관련 기업 주가 반응 → 재구매 검증</x:v>
      </x:c>
      <x:c r="L7" s="111" t="str">
        <x:v>S50;S51;S52</x:v>
      </x:c>
    </x:row>
    <x:row r="8" ht="42" customHeight="1">
      <x:c r="A8" s="111" t="str">
        <x:v>TR2026-07</x:v>
      </x:c>
      <x:c r="B8" s="141" t="n">
        <x:v>2026</x:v>
      </x:c>
      <x:c r="C8" s="153" t="str">
        <x:v>식품·음료</x:v>
      </x:c>
      <x:c r="D8" s="153" t="str">
        <x:v>디저트·베이커리</x:v>
      </x:c>
      <x:c r="E8" s="111" t="str">
        <x:v>버터떡 식감 콘텐츠</x:v>
      </x:c>
      <x:c r="F8" s="111" t="str">
        <x:v>누르고 자르는 장면과 쫀득한 소리가 숏폼의 감각 자극에 맞았다.</x:v>
      </x:c>
      <x:c r="G8" s="111" t="str">
        <x:v>틱톡·유튜브 쇼츠</x:v>
      </x:c>
      <x:c r="H8" s="111" t="str">
        <x:v>연말 검색·플랫폼 결산 또는 동시기 보도에서 확산이 확인됨</x:v>
      </x:c>
      <x:c r="I8" s="141" t="str">
        <x:f>IF(J8&gt;0,"주가 반응 기록 있음","주가 미확인·연결 전")</x:f>
        <x:v>주가 미확인·연결 전</x:v>
      </x:c>
      <x:c r="J8" s="141" t="n">
        <x:f>COUNTIF('02_종목반응'!$B$6:$B$166,A8)</x:f>
        <x:v>0</x:v>
      </x:c>
      <x:c r="K8" s="111" t="str">
        <x:v>발화 → 검색·공유 증가 → 일상 언급·모방 → 관련 소비 탐색 → 관심 둔화</x:v>
      </x:c>
      <x:c r="L8" s="111" t="str">
        <x:v>S241;S242;S243;S244;S245;S246</x:v>
      </x:c>
    </x:row>
    <x:row r="9" ht="42" customHeight="1">
      <x:c r="A9" s="111" t="str">
        <x:v>TR2026-03</x:v>
      </x:c>
      <x:c r="B9" s="141" t="n">
        <x:v>2026</x:v>
      </x:c>
      <x:c r="C9" s="153" t="str">
        <x:v>식품·음료</x:v>
      </x:c>
      <x:c r="D9" s="153" t="str">
        <x:v>디저트·베이커리</x:v>
      </x:c>
      <x:c r="E9" s="111" t="str">
        <x:v>상하이 버터떡</x:v>
      </x:c>
      <x:c r="F9" s="111" t="str">
        <x:v>두쫀쿠 뒤를 잇는 새 식감 디저트로 소개되며 짧은 유행 전환을 보여줬다.</x:v>
      </x:c>
      <x:c r="G9" s="111" t="str">
        <x:v>틱톡·인스타그램·X</x:v>
      </x:c>
      <x:c r="H9" s="111" t="str">
        <x:v>연말 검색·플랫폼 결산 또는 동시기 보도에서 확산이 확인됨</x:v>
      </x:c>
      <x:c r="I9" s="141" t="str">
        <x:f>IF(J9&gt;0,"주가 반응 기록 있음","주가 미확인·연결 전")</x:f>
        <x:v>주가 미확인·연결 전</x:v>
      </x:c>
      <x:c r="J9" s="141" t="n">
        <x:f>COUNTIF('02_종목반응'!$B$6:$B$166,A9)</x:f>
        <x:v>0</x:v>
      </x:c>
      <x:c r="K9" s="111" t="str">
        <x:v>첫 노출 → 후기·인증 → 검색·품절 → 모방 제품 → 재구매 또는 소멸</x:v>
      </x:c>
      <x:c r="L9" s="111" t="str">
        <x:v>S241;S242;S243;S244;S245;S246</x:v>
      </x:c>
    </x:row>
    <x:row r="10" ht="42" customHeight="1">
      <x:c r="A10" s="111" t="str">
        <x:v>TR2026-10</x:v>
      </x:c>
      <x:c r="B10" s="141" t="n">
        <x:v>2026</x:v>
      </x:c>
      <x:c r="C10" s="153" t="str">
        <x:v>식품·음료</x:v>
      </x:c>
      <x:c r="D10" s="153" t="str">
        <x:v>디저트·베이커리</x:v>
      </x:c>
      <x:c r="E10" s="111" t="str">
        <x:v>짠맛 아이스크림</x:v>
      </x:c>
      <x:c r="F10" s="111" t="str">
        <x:v>단짠 조합과 예상 밖 맛을 시험하는 리뷰 영상이 호기심 구매를 만들었다.</x:v>
      </x:c>
      <x:c r="G10" s="111" t="str">
        <x:v>SNS·편의점·카페</x:v>
      </x:c>
      <x:c r="H10" s="111" t="str">
        <x:v>연말 검색·플랫폼 결산 또는 동시기 보도에서 확산이 확인됨</x:v>
      </x:c>
      <x:c r="I10" s="141" t="str">
        <x:f>IF(J10&gt;0,"주가 반응 기록 있음","주가 미확인·연결 전")</x:f>
        <x:v>주가 미확인·연결 전</x:v>
      </x:c>
      <x:c r="J10" s="141" t="n">
        <x:f>COUNTIF('02_종목반응'!$B$6:$B$166,A10)</x:f>
        <x:v>0</x:v>
      </x:c>
      <x:c r="K10" s="111" t="str">
        <x:v>첫 노출 → 후기·인증 → 검색·품절 → 모방 제품 → 재구매 또는 소멸</x:v>
      </x:c>
      <x:c r="L10" s="111" t="str">
        <x:v>S241;S242;S243;S244;S245;S246</x:v>
      </x:c>
    </x:row>
    <x:row r="11" ht="42" customHeight="1">
      <x:c r="A11" s="111" t="str">
        <x:v>TR2026-05</x:v>
      </x:c>
      <x:c r="B11" s="141" t="n">
        <x:v>2026</x:v>
      </x:c>
      <x:c r="C11" s="153" t="str">
        <x:v>식품·음료</x:v>
      </x:c>
      <x:c r="D11" s="153" t="str">
        <x:v>디저트·베이커리</x:v>
      </x:c>
      <x:c r="E11" s="111" t="str">
        <x:v>창억떡</x:v>
      </x:c>
      <x:c r="F11" s="111" t="str">
        <x:v>쫀득한 떡 식감과 냉동 배송 편의가 후기·구매 인증으로 확산됐다.</x:v>
      </x:c>
      <x:c r="G11" s="111" t="str">
        <x:v>SNS·온라인몰</x:v>
      </x:c>
      <x:c r="H11" s="111" t="str">
        <x:v>연말 검색·플랫폼 결산 또는 동시기 보도에서 확산이 확인됨</x:v>
      </x:c>
      <x:c r="I11" s="141" t="str">
        <x:f>IF(J11&gt;0,"주가 반응 기록 있음","주가 미확인·연결 전")</x:f>
        <x:v>주가 미확인·연결 전</x:v>
      </x:c>
      <x:c r="J11" s="141" t="n">
        <x:f>COUNTIF('02_종목반응'!$B$6:$B$166,A11)</x:f>
        <x:v>0</x:v>
      </x:c>
      <x:c r="K11" s="111" t="str">
        <x:v>첫 노출 → 후기·인증 → 검색·품절 → 모방 제품 → 재구매 또는 소멸</x:v>
      </x:c>
      <x:c r="L11" s="111" t="str">
        <x:v>S241;S242;S243;S244;S245;S246</x:v>
      </x:c>
    </x:row>
    <x:row r="12" ht="42" customHeight="1">
      <x:c r="A12" s="111" t="str">
        <x:v>TR2026-09</x:v>
      </x:c>
      <x:c r="B12" s="141" t="n">
        <x:v>2026</x:v>
      </x:c>
      <x:c r="C12" s="153" t="str">
        <x:v>식품·음료</x:v>
      </x:c>
      <x:c r="D12" s="153" t="str">
        <x:v>디저트·베이커리</x:v>
      </x:c>
      <x:c r="E12" s="111" t="str">
        <x:v>호지차 디저트</x:v>
      </x:c>
      <x:c r="F12" s="111" t="str">
        <x:v>말차 다음의 구수한 차 맛과 갈색 비주얼이 신메뉴 탐색을 자극했다.</x:v>
      </x:c>
      <x:c r="G12" s="111" t="str">
        <x:v>카페·인스타그램·틱톡</x:v>
      </x:c>
      <x:c r="H12" s="111" t="str">
        <x:v>연말 검색·플랫폼 결산 또는 동시기 보도에서 확산이 확인됨</x:v>
      </x:c>
      <x:c r="I12" s="141" t="str">
        <x:f>IF(J12&gt;0,"주가 반응 기록 있음","주가 미확인·연결 전")</x:f>
        <x:v>주가 미확인·연결 전</x:v>
      </x:c>
      <x:c r="J12" s="141" t="n">
        <x:f>COUNTIF('02_종목반응'!$B$6:$B$166,A12)</x:f>
        <x:v>0</x:v>
      </x:c>
      <x:c r="K12" s="111" t="str">
        <x:v>첫 노출 → 후기·인증 → 검색·품절 → 모방 제품 → 재구매 또는 소멸</x:v>
      </x:c>
      <x:c r="L12" s="111" t="str">
        <x:v>S241;S242;S243;S244;S245;S246</x:v>
      </x:c>
    </x:row>
    <x:row r="13" ht="42" customHeight="1">
      <x:c r="A13" s="111" t="str">
        <x:v>TR2026-04</x:v>
      </x:c>
      <x:c r="B13" s="141" t="n">
        <x:v>2026</x:v>
      </x:c>
      <x:c r="C13" s="153" t="str">
        <x:v>식품·음료</x:v>
      </x:c>
      <x:c r="D13" s="153" t="str">
        <x:v>레시피·홈카페</x:v>
      </x:c>
      <x:c r="E13" s="111" t="str">
        <x:v>봄동 비빔밥</x:v>
      </x:c>
      <x:c r="F13" s="111" t="str">
        <x:v>제철 재료와 선명한 색, 간단한 조리법이 따라 만들기 영상에 적합했다.</x:v>
      </x:c>
      <x:c r="G13" s="111" t="str">
        <x:v>인스타그램·유튜브 쇼츠</x:v>
      </x:c>
      <x:c r="H13" s="111" t="str">
        <x:v>연말 검색·플랫폼 결산 또는 동시기 보도에서 확산이 확인됨</x:v>
      </x:c>
      <x:c r="I13" s="141" t="str">
        <x:f>IF(J13&gt;0,"주가 반응 기록 있음","주가 미확인·연결 전")</x:f>
        <x:v>주가 미확인·연결 전</x:v>
      </x:c>
      <x:c r="J13" s="141" t="n">
        <x:f>COUNTIF('02_종목반응'!$B$6:$B$166,A13)</x:f>
        <x:v>0</x:v>
      </x:c>
      <x:c r="K13" s="111" t="str">
        <x:v>첫 노출 → 후기·인증 → 검색·품절 → 모방 제품 → 재구매 또는 소멸</x:v>
      </x:c>
      <x:c r="L13" s="111" t="str">
        <x:v>S241;S242;S243;S244;S245;S246</x:v>
      </x:c>
    </x:row>
    <x:row r="14" ht="42" customHeight="1">
      <x:c r="A14" s="111" t="str">
        <x:v>TR2026-11</x:v>
      </x:c>
      <x:c r="B14" s="141" t="n">
        <x:v>2026</x:v>
      </x:c>
      <x:c r="C14" s="153" t="str">
        <x:v>디지털·플랫폼</x:v>
      </x:c>
      <x:c r="D14" s="153" t="str">
        <x:v>모바일·플랫폼</x:v>
      </x:c>
      <x:c r="E14" s="111" t="str">
        <x:v>초단기 음식 유행</x:v>
      </x:c>
      <x:c r="F14" s="111" t="str">
        <x:v>숏폼 모방 속도가 빨라지며 한 디저트가 뜨고 다음 제품으로 넘어가는 주기가 짧아졌다.</x:v>
      </x:c>
      <x:c r="G14" s="111" t="str">
        <x:v>SNS·검색·배달앱</x:v>
      </x:c>
      <x:c r="H14" s="111" t="str">
        <x:v>두쫀쿠 검색 반감기가 17일 수준으로 분석됨</x:v>
      </x:c>
      <x:c r="I14" s="141" t="str">
        <x:f>IF(J14&gt;0,"주가 반응 기록 있음","주가 미확인·연결 전")</x:f>
        <x:v>주가 미확인·연결 전</x:v>
      </x:c>
      <x:c r="J14" s="141" t="n">
        <x:f>COUNTIF('02_종목반응'!$B$6:$B$166,A14)</x:f>
        <x:v>0</x:v>
      </x:c>
      <x:c r="K14" s="111" t="str">
        <x:v>발화 → 검색·공유 증가 → 일상 언급·모방 → 관련 소비 탐색 → 관심 둔화</x:v>
      </x:c>
      <x:c r="L14" s="111" t="str">
        <x:v>S241;S242;S243;S244;S245;S246</x:v>
      </x:c>
    </x:row>
    <x:row r="15" ht="42" customHeight="1">
      <x:c r="A15" s="111" t="str">
        <x:v>TR2026-01</x:v>
      </x:c>
      <x:c r="B15" s="141" t="n">
        <x:v>2026</x:v>
      </x:c>
      <x:c r="C15" s="153" t="str">
        <x:v>디지털·플랫폼</x:v>
      </x:c>
      <x:c r="D15" s="153" t="str">
        <x:v>SNS·커뮤니티</x:v>
      </x:c>
      <x:c r="E15" s="111" t="str">
        <x:v>2016 사진 챌린지</x:v>
      </x:c>
      <x:c r="F15" s="111" t="str">
        <x:v>10년 전 사진과 현재 모습을 나란히 올리는 규칙이 개인 기억과 세대 향수를 자극했다.</x:v>
      </x:c>
      <x:c r="G15" s="111" t="str">
        <x:v>인스타그램·틱톡·X</x:v>
      </x:c>
      <x:c r="H15" s="111" t="str">
        <x:v>연말 검색·플랫폼 결산 또는 동시기 보도에서 확산이 확인됨</x:v>
      </x:c>
      <x:c r="I15" s="141" t="str">
        <x:f>IF(J15&gt;0,"주가 반응 기록 있음","주가 미확인·연결 전")</x:f>
        <x:v>주가 미확인·연결 전</x:v>
      </x:c>
      <x:c r="J15" s="141" t="n">
        <x:f>COUNTIF('02_종목반응'!$B$6:$B$166,A15)</x:f>
        <x:v>0</x:v>
      </x:c>
      <x:c r="K15" s="111" t="str">
        <x:v>원본 게시 → 따라 하기 → 해시태그 확산 → 변형·패러디 → 관심 둔화</x:v>
      </x:c>
      <x:c r="L15" s="111" t="str">
        <x:v>S241;S242;S243;S244;S245;S246</x:v>
      </x:c>
    </x:row>
    <x:row r="16" ht="42" customHeight="1">
      <x:c r="A16" s="111" t="str">
        <x:v>TR2026-08</x:v>
      </x:c>
      <x:c r="B16" s="141" t="n">
        <x:v>2026</x:v>
      </x:c>
      <x:c r="C16" s="153" t="str">
        <x:v>패션·뷰티</x:v>
      </x:c>
      <x:c r="D16" s="153" t="str">
        <x:v>뷰티·화장품</x:v>
      </x:c>
      <x:c r="E16" s="111" t="str">
        <x:v>봄버재킷 회귀</x:v>
      </x:c>
      <x:c r="F16" s="111" t="str">
        <x:v>2016 회고와 함께 당시 대표 아우터가 빈티지·복고 코디로 재등장했다.</x:v>
      </x:c>
      <x:c r="G16" s="111" t="str">
        <x:v>인스타그램·틱톡</x:v>
      </x:c>
      <x:c r="H16" s="111" t="str">
        <x:v>연말 검색·플랫폼 결산 또는 동시기 보도에서 확산이 확인됨</x:v>
      </x:c>
      <x:c r="I16" s="141" t="str">
        <x:f>IF(J16&gt;0,"주가 반응 기록 있음","주가 미확인·연결 전")</x:f>
        <x:v>주가 미확인·연결 전</x:v>
      </x:c>
      <x:c r="J16" s="141" t="n">
        <x:f>COUNTIF('02_종목반응'!$B$6:$B$166,A16)</x:f>
        <x:v>0</x:v>
      </x:c>
      <x:c r="K16" s="111" t="str">
        <x:v>첫 노출 → 후기·인증 → 검색·품절 → 모방 제품 → 재구매 또는 소멸</x:v>
      </x:c>
      <x:c r="L16" s="111" t="str">
        <x:v>S241;S242;S243;S244;S245;S246</x:v>
      </x:c>
    </x:row>
    <x:row r="17" ht="42" customHeight="1">
      <x:c r="A17" s="111" t="str">
        <x:v>TR2026-02</x:v>
      </x:c>
      <x:c r="B17" s="141" t="n">
        <x:v>2026</x:v>
      </x:c>
      <x:c r="C17" s="153" t="str">
        <x:v>패션·뷰티</x:v>
      </x:c>
      <x:c r="D17" s="153" t="str">
        <x:v>패션·스타일</x:v>
      </x:c>
      <x:c r="E17" s="111" t="str">
        <x:v>2016 노스탤지어</x:v>
      </x:c>
      <x:c r="F17" s="111" t="str">
        <x:v>스키니·봄버재킷·필터 등 2010년대 중반 미학이 10년 주기 회고로 재등장했다.</x:v>
      </x:c>
      <x:c r="G17" s="111" t="str">
        <x:v>인스타그램·틱톡·X</x:v>
      </x:c>
      <x:c r="H17" s="111" t="str">
        <x:v>연말 검색·플랫폼 결산 또는 동시기 보도에서 확산이 확인됨</x:v>
      </x:c>
      <x:c r="I17" s="141" t="str">
        <x:f>IF(J17&gt;0,"주가 반응 기록 있음","주가 미확인·연결 전")</x:f>
        <x:v>주가 미확인·연결 전</x:v>
      </x:c>
      <x:c r="J17" s="141" t="n">
        <x:f>COUNTIF('02_종목반응'!$B$6:$B$166,A17)</x:f>
        <x:v>0</x:v>
      </x:c>
      <x:c r="K17" s="111" t="str">
        <x:v>발화 → 검색·공유 증가 → 일상 언급·모방 → 관련 소비 탐색 → 관심 둔화</x:v>
      </x:c>
      <x:c r="L17" s="111" t="str">
        <x:v>S241;S242;S243;S244;S245;S246</x:v>
      </x:c>
    </x:row>
    <x:row r="18" ht="42" customHeight="1">
      <x:c r="A18" s="111" t="str">
        <x:v>EV0087</x:v>
      </x:c>
      <x:c r="B18" s="141" t="n">
        <x:v>2025</x:v>
      </x:c>
      <x:c r="C18" s="153" t="str">
        <x:v>식품·음료</x:v>
      </x:c>
      <x:c r="D18" s="153" t="str">
        <x:v>디저트·베이커리</x:v>
      </x:c>
      <x:c r="E18" s="111" t="str">
        <x:v>크보빵·야구 스티커</x:v>
      </x:c>
      <x:c r="F18" s="111" t="str">
        <x:v>프로야구 흥행과 선수 스티커 수집·팬덤 경쟁이 결합해 구매 인증과 교환 문화를 만들었다.</x:v>
      </x:c>
      <x:c r="G18" s="111" t="str">
        <x:v>SNS·블로그·검색·오프라인 구매</x:v>
      </x:c>
      <x:c r="H18" s="111" t="str">
        <x:v>대표 방향 상승 | 가격·반응 판매 호조 보도일 8% 급등 | 단일 핵심 출처</x:v>
      </x:c>
      <x:c r="I18" s="141" t="str">
        <x:f>IF(J18&gt;0,"주가 반응 기록 있음","주가 미확인·연결 전")</x:f>
        <x:v>주가 반응 기록 있음</x:v>
      </x:c>
      <x:c r="J18" s="141" t="n">
        <x:f>COUNTIF('02_종목반응'!$B$6:$B$166,A18)</x:f>
        <x:v>1</x:v>
      </x:c>
      <x:c r="K18" s="111" t="str">
        <x:v>제품 노출 → 후기·인증 확산 → 품절·검색 급증 → 관련 기업 주가 반응 → 재구매 검증</x:v>
      </x:c>
      <x:c r="L18" s="111" t="str">
        <x:v>S55</x:v>
      </x:c>
    </x:row>
    <x:row r="19" ht="42" customHeight="1">
      <x:c r="A19" s="111" t="str">
        <x:v>EV0083</x:v>
      </x:c>
      <x:c r="B19" s="141" t="n">
        <x:v>2025</x:v>
      </x:c>
      <x:c r="C19" s="153" t="str">
        <x:v>식품·음료</x:v>
      </x:c>
      <x:c r="D19" s="153" t="str">
        <x:v>식품 유행 일반</x:v>
      </x:c>
      <x:c r="E19" s="111" t="str">
        <x:v>빽햄 가격 논란</x:v>
      </x:c>
      <x:c r="F19" s="111" t="str">
        <x:v>유튜브와 커뮤니티에서 할인 전 정가·돼지고기 함량 비교 영상이 확산되고 백종원의 해명 영상이 다시 화제가 됐다.</x:v>
      </x:c>
      <x:c r="G19" s="111" t="str">
        <x:v>포털·SNS·커뮤니티</x:v>
      </x:c>
      <x:c r="H19" s="111" t="str">
        <x:v>대표 방향 하락 | 가격·반응 논란·해명 과정에서 더본코리아 약세 보도 | 단일 핵심 출처</x:v>
      </x:c>
      <x:c r="I19" s="141" t="str">
        <x:f>IF(J19&gt;0,"주가 반응 기록 있음","주가 미확인·연결 전")</x:f>
        <x:v>주가 반응 기록 있음</x:v>
      </x:c>
      <x:c r="J19" s="141" t="n">
        <x:f>COUNTIF('02_종목반응'!$B$6:$B$166,A19)</x:f>
        <x:v>1</x:v>
      </x:c>
      <x:c r="K19" s="111" t="str">
        <x:v>비교 게시물 → 유튜브 확산 → 해명 영상 → 브랜드 신뢰 논쟁 → 더본코리아 변동성</x:v>
      </x:c>
      <x:c r="L19" s="111" t="str">
        <x:v>S137</x:v>
      </x:c>
    </x:row>
    <x:row r="20" ht="42" customHeight="1">
      <x:c r="A20" s="111" t="str">
        <x:v>EV0086</x:v>
      </x:c>
      <x:c r="B20" s="141" t="n">
        <x:v>2025</x:v>
      </x:c>
      <x:c r="C20" s="153" t="str">
        <x:v>식품·음료</x:v>
      </x:c>
      <x:c r="D20" s="153" t="str">
        <x:v>식품 유행 일반</x:v>
      </x:c>
      <x:c r="E20" s="111" t="str">
        <x:v>케이팝 데몬 헌터스·김밥</x:v>
      </x:c>
      <x:c r="F20" s="111" t="str">
        <x:v>K팝·애니메이션·한국 음식이 결합된 글로벌 콘텐츠가 팬덤의 재현·검색·구매 행동을 만들었다.</x:v>
      </x:c>
      <x:c r="G20" s="111" t="str">
        <x:v>SNS·블로그·검색·오프라인 구매</x:v>
      </x:c>
      <x:c r="H20" s="111" t="str">
        <x:v>대표 방향 미확인 | 가격·반응 관련 기대감으로 상승 보도; 정확 상승률 미기재 | 단일 핵심 출처</x:v>
      </x:c>
      <x:c r="I20" s="141" t="str">
        <x:f>IF(J20&gt;0,"주가 반응 기록 있음","주가 미확인·연결 전")</x:f>
        <x:v>주가 반응 기록 있음</x:v>
      </x:c>
      <x:c r="J20" s="141" t="n">
        <x:f>COUNTIF('02_종목반응'!$B$6:$B$166,A20)</x:f>
        <x:v>1</x:v>
      </x:c>
      <x:c r="K20" s="111" t="str">
        <x:v>제품 노출 → 후기·인증 확산 → 품절·검색 급증 → 관련 기업 주가 반응 → 재구매 검증</x:v>
      </x:c>
      <x:c r="L20" s="111" t="str">
        <x:v>S58</x:v>
      </x:c>
    </x:row>
    <x:row r="21" ht="42" customHeight="1">
      <x:c r="A21" s="111" t="str">
        <x:v>TR2025-05</x:v>
      </x:c>
      <x:c r="B21" s="141" t="n">
        <x:v>2025</x:v>
      </x:c>
      <x:c r="C21" s="153" t="str">
        <x:v>식품·음료</x:v>
      </x:c>
      <x:c r="D21" s="153" t="str">
        <x:v>식품 유행 일반</x:v>
      </x:c>
      <x:c r="E21" s="111" t="str">
        <x:v>폭군의 셰프</x:v>
      </x:c>
      <x:c r="F21" s="111" t="str">
        <x:v>궁중 음식과 로맨스 설정이 레시피·장면 클립 소비를 낳았다.</x:v>
      </x:c>
      <x:c r="G21" s="111" t="str">
        <x:v>OTT·유튜브·SNS</x:v>
      </x:c>
      <x:c r="H21" s="111" t="str">
        <x:v>연말 검색·플랫폼 결산 또는 동시기 보도에서 확산이 확인됨</x:v>
      </x:c>
      <x:c r="I21" s="141" t="str">
        <x:f>IF(J21&gt;0,"주가 반응 기록 있음","주가 미확인·연결 전")</x:f>
        <x:v>주가 미확인·연결 전</x:v>
      </x:c>
      <x:c r="J21" s="141" t="n">
        <x:f>COUNTIF('02_종목반응'!$B$6:$B$166,A21)</x:f>
        <x:v>0</x:v>
      </x:c>
      <x:c r="K21" s="111" t="str">
        <x:v>공개·방영 → 클립·검색 증가 → 팬덤·패러디 → 소비 확장 → 후속 관심</x:v>
      </x:c>
      <x:c r="L21" s="111" t="str">
        <x:v>S238;S239;S240</x:v>
      </x:c>
    </x:row>
    <x:row r="22" ht="42" customHeight="1">
      <x:c r="A22" s="111" t="str">
        <x:v>TR2025-12</x:v>
      </x:c>
      <x:c r="B22" s="141" t="n">
        <x:v>2025</x:v>
      </x:c>
      <x:c r="C22" s="153" t="str">
        <x:v>식품·음료</x:v>
      </x:c>
      <x:c r="D22" s="153" t="str">
        <x:v>식품 유행 일반</x:v>
      </x:c>
      <x:c r="E22" s="111" t="str">
        <x:v>K푸드 해시태그 확산</x:v>
      </x:c>
      <x:c r="F22" s="111" t="str">
        <x:v>조리·먹방·편의점 체험 영상이 한국 음식 구매와 여행 관심을 만들었다.</x:v>
      </x:c>
      <x:c r="G22" s="111" t="str">
        <x:v>틱톡·유튜브·온라인몰</x:v>
      </x:c>
      <x:c r="H22" s="111" t="str">
        <x:v>#kfood 게시물 약 4.5만건으로 발표됨</x:v>
      </x:c>
      <x:c r="I22" s="141" t="str">
        <x:f>IF(J22&gt;0,"주가 반응 기록 있음","주가 미확인·연결 전")</x:f>
        <x:v>주가 미확인·연결 전</x:v>
      </x:c>
      <x:c r="J22" s="141" t="n">
        <x:f>COUNTIF('02_종목반응'!$B$6:$B$166,A22)</x:f>
        <x:v>0</x:v>
      </x:c>
      <x:c r="K22" s="111" t="str">
        <x:v>첫 노출 → 후기·인증 → 검색·품절 → 모방 제품 → 재구매 또는 소멸</x:v>
      </x:c>
      <x:c r="L22" s="111" t="str">
        <x:v>S238;S239;S240</x:v>
      </x:c>
    </x:row>
    <x:row r="23" ht="42" customHeight="1">
      <x:c r="A23" s="111" t="str">
        <x:v>TR2025-04</x:v>
      </x:c>
      <x:c r="B23" s="141" t="n">
        <x:v>2025</x:v>
      </x:c>
      <x:c r="C23" s="153" t="str">
        <x:v>콘텐츠·엔터</x:v>
      </x:c>
      <x:c r="D23" s="153" t="str">
        <x:v>드라마·OTT</x:v>
      </x:c>
      <x:c r="E23" s="111" t="str">
        <x:v>폭싹 속았수다</x:v>
      </x:c>
      <x:c r="F23" s="111" t="str">
        <x:v>제주 배경과 세대 서사가 장면 공유·촬영지·음식 관심을 만들었다.</x:v>
      </x:c>
      <x:c r="G23" s="111" t="str">
        <x:v>OTT·유튜브·SNS</x:v>
      </x:c>
      <x:c r="H23" s="111" t="str">
        <x:v>연말 검색·플랫폼 결산 또는 동시기 보도에서 확산이 확인됨</x:v>
      </x:c>
      <x:c r="I23" s="141" t="str">
        <x:f>IF(J23&gt;0,"주가 반응 기록 있음","주가 미확인·연결 전")</x:f>
        <x:v>주가 미확인·연결 전</x:v>
      </x:c>
      <x:c r="J23" s="141" t="n">
        <x:f>COUNTIF('02_종목반응'!$B$6:$B$166,A23)</x:f>
        <x:v>0</x:v>
      </x:c>
      <x:c r="K23" s="111" t="str">
        <x:v>공개·방영 → 클립·검색 증가 → 팬덤·패러디 → 소비 확장 → 후속 관심</x:v>
      </x:c>
      <x:c r="L23" s="111" t="str">
        <x:v>S238;S239;S240</x:v>
      </x:c>
    </x:row>
    <x:row r="24" ht="42" customHeight="1">
      <x:c r="A24" s="111" t="str">
        <x:v>TR2025-09</x:v>
      </x:c>
      <x:c r="B24" s="141" t="n">
        <x:v>2025</x:v>
      </x:c>
      <x:c r="C24" s="153" t="str">
        <x:v>콘텐츠·엔터</x:v>
      </x:c>
      <x:c r="D24" s="153" t="str">
        <x:v>방송·예능</x:v>
      </x:c>
      <x:c r="E24" s="111" t="str">
        <x:v>추성훈 집들이 콘텐츠</x:v>
      </x:c>
      <x:c r="F24" s="111" t="str">
        <x:v>인물의 일상 공간과 솔직한 대화가 짧은 클립으로 재확산됐다.</x:v>
      </x:c>
      <x:c r="G24" s="111" t="str">
        <x:v>유튜브·SNS</x:v>
      </x:c>
      <x:c r="H24" s="111" t="str">
        <x:v>연말 검색·플랫폼 결산 또는 동시기 보도에서 확산이 확인됨</x:v>
      </x:c>
      <x:c r="I24" s="141" t="str">
        <x:f>IF(J24&gt;0,"주가 반응 기록 있음","주가 미확인·연결 전")</x:f>
        <x:v>주가 미확인·연결 전</x:v>
      </x:c>
      <x:c r="J24" s="141" t="n">
        <x:f>COUNTIF('02_종목반응'!$B$6:$B$166,A24)</x:f>
        <x:v>0</x:v>
      </x:c>
      <x:c r="K24" s="111" t="str">
        <x:v>공개·방영 → 클립·검색 증가 → 팬덤·패러디 → 소비 확장 → 후속 관심</x:v>
      </x:c>
      <x:c r="L24" s="111" t="str">
        <x:v>S238;S239;S240</x:v>
      </x:c>
    </x:row>
    <x:row r="25" ht="42" customHeight="1">
      <x:c r="A25" s="111" t="str">
        <x:v>TR2025-06</x:v>
      </x:c>
      <x:c r="B25" s="141" t="n">
        <x:v>2025</x:v>
      </x:c>
      <x:c r="C25" s="153" t="str">
        <x:v>콘텐츠·엔터</x:v>
      </x:c>
      <x:c r="D25" s="153" t="str">
        <x:v>방송·예능</x:v>
      </x:c>
      <x:c r="E25" s="111" t="str">
        <x:v>환승연애4</x:v>
      </x:c>
      <x:c r="F25" s="111" t="str">
        <x:v>관계 추리와 출연자 선택이 회차별 실시간 토론을 만들었다.</x:v>
      </x:c>
      <x:c r="G25" s="111" t="str">
        <x:v>OTT·유튜브·커뮤니티</x:v>
      </x:c>
      <x:c r="H25" s="111" t="str">
        <x:v>연말 검색·플랫폼 결산 또는 동시기 보도에서 확산이 확인됨</x:v>
      </x:c>
      <x:c r="I25" s="141" t="str">
        <x:f>IF(J25&gt;0,"주가 반응 기록 있음","주가 미확인·연결 전")</x:f>
        <x:v>주가 미확인·연결 전</x:v>
      </x:c>
      <x:c r="J25" s="141" t="n">
        <x:f>COUNTIF('02_종목반응'!$B$6:$B$166,A25)</x:f>
        <x:v>0</x:v>
      </x:c>
      <x:c r="K25" s="111" t="str">
        <x:v>공개·방영 → 클립·검색 증가 → 팬덤·패러디 → 소비 확장 → 후속 관심</x:v>
      </x:c>
      <x:c r="L25" s="111" t="str">
        <x:v>S238;S239;S240</x:v>
      </x:c>
    </x:row>
    <x:row r="26" ht="42" customHeight="1">
      <x:c r="A26" s="111" t="str">
        <x:v>TR2025-07</x:v>
      </x:c>
      <x:c r="B26" s="141" t="n">
        <x:v>2025</x:v>
      </x:c>
      <x:c r="C26" s="153" t="str">
        <x:v>콘텐츠·엔터</x:v>
      </x:c>
      <x:c r="D26" s="153" t="str">
        <x:v>영화·애니메이션</x:v>
      </x:c>
      <x:c r="E26" s="111" t="str">
        <x:v>미키17</x:v>
      </x:c>
      <x:c r="F26" s="111" t="str">
        <x:v>세계적 감독·배우와 복제 인간 설정이 해석·리뷰를 집중시켰다.</x:v>
      </x:c>
      <x:c r="G26" s="111" t="str">
        <x:v>극장·유튜브·검색</x:v>
      </x:c>
      <x:c r="H26" s="111" t="str">
        <x:v>연말 검색·플랫폼 결산 또는 동시기 보도에서 확산이 확인됨</x:v>
      </x:c>
      <x:c r="I26" s="141" t="str">
        <x:f>IF(J26&gt;0,"주가 반응 기록 있음","주가 미확인·연결 전")</x:f>
        <x:v>주가 미확인·연결 전</x:v>
      </x:c>
      <x:c r="J26" s="141" t="n">
        <x:f>COUNTIF('02_종목반응'!$B$6:$B$166,A26)</x:f>
        <x:v>0</x:v>
      </x:c>
      <x:c r="K26" s="111" t="str">
        <x:v>공개·방영 → 클립·검색 증가 → 팬덤·패러디 → 소비 확장 → 후속 관심</x:v>
      </x:c>
      <x:c r="L26" s="111" t="str">
        <x:v>S238;S239;S240</x:v>
      </x:c>
    </x:row>
    <x:row r="27" ht="42" customHeight="1">
      <x:c r="A27" s="111" t="str">
        <x:v>TR2025-10</x:v>
      </x:c>
      <x:c r="B27" s="141" t="n">
        <x:v>2025</x:v>
      </x:c>
      <x:c r="C27" s="153" t="str">
        <x:v>콘텐츠·엔터</x:v>
      </x:c>
      <x:c r="D27" s="153" t="str">
        <x:v>웹툰·도서</x:v>
      </x:c>
      <x:c r="E27" s="111" t="str">
        <x:v>BookTok 한국 확산</x:v>
      </x:c>
      <x:c r="F27" s="111" t="str">
        <x:v>짧은 감상·문장 추천이 책 구매와 독서 인증을 연결했다.</x:v>
      </x:c>
      <x:c r="G27" s="111" t="str">
        <x:v>틱톡·서점·인스타그램</x:v>
      </x:c>
      <x:c r="H27" s="111" t="str">
        <x:v>연말 검색·플랫폼 결산 또는 동시기 보도에서 확산이 확인됨</x:v>
      </x:c>
      <x:c r="I27" s="141" t="str">
        <x:f>IF(J27&gt;0,"주가 반응 기록 있음","주가 미확인·연결 전")</x:f>
        <x:v>주가 미확인·연결 전</x:v>
      </x:c>
      <x:c r="J27" s="141" t="n">
        <x:f>COUNTIF('02_종목반응'!$B$6:$B$166,A27)</x:f>
        <x:v>0</x:v>
      </x:c>
      <x:c r="K27" s="111" t="str">
        <x:v>첫 노출 → 후기·인증 → 검색·품절 → 모방 제품 → 재구매 또는 소멸</x:v>
      </x:c>
      <x:c r="L27" s="111" t="str">
        <x:v>S238;S239;S240</x:v>
      </x:c>
    </x:row>
    <x:row r="28" ht="42" customHeight="1">
      <x:c r="A28" s="111" t="str">
        <x:v>TR2025-03</x:v>
      </x:c>
      <x:c r="B28" s="141" t="n">
        <x:v>2025</x:v>
      </x:c>
      <x:c r="C28" s="153" t="str">
        <x:v>콘텐츠·엔터</x:v>
      </x:c>
      <x:c r="D28" s="153" t="str">
        <x:v>음악·댄스</x:v>
      </x:c>
      <x:c r="E28" s="111" t="str">
        <x:v>APT. 장기 유행</x:v>
      </x:c>
      <x:c r="F28" s="111" t="str">
        <x:v>쉽게 따라 부르는 구호와 글로벌 협업이 전년도 히트를 장기화했다.</x:v>
      </x:c>
      <x:c r="G28" s="111" t="str">
        <x:v>유튜브·틱톡·음원</x:v>
      </x:c>
      <x:c r="H28" s="111" t="str">
        <x:v>연말 검색·플랫폼 결산 또는 동시기 보도에서 확산이 확인됨</x:v>
      </x:c>
      <x:c r="I28" s="141" t="str">
        <x:f>IF(J28&gt;0,"주가 반응 기록 있음","주가 미확인·연결 전")</x:f>
        <x:v>주가 미확인·연결 전</x:v>
      </x:c>
      <x:c r="J28" s="141" t="n">
        <x:f>COUNTIF('02_종목반응'!$B$6:$B$166,A28)</x:f>
        <x:v>0</x:v>
      </x:c>
      <x:c r="K28" s="111" t="str">
        <x:v>공개·방영 → 클립·검색 증가 → 팬덤·패러디 → 소비 확장 → 후속 관심</x:v>
      </x:c>
      <x:c r="L28" s="111" t="str">
        <x:v>S238;S239;S240</x:v>
      </x:c>
    </x:row>
    <x:row r="29" ht="42" customHeight="1">
      <x:c r="A29" s="111" t="str">
        <x:v>TR2025-01</x:v>
      </x:c>
      <x:c r="B29" s="141" t="n">
        <x:v>2025</x:v>
      </x:c>
      <x:c r="C29" s="153" t="str">
        <x:v>콘텐츠·엔터</x:v>
      </x:c>
      <x:c r="D29" s="153" t="str">
        <x:v>음악·댄스</x:v>
      </x:c>
      <x:c r="E29" s="111" t="str">
        <x:v>Golden</x:v>
      </x:c>
      <x:c r="F29" s="111" t="str">
        <x:v>애니메이션 서사와 고음 후렴이 커버·리액션 영상으로 확산됐다.</x:v>
      </x:c>
      <x:c r="G29" s="111" t="str">
        <x:v>유튜브·틱톡·음원</x:v>
      </x:c>
      <x:c r="H29" s="111" t="str">
        <x:v>연말 검색·플랫폼 결산 또는 동시기 보도에서 확산이 확인됨</x:v>
      </x:c>
      <x:c r="I29" s="141" t="str">
        <x:f>IF(J29&gt;0,"주가 반응 기록 있음","주가 미확인·연결 전")</x:f>
        <x:v>주가 미확인·연결 전</x:v>
      </x:c>
      <x:c r="J29" s="141" t="n">
        <x:f>COUNTIF('02_종목반응'!$B$6:$B$166,A29)</x:f>
        <x:v>0</x:v>
      </x:c>
      <x:c r="K29" s="111" t="str">
        <x:v>공개·방영 → 클립·검색 증가 → 팬덤·패러디 → 소비 확장 → 후속 관심</x:v>
      </x:c>
      <x:c r="L29" s="111" t="str">
        <x:v>S238;S239;S240</x:v>
      </x:c>
    </x:row>
    <x:row r="30" ht="42" customHeight="1">
      <x:c r="A30" s="111" t="str">
        <x:v>TR2025-02</x:v>
      </x:c>
      <x:c r="B30" s="141" t="n">
        <x:v>2025</x:v>
      </x:c>
      <x:c r="C30" s="153" t="str">
        <x:v>콘텐츠·엔터</x:v>
      </x:c>
      <x:c r="D30" s="153" t="str">
        <x:v>음악·댄스</x:v>
      </x:c>
      <x:c r="E30" s="111" t="str">
        <x:v>Soda Pop</x:v>
      </x:c>
      <x:c r="F30" s="111" t="str">
        <x:v>밝은 후렴과 캐릭터 퍼포먼스가 짧은 안무 영상에 반복 사용됐다.</x:v>
      </x:c>
      <x:c r="G30" s="111" t="str">
        <x:v>틱톡·유튜브 쇼츠</x:v>
      </x:c>
      <x:c r="H30" s="111" t="str">
        <x:v>연말 검색·플랫폼 결산 또는 동시기 보도에서 확산이 확인됨</x:v>
      </x:c>
      <x:c r="I30" s="141" t="str">
        <x:f>IF(J30&gt;0,"주가 반응 기록 있음","주가 미확인·연결 전")</x:f>
        <x:v>주가 미확인·연결 전</x:v>
      </x:c>
      <x:c r="J30" s="141" t="n">
        <x:f>COUNTIF('02_종목반응'!$B$6:$B$166,A30)</x:f>
        <x:v>0</x:v>
      </x:c>
      <x:c r="K30" s="111" t="str">
        <x:v>원본 게시 → 따라 하기 → 해시태그 확산 → 변형·패러디 → 관심 둔화</x:v>
      </x:c>
      <x:c r="L30" s="111" t="str">
        <x:v>S238;S239;S240</x:v>
      </x:c>
    </x:row>
    <x:row r="31" ht="42" customHeight="1">
      <x:c r="A31" s="111" t="str">
        <x:v>TR2025-08</x:v>
      </x:c>
      <x:c r="B31" s="141" t="n">
        <x:v>2025</x:v>
      </x:c>
      <x:c r="C31" s="153" t="str">
        <x:v>콘텐츠·엔터</x:v>
      </x:c>
      <x:c r="D31" s="153" t="str">
        <x:v>팬덤·공연</x:v>
      </x:c>
      <x:c r="E31" s="111" t="str">
        <x:v>안성재 유튜브</x:v>
      </x:c>
      <x:c r="F31" s="111" t="str">
        <x:v>정교한 음식 평가 캐릭터가 요리 리액션·패러디로 확장됐다.</x:v>
      </x:c>
      <x:c r="G31" s="111" t="str">
        <x:v>유튜브·SNS</x:v>
      </x:c>
      <x:c r="H31" s="111" t="str">
        <x:v>연말 검색·플랫폼 결산 또는 동시기 보도에서 확산이 확인됨</x:v>
      </x:c>
      <x:c r="I31" s="141" t="str">
        <x:f>IF(J31&gt;0,"주가 반응 기록 있음","주가 미확인·연결 전")</x:f>
        <x:v>주가 미확인·연결 전</x:v>
      </x:c>
      <x:c r="J31" s="141" t="n">
        <x:f>COUNTIF('02_종목반응'!$B$6:$B$166,A31)</x:f>
        <x:v>0</x:v>
      </x:c>
      <x:c r="K31" s="111" t="str">
        <x:v>공개·방영 → 클립·검색 증가 → 팬덤·패러디 → 소비 확장 → 후속 관심</x:v>
      </x:c>
      <x:c r="L31" s="111" t="str">
        <x:v>S238;S239;S240</x:v>
      </x:c>
    </x:row>
    <x:row r="32" ht="42" customHeight="1">
      <x:c r="A32" s="111" t="str">
        <x:v>TR2025-15</x:v>
      </x:c>
      <x:c r="B32" s="141" t="n">
        <x:v>2025</x:v>
      </x:c>
      <x:c r="C32" s="153" t="str">
        <x:v>디지털·플랫폼</x:v>
      </x:c>
      <x:c r="D32" s="153" t="str">
        <x:v>AI·생성형</x:v>
      </x:c>
      <x:c r="E32" s="111" t="str">
        <x:v>AI 지브리풍 사진</x:v>
      </x:c>
      <x:c r="F32" s="111" t="str">
        <x:v>일상 사진을 익숙한 애니메이션풍으로 바꾸는 결과물이 대량 공유됐다.</x:v>
      </x:c>
      <x:c r="G32" s="111" t="str">
        <x:v>생성형AI·인스타그램·커뮤니티</x:v>
      </x:c>
      <x:c r="H32" s="111" t="str">
        <x:v>연말 검색·플랫폼 결산 또는 동시기 보도에서 확산이 확인됨</x:v>
      </x:c>
      <x:c r="I32" s="141" t="str">
        <x:f>IF(J32&gt;0,"주가 반응 기록 있음","주가 미확인·연결 전")</x:f>
        <x:v>주가 미확인·연결 전</x:v>
      </x:c>
      <x:c r="J32" s="141" t="n">
        <x:f>COUNTIF('02_종목반응'!$B$6:$B$166,A32)</x:f>
        <x:v>0</x:v>
      </x:c>
      <x:c r="K32" s="111" t="str">
        <x:v>발화 → 검색·공유 증가 → 일상 언급·모방 → 관련 소비 탐색 → 관심 둔화</x:v>
      </x:c>
      <x:c r="L32" s="111" t="str">
        <x:v>S238;S239;S240</x:v>
      </x:c>
    </x:row>
    <x:row r="33" ht="42" customHeight="1">
      <x:c r="A33" s="111" t="str">
        <x:v>TR2025-13</x:v>
      </x:c>
      <x:c r="B33" s="141" t="n">
        <x:v>2025</x:v>
      </x:c>
      <x:c r="C33" s="153" t="str">
        <x:v>패션·뷰티</x:v>
      </x:c>
      <x:c r="D33" s="153" t="str">
        <x:v>뷰티·화장품</x:v>
      </x:c>
      <x:c r="E33" s="111" t="str">
        <x:v>드뮤어룩</x:v>
      </x:c>
      <x:c r="F33" s="111" t="str">
        <x:v>차분하고 절제된 스타일을 설명하는 짧은 표현이 코디 영상에 반복됐다.</x:v>
      </x:c>
      <x:c r="G33" s="111" t="str">
        <x:v>틱톡·인스타그램</x:v>
      </x:c>
      <x:c r="H33" s="111" t="str">
        <x:v>연말 검색·플랫폼 결산 또는 동시기 보도에서 확산이 확인됨</x:v>
      </x:c>
      <x:c r="I33" s="141" t="str">
        <x:f>IF(J33&gt;0,"주가 반응 기록 있음","주가 미확인·연결 전")</x:f>
        <x:v>주가 미확인·연결 전</x:v>
      </x:c>
      <x:c r="J33" s="141" t="n">
        <x:f>COUNTIF('02_종목반응'!$B$6:$B$166,A33)</x:f>
        <x:v>0</x:v>
      </x:c>
      <x:c r="K33" s="111" t="str">
        <x:v>첫 노출 → 후기·인증 → 검색·품절 → 모방 제품 → 재구매 또는 소멸</x:v>
      </x:c>
      <x:c r="L33" s="111" t="str">
        <x:v>S238;S239;S240</x:v>
      </x:c>
    </x:row>
    <x:row r="34" ht="42" customHeight="1">
      <x:c r="A34" s="111" t="str">
        <x:v>EV0082</x:v>
      </x:c>
      <x:c r="B34" s="141" t="n">
        <x:v>2025</x:v>
      </x:c>
      <x:c r="C34" s="153" t="str">
        <x:v>패션·뷰티</x:v>
      </x:c>
      <x:c r="D34" s="153" t="str">
        <x:v>뷰티·화장품</x:v>
      </x:c>
      <x:c r="E34" s="111" t="str">
        <x:v>메디큐브·AGE-R</x:v>
      </x:c>
      <x:c r="F34" s="111" t="str">
        <x:v>홈뷰티 기기로 전문 시술 효과를 기대할 수 있다는 메시지와 인플루언서 전후 비교 영상이 구매를 자극했다.</x:v>
      </x:c>
      <x:c r="G34" s="111" t="str">
        <x:v>SNS·블로그·검색·오프라인 구매</x:v>
      </x:c>
      <x:c r="H34" s="111" t="str">
        <x:v>대표 방향 상승 | 가격·반응 2026년 4월 기준 연초 대비 80.04% 상승 | 단일 핵심 출처</x:v>
      </x:c>
      <x:c r="I34" s="141" t="str">
        <x:f>IF(J34&gt;0,"주가 반응 기록 있음","주가 미확인·연결 전")</x:f>
        <x:v>주가 반응 기록 있음</x:v>
      </x:c>
      <x:c r="J34" s="141" t="n">
        <x:f>COUNTIF('02_종목반응'!$B$6:$B$166,A34)</x:f>
        <x:v>1</x:v>
      </x:c>
      <x:c r="K34" s="111" t="str">
        <x:v>제품 노출 → 후기·인증 확산 → 품절·검색 급증 → 관련 기업 주가 반응 → 재구매 검증</x:v>
      </x:c>
      <x:c r="L34" s="111" t="str">
        <x:v>S64</x:v>
      </x:c>
    </x:row>
    <x:row r="35" ht="42" customHeight="1">
      <x:c r="A35" s="111" t="str">
        <x:v>TR2025-14</x:v>
      </x:c>
      <x:c r="B35" s="141" t="n">
        <x:v>2025</x:v>
      </x:c>
      <x:c r="C35" s="153" t="str">
        <x:v>패션·뷰티</x:v>
      </x:c>
      <x:c r="D35" s="153" t="str">
        <x:v>뷰티·화장품</x:v>
      </x:c>
      <x:c r="E35" s="111" t="str">
        <x:v>보헤미안룩</x:v>
      </x:c>
      <x:c r="F35" s="111" t="str">
        <x:v>레이어드·자수·자유로운 실루엣이 페스티벌·여름 코디로 재확산됐다.</x:v>
      </x:c>
      <x:c r="G35" s="111" t="str">
        <x:v>틱톡·인스타그램·쇼핑몰</x:v>
      </x:c>
      <x:c r="H35" s="111" t="str">
        <x:v>연말 검색·플랫폼 결산 또는 동시기 보도에서 확산이 확인됨</x:v>
      </x:c>
      <x:c r="I35" s="141" t="str">
        <x:f>IF(J35&gt;0,"주가 반응 기록 있음","주가 미확인·연결 전")</x:f>
        <x:v>주가 미확인·연결 전</x:v>
      </x:c>
      <x:c r="J35" s="141" t="n">
        <x:f>COUNTIF('02_종목반응'!$B$6:$B$166,A35)</x:f>
        <x:v>0</x:v>
      </x:c>
      <x:c r="K35" s="111" t="str">
        <x:v>첫 노출 → 후기·인증 → 검색·품절 → 모방 제품 → 재구매 또는 소멸</x:v>
      </x:c>
      <x:c r="L35" s="111" t="str">
        <x:v>S238;S239;S240</x:v>
      </x:c>
    </x:row>
    <x:row r="36" ht="42" customHeight="1">
      <x:c r="A36" s="111" t="str">
        <x:v>TR2025-11</x:v>
      </x:c>
      <x:c r="B36" s="141" t="n">
        <x:v>2025</x:v>
      </x:c>
      <x:c r="C36" s="153" t="str">
        <x:v>패션·뷰티</x:v>
      </x:c>
      <x:c r="D36" s="153" t="str">
        <x:v>뷰티·화장품</x:v>
      </x:c>
      <x:c r="E36" s="111" t="str">
        <x:v>K뷰티 해시태그 확산</x:v>
      </x:c>
      <x:c r="F36" s="111" t="str">
        <x:v>제품 사용 전후와 루틴 영상이 해외 이용자의 구매 탐색을 만들었다.</x:v>
      </x:c>
      <x:c r="G36" s="111" t="str">
        <x:v>틱톡·유튜브·온라인몰</x:v>
      </x:c>
      <x:c r="H36" s="111" t="str">
        <x:v>#kbeauty·#kskincare 게시물이 각각 약 100만건으로 발표됨</x:v>
      </x:c>
      <x:c r="I36" s="141" t="str">
        <x:f>IF(J36&gt;0,"주가 반응 기록 있음","주가 미확인·연결 전")</x:f>
        <x:v>주가 미확인·연결 전</x:v>
      </x:c>
      <x:c r="J36" s="141" t="n">
        <x:f>COUNTIF('02_종목반응'!$B$6:$B$166,A36)</x:f>
        <x:v>0</x:v>
      </x:c>
      <x:c r="K36" s="111" t="str">
        <x:v>첫 노출 → 후기·인증 → 검색·품절 → 모방 제품 → 재구매 또는 소멸</x:v>
      </x:c>
      <x:c r="L36" s="111" t="str">
        <x:v>S238;S239;S240</x:v>
      </x:c>
    </x:row>
    <x:row r="37" ht="42" customHeight="1">
      <x:c r="A37" s="111" t="str">
        <x:v>TR2024-16</x:v>
      </x:c>
      <x:c r="B37" s="141" t="n">
        <x:v>2024</x:v>
      </x:c>
      <x:c r="C37" s="153" t="str">
        <x:v>식품·음료</x:v>
      </x:c>
      <x:c r="D37" s="153" t="str">
        <x:v>디저트·베이커리</x:v>
      </x:c>
      <x:c r="E37" s="111" t="str">
        <x:v>두바이 초콜릿 모방 디저트</x:v>
      </x:c>
      <x:c r="F37" s="111" t="str">
        <x:v>원조 품절 뒤 편의점·카페가 유사 식감과 이름의 제품을 빠르게 내놓았다.</x:v>
      </x:c>
      <x:c r="G37" s="111" t="str">
        <x:v>편의점·카페·SNS</x:v>
      </x:c>
      <x:c r="H37" s="111" t="str">
        <x:v>연말 검색·플랫폼 결산 또는 동시기 보도에서 확산이 확인됨</x:v>
      </x:c>
      <x:c r="I37" s="141" t="str">
        <x:f>IF(J37&gt;0,"주가 반응 기록 있음","주가 미확인·연결 전")</x:f>
        <x:v>주가 미확인·연결 전</x:v>
      </x:c>
      <x:c r="J37" s="141" t="n">
        <x:f>COUNTIF('02_종목반응'!$B$6:$B$166,A37)</x:f>
        <x:v>0</x:v>
      </x:c>
      <x:c r="K37" s="111" t="str">
        <x:v>첫 노출 → 후기·인증 → 검색·품절 → 모방 제품 → 재구매 또는 소멸</x:v>
      </x:c>
      <x:c r="L37" s="111" t="str">
        <x:v>S234;S235;S236;S237</x:v>
      </x:c>
    </x:row>
    <x:row r="38" ht="42" customHeight="1">
      <x:c r="A38" s="111" t="str">
        <x:v>TR2024-04</x:v>
      </x:c>
      <x:c r="B38" s="141" t="n">
        <x:v>2024</x:v>
      </x:c>
      <x:c r="C38" s="153" t="str">
        <x:v>식품·음료</x:v>
      </x:c>
      <x:c r="D38" s="153" t="str">
        <x:v>디저트·베이커리</x:v>
      </x:c>
      <x:c r="E38" s="111" t="str">
        <x:v>밤 티라미수</x:v>
      </x:c>
      <x:c r="F38" s="111" t="str">
        <x:v>요리 경연 레시피가 따라 만들기와 편의점 재료 품절을 만들었다.</x:v>
      </x:c>
      <x:c r="G38" s="111" t="str">
        <x:v>넷플릭스·편의점·SNS</x:v>
      </x:c>
      <x:c r="H38" s="111" t="str">
        <x:v>연말 검색·플랫폼 결산 또는 동시기 보도에서 확산이 확인됨</x:v>
      </x:c>
      <x:c r="I38" s="141" t="str">
        <x:f>IF(J38&gt;0,"주가 반응 기록 있음","주가 미확인·연결 전")</x:f>
        <x:v>주가 미확인·연결 전</x:v>
      </x:c>
      <x:c r="J38" s="141" t="n">
        <x:f>COUNTIF('02_종목반응'!$B$6:$B$166,A38)</x:f>
        <x:v>0</x:v>
      </x:c>
      <x:c r="K38" s="111" t="str">
        <x:v>첫 노출 → 후기·인증 → 검색·품절 → 모방 제품 → 재구매 또는 소멸</x:v>
      </x:c>
      <x:c r="L38" s="111" t="str">
        <x:v>S234;S235;S236;S237</x:v>
      </x:c>
    </x:row>
    <x:row r="39" ht="42" customHeight="1">
      <x:c r="A39" s="111" t="str">
        <x:v>TR2024-02</x:v>
      </x:c>
      <x:c r="B39" s="141" t="n">
        <x:v>2024</x:v>
      </x:c>
      <x:c r="C39" s="153" t="str">
        <x:v>식품·음료</x:v>
      </x:c>
      <x:c r="D39" s="153" t="str">
        <x:v>디저트·베이커리</x:v>
      </x:c>
      <x:c r="E39" s="111" t="str">
        <x:v>밤양갱</x:v>
      </x:c>
      <x:c r="F39" s="111" t="str">
        <x:v>노래의 반복 가사와 실제 양갱 제품이 연결돼 검색·패러디·구매를 키웠다.</x:v>
      </x:c>
      <x:c r="G39" s="111" t="str">
        <x:v>유튜브·틱톡·편의점</x:v>
      </x:c>
      <x:c r="H39" s="111" t="str">
        <x:v>연말 검색·플랫폼 결산 또는 동시기 보도에서 확산이 확인됨</x:v>
      </x:c>
      <x:c r="I39" s="141" t="str">
        <x:f>IF(J39&gt;0,"주가 반응 기록 있음","주가 미확인·연결 전")</x:f>
        <x:v>주가 미확인·연결 전</x:v>
      </x:c>
      <x:c r="J39" s="141" t="n">
        <x:f>COUNTIF('02_종목반응'!$B$6:$B$166,A39)</x:f>
        <x:v>0</x:v>
      </x:c>
      <x:c r="K39" s="111" t="str">
        <x:v>공개·방영 → 클립·검색 증가 → 팬덤·패러디 → 소비 확장 → 후속 관심</x:v>
      </x:c>
      <x:c r="L39" s="111" t="str">
        <x:v>S234;S235;S236;S237</x:v>
      </x:c>
    </x:row>
    <x:row r="40" ht="42" customHeight="1">
      <x:c r="A40" s="111" t="str">
        <x:v>TR2024-01</x:v>
      </x:c>
      <x:c r="B40" s="141" t="n">
        <x:v>2024</x:v>
      </x:c>
      <x:c r="C40" s="153" t="str">
        <x:v>식품·음료</x:v>
      </x:c>
      <x:c r="D40" s="153" t="str">
        <x:v>디저트·베이커리</x:v>
      </x:c>
      <x:c r="E40" s="111" t="str">
        <x:v>요아정</x:v>
      </x:c>
      <x:c r="F40" s="111" t="str">
        <x:v>요거트아이스크림에 토핑을 조합하는 재미와 주문 인증이 확산됐다.</x:v>
      </x:c>
      <x:c r="G40" s="111" t="str">
        <x:v>배달앱·인스타그램·유튜브</x:v>
      </x:c>
      <x:c r="H40" s="111" t="str">
        <x:v>연말 검색·플랫폼 결산 또는 동시기 보도에서 확산이 확인됨</x:v>
      </x:c>
      <x:c r="I40" s="141" t="str">
        <x:f>IF(J40&gt;0,"주가 반응 기록 있음","주가 미확인·연결 전")</x:f>
        <x:v>주가 미확인·연결 전</x:v>
      </x:c>
      <x:c r="J40" s="141" t="n">
        <x:f>COUNTIF('02_종목반응'!$B$6:$B$166,A40)</x:f>
        <x:v>0</x:v>
      </x:c>
      <x:c r="K40" s="111" t="str">
        <x:v>첫 노출 → 후기·인증 → 검색·품절 → 모방 제품 → 재구매 또는 소멸</x:v>
      </x:c>
      <x:c r="L40" s="111" t="str">
        <x:v>S234;S235;S236;S237</x:v>
      </x:c>
    </x:row>
    <x:row r="41" ht="42" customHeight="1">
      <x:c r="A41" s="111" t="str">
        <x:v>TR2024-03</x:v>
      </x:c>
      <x:c r="B41" s="141" t="n">
        <x:v>2024</x:v>
      </x:c>
      <x:c r="C41" s="153" t="str">
        <x:v>식품·음료</x:v>
      </x:c>
      <x:c r="D41" s="153" t="str">
        <x:v>디저트·베이커리</x:v>
      </x:c>
      <x:c r="E41" s="111" t="str">
        <x:v>티라미수 케익 음원</x:v>
      </x:c>
      <x:c r="F41" s="111" t="str">
        <x:v>오래된 노래의 귀여운 후렴이 짧은 춤·커플 영상에 재사용됐다.</x:v>
      </x:c>
      <x:c r="G41" s="111" t="str">
        <x:v>틱톡·릴스·유튜브 쇼츠</x:v>
      </x:c>
      <x:c r="H41" s="111" t="str">
        <x:v>연말 검색·플랫폼 결산 또는 동시기 보도에서 확산이 확인됨</x:v>
      </x:c>
      <x:c r="I41" s="141" t="str">
        <x:f>IF(J41&gt;0,"주가 반응 기록 있음","주가 미확인·연결 전")</x:f>
        <x:v>주가 미확인·연결 전</x:v>
      </x:c>
      <x:c r="J41" s="141" t="n">
        <x:f>COUNTIF('02_종목반응'!$B$6:$B$166,A41)</x:f>
        <x:v>0</x:v>
      </x:c>
      <x:c r="K41" s="111" t="str">
        <x:v>원본 게시 → 따라 하기 → 해시태그 확산 → 변형·패러디 → 관심 둔화</x:v>
      </x:c>
      <x:c r="L41" s="111" t="str">
        <x:v>S234;S235;S236;S237</x:v>
      </x:c>
    </x:row>
    <x:row r="42" ht="42" customHeight="1">
      <x:c r="A42" s="111" t="str">
        <x:v>EV0080</x:v>
      </x:c>
      <x:c r="B42" s="141" t="n">
        <x:v>2024</x:v>
      </x:c>
      <x:c r="C42" s="153" t="str">
        <x:v>식품·음료</x:v>
      </x:c>
      <x:c r="D42" s="153" t="str">
        <x:v>디저트·베이커리</x:v>
      </x:c>
      <x:c r="E42" s="111" t="str">
        <x:v>SNS발 두바이 초콜릿 열풍</x:v>
      </x:c>
      <x:c r="F42" s="111" t="str">
        <x:v>해외 인플루언서 영상의 강한 시각·식감 자극과 국내 한정 물량이 품절·오픈런을 만들었다.</x:v>
      </x:c>
      <x:c r="G42" s="111" t="str">
        <x:v>SNS·커뮤니티·숏폼</x:v>
      </x:c>
      <x:c r="H42" s="111" t="str">
        <x:v>대표 방향 가격 미확인 | 가격·반응 CU 초도 20만개 하루 완판; 주가 반응 미검증 | 단일 핵심 출처</x:v>
      </x:c>
      <x:c r="I42" s="141" t="str">
        <x:f>IF(J42&gt;0,"주가 반응 기록 있음","주가 미확인·연결 전")</x:f>
        <x:v>주가 반응 기록 있음</x:v>
      </x:c>
      <x:c r="J42" s="141" t="n">
        <x:f>COUNTIF('02_종목반응'!$B$6:$B$166,A42)</x:f>
        <x:v>1</x:v>
      </x:c>
      <x:c r="K42" s="111" t="str">
        <x:v>제품 노출 → 후기·인증 확산 → 품절·검색 급증 → 관련 기업 주가 반응 → 재구매 검증</x:v>
      </x:c>
      <x:c r="L42" s="111" t="str">
        <x:v>S117</x:v>
      </x:c>
    </x:row>
    <x:row r="43" ht="42" customHeight="1">
      <x:c r="A43" s="111" t="str">
        <x:v>TR2024-05</x:v>
      </x:c>
      <x:c r="B43" s="141" t="n">
        <x:v>2024</x:v>
      </x:c>
      <x:c r="C43" s="153" t="str">
        <x:v>식품·음료</x:v>
      </x:c>
      <x:c r="D43" s="153" t="str">
        <x:v>음료·주류</x:v>
      </x:c>
      <x:c r="E43" s="111" t="str">
        <x:v>생레몬 하이볼</x:v>
      </x:c>
      <x:c r="F43" s="111" t="str">
        <x:v>캔을 열면 레몬 조각이 떠오르는 장면이 개봉 영상과 구매를 자극했다.</x:v>
      </x:c>
      <x:c r="G43" s="111" t="str">
        <x:v>편의점·인스타그램·유튜브</x:v>
      </x:c>
      <x:c r="H43" s="111" t="str">
        <x:v>연말 검색·플랫폼 결산 또는 동시기 보도에서 확산이 확인됨</x:v>
      </x:c>
      <x:c r="I43" s="141" t="str">
        <x:f>IF(J43&gt;0,"주가 반응 기록 있음","주가 미확인·연결 전")</x:f>
        <x:v>주가 미확인·연결 전</x:v>
      </x:c>
      <x:c r="J43" s="141" t="n">
        <x:f>COUNTIF('02_종목반응'!$B$6:$B$166,A43)</x:f>
        <x:v>0</x:v>
      </x:c>
      <x:c r="K43" s="111" t="str">
        <x:v>첫 노출 → 후기·인증 → 검색·품절 → 모방 제품 → 재구매 또는 소멸</x:v>
      </x:c>
      <x:c r="L43" s="111" t="str">
        <x:v>S234;S235;S236;S237</x:v>
      </x:c>
    </x:row>
    <x:row r="44" ht="42" customHeight="1">
      <x:c r="A44" s="111" t="str">
        <x:v>EV0075</x:v>
      </x:c>
      <x:c r="B44" s="141" t="n">
        <x:v>2024</x:v>
      </x:c>
      <x:c r="C44" s="153" t="str">
        <x:v>콘텐츠·엔터</x:v>
      </x:c>
      <x:c r="D44" s="153" t="str">
        <x:v>드라마·OTT</x:v>
      </x:c>
      <x:c r="E44" s="111" t="str">
        <x:v>선재 업고 튀어 신드롬</x:v>
      </x:c>
      <x:c r="F44" s="111" t="str">
        <x:v>짧은 영상, OST, 변우석 팬덤과 팝업스토어 인증이 SNS를 장악하며 낮은 시청률 대비 압도적 화제성이 형성됐다.</x:v>
      </x:c>
      <x:c r="G44" s="111" t="str">
        <x:v>방송·OTT·유튜브·팬커뮤니티</x:v>
      </x:c>
      <x:c r="H44" s="111" t="str">
        <x:v>대표 방향 상승 | 가격·반응 저점 대비 CJ ENM 약 70% 반등 구간에 흥행 모멘텀 | 단일 핵심 출처</x:v>
      </x:c>
      <x:c r="I44" s="141" t="str">
        <x:f>IF(J44&gt;0,"주가 반응 기록 있음","주가 미확인·연결 전")</x:f>
        <x:v>주가 반응 기록 있음</x:v>
      </x:c>
      <x:c r="J44" s="141" t="n">
        <x:f>COUNTIF('02_종목반응'!$B$6:$B$166,A44)</x:f>
        <x:v>1</x:v>
      </x:c>
      <x:c r="K44" s="111" t="str">
        <x:v>방영 → 숏폼·OST 역주행 → 팬덤 급증 → 팝업 품절 → CJ ENM 반등</x:v>
      </x:c>
      <x:c r="L44" s="111" t="str">
        <x:v>S153</x:v>
      </x:c>
    </x:row>
    <x:row r="45" ht="42" customHeight="1">
      <x:c r="A45" s="111" t="str">
        <x:v>TR2024-08</x:v>
      </x:c>
      <x:c r="B45" s="141" t="n">
        <x:v>2024</x:v>
      </x:c>
      <x:c r="C45" s="153" t="str">
        <x:v>콘텐츠·엔터</x:v>
      </x:c>
      <x:c r="D45" s="153" t="str">
        <x:v>영화·애니메이션</x:v>
      </x:c>
      <x:c r="E45" s="111" t="str">
        <x:v>인사이드 아웃 2</x:v>
      </x:c>
      <x:c r="F45" s="111" t="str">
        <x:v>불안 등 새 감정 캐릭터가 자기표현 짤과 굿즈 소비로 이어졌다.</x:v>
      </x:c>
      <x:c r="G45" s="111" t="str">
        <x:v>극장·SNS·굿즈</x:v>
      </x:c>
      <x:c r="H45" s="111" t="str">
        <x:v>연말 검색·플랫폼 결산 또는 동시기 보도에서 확산이 확인됨</x:v>
      </x:c>
      <x:c r="I45" s="141" t="str">
        <x:f>IF(J45&gt;0,"주가 반응 기록 있음","주가 미확인·연결 전")</x:f>
        <x:v>주가 미확인·연결 전</x:v>
      </x:c>
      <x:c r="J45" s="141" t="n">
        <x:f>COUNTIF('02_종목반응'!$B$6:$B$166,A45)</x:f>
        <x:v>0</x:v>
      </x:c>
      <x:c r="K45" s="111" t="str">
        <x:v>공개·방영 → 클립·검색 증가 → 팬덤·패러디 → 소비 확장 → 후속 관심</x:v>
      </x:c>
      <x:c r="L45" s="111" t="str">
        <x:v>S234;S235;S236;S237</x:v>
      </x:c>
    </x:row>
    <x:row r="46" ht="42" customHeight="1">
      <x:c r="A46" s="111" t="str">
        <x:v>TR2024-06</x:v>
      </x:c>
      <x:c r="B46" s="141" t="n">
        <x:v>2024</x:v>
      </x:c>
      <x:c r="C46" s="153" t="str">
        <x:v>콘텐츠·엔터</x:v>
      </x:c>
      <x:c r="D46" s="153" t="str">
        <x:v>영화·애니메이션</x:v>
      </x:c>
      <x:c r="E46" s="111" t="str">
        <x:v>캐치! 티니핑·사랑의 하츄핑</x:v>
      </x:c>
      <x:c r="F46" s="111" t="str">
        <x:v>아동 팬덤과 다양한 캐릭터 수집이 영화·완구·굿즈 소비로 이어졌다.</x:v>
      </x:c>
      <x:c r="G46" s="111" t="str">
        <x:v>극장·유튜브·부모 커뮤니티</x:v>
      </x:c>
      <x:c r="H46" s="111" t="str">
        <x:v>연말 검색·플랫폼 결산 또는 동시기 보도에서 확산이 확인됨</x:v>
      </x:c>
      <x:c r="I46" s="141" t="str">
        <x:f>IF(J46&gt;0,"주가 반응 기록 있음","주가 미확인·연결 전")</x:f>
        <x:v>주가 미확인·연결 전</x:v>
      </x:c>
      <x:c r="J46" s="141" t="n">
        <x:f>COUNTIF('02_종목반응'!$B$6:$B$166,A46)</x:f>
        <x:v>0</x:v>
      </x:c>
      <x:c r="K46" s="111" t="str">
        <x:v>공개·방영 → 클립·검색 증가 → 팬덤·패러디 → 소비 확장 → 후속 관심</x:v>
      </x:c>
      <x:c r="L46" s="111" t="str">
        <x:v>S234;S235;S236;S237</x:v>
      </x:c>
    </x:row>
    <x:row r="47" ht="42" customHeight="1">
      <x:c r="A47" s="111" t="str">
        <x:v>TR2024-07</x:v>
      </x:c>
      <x:c r="B47" s="141" t="n">
        <x:v>2024</x:v>
      </x:c>
      <x:c r="C47" s="153" t="str">
        <x:v>콘텐츠·엔터</x:v>
      </x:c>
      <x:c r="D47" s="153" t="str">
        <x:v>영화·애니메이션</x:v>
      </x:c>
      <x:c r="E47" s="111" t="str">
        <x:v>파묘</x:v>
      </x:c>
      <x:c r="F47" s="111" t="str">
        <x:v>한국 무속 소재와 상징 해석이 리뷰·패러디·재관람을 만들었다.</x:v>
      </x:c>
      <x:c r="G47" s="111" t="str">
        <x:v>극장·유튜브·SNS</x:v>
      </x:c>
      <x:c r="H47" s="111" t="str">
        <x:v>연말 검색·플랫폼 결산 또는 동시기 보도에서 확산이 확인됨</x:v>
      </x:c>
      <x:c r="I47" s="141" t="str">
        <x:f>IF(J47&gt;0,"주가 반응 기록 있음","주가 미확인·연결 전")</x:f>
        <x:v>주가 미확인·연결 전</x:v>
      </x:c>
      <x:c r="J47" s="141" t="n">
        <x:f>COUNTIF('02_종목반응'!$B$6:$B$166,A47)</x:f>
        <x:v>0</x:v>
      </x:c>
      <x:c r="K47" s="111" t="str">
        <x:v>공개·방영 → 클립·검색 증가 → 팬덤·패러디 → 소비 확장 → 후속 관심</x:v>
      </x:c>
      <x:c r="L47" s="111" t="str">
        <x:v>S234;S235;S236;S237</x:v>
      </x:c>
    </x:row>
    <x:row r="48" ht="42" customHeight="1">
      <x:c r="A48" s="111" t="str">
        <x:v>EV0076</x:v>
      </x:c>
      <x:c r="B48" s="141" t="n">
        <x:v>2024</x:v>
      </x:c>
      <x:c r="C48" s="153" t="str">
        <x:v>콘텐츠·엔터</x:v>
      </x:c>
      <x:c r="D48" s="153" t="str">
        <x:v>영화·애니메이션</x:v>
      </x:c>
      <x:c r="E48" s="111" t="str">
        <x:v>파묘 천만 흥행</x:v>
      </x:c>
      <x:c r="F48" s="111" t="str">
        <x:v>오컬트와 한국 민속 소재, 배우 장면 밈·팬아트가 SNS에서 확산되며 장기 흥행으로 이어졌다.</x:v>
      </x:c>
      <x:c r="G48" s="111" t="str">
        <x:v>포털·SNS·커뮤니티</x:v>
      </x:c>
      <x:c r="H48" s="111" t="str">
        <x:v>대표 방향 상승 | 가격·반응 쇼박스 개봉 1주일 만에 1년 신고가 | 단일 핵심 출처</x:v>
      </x:c>
      <x:c r="I48" s="141" t="str">
        <x:f>IF(J48&gt;0,"주가 반응 기록 있음","주가 미확인·연결 전")</x:f>
        <x:v>주가 반응 기록 있음</x:v>
      </x:c>
      <x:c r="J48" s="141" t="n">
        <x:f>COUNTIF('02_종목반응'!$B$6:$B$166,A48)</x:f>
        <x:v>2</x:v>
      </x:c>
      <x:c r="K48" s="111" t="str">
        <x:v>개봉 → SNS 후기·팬아트 → 1주일 1년 신고가 → 천만 관객</x:v>
      </x:c>
      <x:c r="L48" s="111" t="str">
        <x:v>S144</x:v>
      </x:c>
    </x:row>
    <x:row r="49" ht="42" customHeight="1">
      <x:c r="A49" s="111" t="str">
        <x:v>TR2024-13</x:v>
      </x:c>
      <x:c r="B49" s="141" t="n">
        <x:v>2024</x:v>
      </x:c>
      <x:c r="C49" s="153" t="str">
        <x:v>콘텐츠·엔터</x:v>
      </x:c>
      <x:c r="D49" s="153" t="str">
        <x:v>웹툰·도서</x:v>
      </x:c>
      <x:c r="E49" s="111" t="str">
        <x:v>채식주의자 역주행</x:v>
      </x:c>
      <x:c r="F49" s="111" t="str">
        <x:v>국제 문학상 이슈로 과거 작품의 검색·구매·독서 인증이 다시 늘었다.</x:v>
      </x:c>
      <x:c r="G49" s="111" t="str">
        <x:v>서점·SNS·검색</x:v>
      </x:c>
      <x:c r="H49" s="111" t="str">
        <x:v>연말 검색·플랫폼 결산 또는 동시기 보도에서 확산이 확인됨</x:v>
      </x:c>
      <x:c r="I49" s="141" t="str">
        <x:f>IF(J49&gt;0,"주가 반응 기록 있음","주가 미확인·연결 전")</x:f>
        <x:v>주가 미확인·연결 전</x:v>
      </x:c>
      <x:c r="J49" s="141" t="n">
        <x:f>COUNTIF('02_종목반응'!$B$6:$B$166,A49)</x:f>
        <x:v>0</x:v>
      </x:c>
      <x:c r="K49" s="111" t="str">
        <x:v>공개·방영 → 클립·검색 증가 → 팬덤·패러디 → 소비 확장 → 후속 관심</x:v>
      </x:c>
      <x:c r="L49" s="111" t="str">
        <x:v>S234;S235;S236;S237</x:v>
      </x:c>
    </x:row>
    <x:row r="50" ht="42" customHeight="1">
      <x:c r="A50" s="111" t="str">
        <x:v>EV0073</x:v>
      </x:c>
      <x:c r="B50" s="141" t="n">
        <x:v>2024</x:v>
      </x:c>
      <x:c r="C50" s="153" t="str">
        <x:v>콘텐츠·엔터</x:v>
      </x:c>
      <x:c r="D50" s="153" t="str">
        <x:v>음악·댄스</x:v>
      </x:c>
      <x:c r="E50" s="111" t="str">
        <x:v>로제 APT. 글로벌 밈</x:v>
      </x:c>
      <x:c r="F50" s="111" t="str">
        <x:v>한국 술게임 구호와 단순한 후렴이 틱톡·릴스·유튜브 챌린지에 최적화돼 전 세계 커버와 패러디가 폭발했다.</x:v>
      </x:c>
      <x:c r="G50" s="111" t="str">
        <x:v>SNS·커뮤니티·숏폼</x:v>
      </x:c>
      <x:c r="H50" s="111" t="str">
        <x:v>대표 방향 혼합·급등락 | 가격·반응 YG PLUS 6거래일 157.84% 상승 뒤 이틀 급락 | 복수 출처 교차확인</x:v>
      </x:c>
      <x:c r="I50" s="141" t="str">
        <x:f>IF(J50&gt;0,"주가 반응 기록 있음","주가 미확인·연결 전")</x:f>
        <x:v>주가 반응 기록 있음</x:v>
      </x:c>
      <x:c r="J50" s="141" t="n">
        <x:f>COUNTIF('02_종목반응'!$B$6:$B$166,A50)</x:f>
        <x:v>2</x:v>
      </x:c>
      <x:c r="K50" s="111" t="str">
        <x:v>음원·MV 공개 → 숏폼 챌린지 → 글로벌 차트 1위 → YG PLUS 2연속 상한가 → 차익 급락</x:v>
      </x:c>
      <x:c r="L50" s="111" t="str">
        <x:v>S158;S159</x:v>
      </x:c>
    </x:row>
    <x:row r="51" ht="42" customHeight="1">
      <x:c r="A51" s="111" t="str">
        <x:v>TR2024-14</x:v>
      </x:c>
      <x:c r="B51" s="141" t="n">
        <x:v>2024</x:v>
      </x:c>
      <x:c r="C51" s="153" t="str">
        <x:v>콘텐츠·엔터</x:v>
      </x:c>
      <x:c r="D51" s="153" t="str">
        <x:v>음악·댄스</x:v>
      </x:c>
      <x:c r="E51" s="111" t="str">
        <x:v>APT. 챌린지</x:v>
      </x:c>
      <x:c r="F51" s="111" t="str">
        <x:v>한국 술게임 구호와 반복 후렴이 글로벌 댄스·리액션 영상으로 확산됐다.</x:v>
      </x:c>
      <x:c r="G51" s="111" t="str">
        <x:v>틱톡·유튜브 쇼츠·인스타그램</x:v>
      </x:c>
      <x:c r="H51" s="111" t="str">
        <x:v>연말 검색·플랫폼 결산 또는 동시기 보도에서 확산이 확인됨</x:v>
      </x:c>
      <x:c r="I51" s="141" t="str">
        <x:f>IF(J51&gt;0,"주가 반응 기록 있음","주가 미확인·연결 전")</x:f>
        <x:v>주가 미확인·연결 전</x:v>
      </x:c>
      <x:c r="J51" s="141" t="n">
        <x:f>COUNTIF('02_종목반응'!$B$6:$B$166,A51)</x:f>
        <x:v>0</x:v>
      </x:c>
      <x:c r="K51" s="111" t="str">
        <x:v>원본 게시 → 따라 하기 → 해시태그 확산 → 변형·패러디 → 관심 둔화</x:v>
      </x:c>
      <x:c r="L51" s="111" t="str">
        <x:v>S234;S235;S236;S237</x:v>
      </x:c>
    </x:row>
    <x:row r="52" ht="42" customHeight="1">
      <x:c r="A52" s="111" t="str">
        <x:v>EV0074</x:v>
      </x:c>
      <x:c r="B52" s="141" t="n">
        <x:v>2024</x:v>
      </x:c>
      <x:c r="C52" s="153" t="str">
        <x:v>콘텐츠·엔터</x:v>
      </x:c>
      <x:c r="D52" s="153" t="str">
        <x:v>캐릭터·IP</x:v>
      </x:c>
      <x:c r="E52" s="111" t="str">
        <x:v>사랑의 하츄핑 신드롬</x:v>
      </x:c>
      <x:c r="F52" s="111" t="str">
        <x:v>어린이 팬덤과 부모 세대의 관람 후기, 굿즈 인증, 밈이 겹치며 국산 애니메이션 100만 관객 기대가 커졌다.</x:v>
      </x:c>
      <x:c r="G52" s="111" t="str">
        <x:v>방송·OTT·유튜브·팬커뮤니티</x:v>
      </x:c>
      <x:c r="H52" s="111" t="str">
        <x:v>대표 방향 상승 | 가격·반응 100만 관객 기대 구간에서 SAMG엔터 연일 급등 | 단일 핵심 출처</x:v>
      </x:c>
      <x:c r="I52" s="141" t="str">
        <x:f>IF(J52&gt;0,"주가 반응 기록 있음","주가 미확인·연결 전")</x:f>
        <x:v>주가 반응 기록 있음</x:v>
      </x:c>
      <x:c r="J52" s="141" t="n">
        <x:f>COUNTIF('02_종목반응'!$B$6:$B$166,A52)</x:f>
        <x:v>1</x:v>
      </x:c>
      <x:c r="K52" s="111" t="str">
        <x:v>개봉 → 부모·키즈 입소문 → 굿즈·밈 확산 → 100만 기대 → SAMG엔터 연일 급등</x:v>
      </x:c>
      <x:c r="L52" s="111" t="str">
        <x:v>S143</x:v>
      </x:c>
    </x:row>
    <x:row r="53" ht="42" customHeight="1">
      <x:c r="A53" s="111" t="str">
        <x:v>TR2024-12</x:v>
      </x:c>
      <x:c r="B53" s="141" t="n">
        <x:v>2024</x:v>
      </x:c>
      <x:c r="C53" s="153" t="str">
        <x:v>콘텐츠·엔터</x:v>
      </x:c>
      <x:c r="D53" s="153" t="str">
        <x:v>캐릭터·IP</x:v>
      </x:c>
      <x:c r="E53" s="111" t="str">
        <x:v>제타 AI 캐릭터 채팅</x:v>
      </x:c>
      <x:c r="F53" s="111" t="str">
        <x:v>이용자가 설정한 캐릭터와 대화하는 놀이가 팬픽형 몰입을 만들었다.</x:v>
      </x:c>
      <x:c r="G53" s="111" t="str">
        <x:v>모바일·SNS</x:v>
      </x:c>
      <x:c r="H53" s="111" t="str">
        <x:v>연말 검색·플랫폼 결산 또는 동시기 보도에서 확산이 확인됨</x:v>
      </x:c>
      <x:c r="I53" s="141" t="str">
        <x:f>IF(J53&gt;0,"주가 반응 기록 있음","주가 미확인·연결 전")</x:f>
        <x:v>주가 미확인·연결 전</x:v>
      </x:c>
      <x:c r="J53" s="141" t="n">
        <x:f>COUNTIF('02_종목반응'!$B$6:$B$166,A53)</x:f>
        <x:v>0</x:v>
      </x:c>
      <x:c r="K53" s="111" t="str">
        <x:v>출시·발견 → 이용자 유입 → 공유·경쟁 → 대중화 → 후속 서비스</x:v>
      </x:c>
      <x:c r="L53" s="111" t="str">
        <x:v>S234;S235;S236;S237</x:v>
      </x:c>
    </x:row>
    <x:row r="54" ht="42" customHeight="1">
      <x:c r="A54" s="111" t="str">
        <x:v>EV0077</x:v>
      </x:c>
      <x:c r="B54" s="141" t="n">
        <x:v>2024</x:v>
      </x:c>
      <x:c r="C54" s="153" t="str">
        <x:v>콘텐츠·엔터</x:v>
      </x:c>
      <x:c r="D54" s="153" t="str">
        <x:v>팬덤·공연</x:v>
      </x:c>
      <x:c r="E54" s="111" t="str">
        <x:v>하이브-어도어·민희진 갈등</x:v>
      </x:c>
      <x:c r="F54" s="111" t="str">
        <x:v>감사 착수와 기자회견이 밈·패러디·실시간 중계로 번지며 뉴진스 활동 불확실성과 경영권 갈등 서사가 팬덤 밖까지 확산됐다.</x:v>
      </x:c>
      <x:c r="G54" s="111" t="str">
        <x:v>포털·SNS·커뮤니티</x:v>
      </x:c>
      <x:c r="H54" s="111" t="str">
        <x:v>대표 방향 급락→반등 | 가격·반응 감사 보도일 하이브 7.81% 하락 | 복수 출처 교차확인</x:v>
      </x:c>
      <x:c r="I54" s="141" t="str">
        <x:f>IF(J54&gt;0,"주가 반응 기록 있음","주가 미확인·연결 전")</x:f>
        <x:v>주가 반응 기록 있음</x:v>
      </x:c>
      <x:c r="J54" s="141" t="n">
        <x:f>COUNTIF('02_종목반응'!$B$6:$B$166,A54)</x:f>
        <x:v>1</x:v>
      </x:c>
      <x:c r="K54" s="111" t="str">
        <x:v>감사 보도 → 양측 폭로 → 기자회견 밈화 → 하이브 급락 → 화해 제안에 장중 반등</x:v>
      </x:c>
      <x:c r="L54" s="111" t="str">
        <x:v>S130;S131</x:v>
      </x:c>
    </x:row>
    <x:row r="55" ht="42" customHeight="1">
      <x:c r="A55" s="111" t="str">
        <x:v>EV0078</x:v>
      </x:c>
      <x:c r="B55" s="141" t="n">
        <x:v>2024</x:v>
      </x:c>
      <x:c r="C55" s="153" t="str">
        <x:v>콘텐츠·엔터</x:v>
      </x:c>
      <x:c r="D55" s="153" t="str">
        <x:v>팬덤·공연</x:v>
      </x:c>
      <x:c r="E55" s="111" t="str">
        <x:v>한강 노벨문학상·텍스트힙</x:v>
      </x:c>
      <x:c r="F55" s="111" t="str">
        <x:v>한국 최초 노벨문학상이라는 상징성과 즉시 품절, 독서 인증·‘텍스트힙’ 문화가 관심을 확장했다.</x:v>
      </x:c>
      <x:c r="G55" s="111" t="str">
        <x:v>방송·OTT·유튜브·팬커뮤니티</x:v>
      </x:c>
      <x:c r="H55" s="111" t="str">
        <x:v>대표 방향 상승 | 가격·반응 당일 상한가 29.81% | 단일 핵심 출처</x:v>
      </x:c>
      <x:c r="I55" s="141" t="str">
        <x:f>IF(J55&gt;0,"주가 반응 기록 있음","주가 미확인·연결 전")</x:f>
        <x:v>주가 반응 기록 있음</x:v>
      </x:c>
      <x:c r="J55" s="141" t="n">
        <x:f>COUNTIF('02_종목반응'!$B$6:$B$166,A55)</x:f>
        <x:v>4</x:v>
      </x:c>
      <x:c r="K55" s="111" t="str">
        <x:v>공개·방영 → 조회수·팬덤 확산 → 관련 기업 탐색 → 주가 반응 → 흥행 지속성 검증</x:v>
      </x:c>
      <x:c r="L55" s="111" t="str">
        <x:v>S116</x:v>
      </x:c>
    </x:row>
    <x:row r="56" ht="42" customHeight="1">
      <x:c r="A56" s="111" t="str">
        <x:v>TR2024-10</x:v>
      </x:c>
      <x:c r="B56" s="141" t="n">
        <x:v>2024</x:v>
      </x:c>
      <x:c r="C56" s="153" t="str">
        <x:v>디지털·플랫폼</x:v>
      </x:c>
      <x:c r="D56" s="153" t="str">
        <x:v>AI·생성형</x:v>
      </x:c>
      <x:c r="E56" s="111" t="str">
        <x:v>뤼튼</x:v>
      </x:c>
      <x:c r="F56" s="111" t="str">
        <x:v>한국어 생성형 AI를 일상 글쓰기·검색에 써보는 이용 경험이 확산됐다.</x:v>
      </x:c>
      <x:c r="G56" s="111" t="str">
        <x:v>웹·앱·SNS</x:v>
      </x:c>
      <x:c r="H56" s="111" t="str">
        <x:v>연말 검색·플랫폼 결산 또는 동시기 보도에서 확산이 확인됨</x:v>
      </x:c>
      <x:c r="I56" s="141" t="str">
        <x:f>IF(J56&gt;0,"주가 반응 기록 있음","주가 미확인·연결 전")</x:f>
        <x:v>주가 미확인·연결 전</x:v>
      </x:c>
      <x:c r="J56" s="141" t="n">
        <x:f>COUNTIF('02_종목반응'!$B$6:$B$166,A56)</x:f>
        <x:v>0</x:v>
      </x:c>
      <x:c r="K56" s="111" t="str">
        <x:v>출시·발견 → 이용자 유입 → 공유·경쟁 → 대중화 → 후속 서비스</x:v>
      </x:c>
      <x:c r="L56" s="111" t="str">
        <x:v>S234;S235;S236;S237</x:v>
      </x:c>
    </x:row>
    <x:row r="57" ht="42" customHeight="1">
      <x:c r="A57" s="111" t="str">
        <x:v>TR2024-09</x:v>
      </x:c>
      <x:c r="B57" s="141" t="n">
        <x:v>2024</x:v>
      </x:c>
      <x:c r="C57" s="153" t="str">
        <x:v>디지털·플랫폼</x:v>
      </x:c>
      <x:c r="D57" s="153" t="str">
        <x:v>AI·생성형</x:v>
      </x:c>
      <x:c r="E57" s="111" t="str">
        <x:v>Pencilizing</x:v>
      </x:c>
      <x:c r="F57" s="111" t="str">
        <x:v>사진을 연필 그림처럼 바꾸는 결과물을 즉시 공유하는 놀이가 퍼졌다.</x:v>
      </x:c>
      <x:c r="G57" s="111" t="str">
        <x:v>웹·SNS</x:v>
      </x:c>
      <x:c r="H57" s="111" t="str">
        <x:v>연말 검색·플랫폼 결산 또는 동시기 보도에서 확산이 확인됨</x:v>
      </x:c>
      <x:c r="I57" s="141" t="str">
        <x:f>IF(J57&gt;0,"주가 반응 기록 있음","주가 미확인·연결 전")</x:f>
        <x:v>주가 미확인·연결 전</x:v>
      </x:c>
      <x:c r="J57" s="141" t="n">
        <x:f>COUNTIF('02_종목반응'!$B$6:$B$166,A57)</x:f>
        <x:v>0</x:v>
      </x:c>
      <x:c r="K57" s="111" t="str">
        <x:v>출시·발견 → 이용자 유입 → 공유·경쟁 → 대중화 → 후속 서비스</x:v>
      </x:c>
      <x:c r="L57" s="111" t="str">
        <x:v>S234;S235;S236;S237</x:v>
      </x:c>
    </x:row>
    <x:row r="58" ht="42" customHeight="1">
      <x:c r="A58" s="111" t="str">
        <x:v>TR2024-11</x:v>
      </x:c>
      <x:c r="B58" s="141" t="n">
        <x:v>2024</x:v>
      </x:c>
      <x:c r="C58" s="153" t="str">
        <x:v>디지털·플랫폼</x:v>
      </x:c>
      <x:c r="D58" s="153" t="str">
        <x:v>AI·생성형</x:v>
      </x:c>
      <x:c r="E58" s="111" t="str">
        <x:v>Perplexity</x:v>
      </x:c>
      <x:c r="F58" s="111" t="str">
        <x:v>출처를 붙인 대화형 검색 방식이 기존 검색과 비교되며 관심을 모았다.</x:v>
      </x:c>
      <x:c r="G58" s="111" t="str">
        <x:v>웹·유튜브·커뮤니티</x:v>
      </x:c>
      <x:c r="H58" s="111" t="str">
        <x:v>연말 검색·플랫폼 결산 또는 동시기 보도에서 확산이 확인됨</x:v>
      </x:c>
      <x:c r="I58" s="141" t="str">
        <x:f>IF(J58&gt;0,"주가 반응 기록 있음","주가 미확인·연결 전")</x:f>
        <x:v>주가 미확인·연결 전</x:v>
      </x:c>
      <x:c r="J58" s="141" t="n">
        <x:f>COUNTIF('02_종목반응'!$B$6:$B$166,A58)</x:f>
        <x:v>0</x:v>
      </x:c>
      <x:c r="K58" s="111" t="str">
        <x:v>출시·발견 → 이용자 유입 → 공유·경쟁 → 대중화 → 후속 서비스</x:v>
      </x:c>
      <x:c r="L58" s="111" t="str">
        <x:v>S234;S235;S236;S237</x:v>
      </x:c>
    </x:row>
    <x:row r="59" ht="42" customHeight="1">
      <x:c r="A59" s="111" t="str">
        <x:v>EV0079</x:v>
      </x:c>
      <x:c r="B59" s="141" t="n">
        <x:v>2024</x:v>
      </x:c>
      <x:c r="C59" s="153" t="str">
        <x:v>패션·뷰티</x:v>
      </x:c>
      <x:c r="D59" s="153" t="str">
        <x:v>뷰티·화장품</x:v>
      </x:c>
      <x:c r="E59" s="111" t="str">
        <x:v>K뷰티 글로벌 바이럴</x:v>
      </x:c>
      <x:c r="F59" s="111" t="str">
        <x:v>틱톡의 짧은 사용 후기와 전후 비교, 합리적 가격·독특한 제형이 해외 소비자의 자발적 추천을 만들었다.</x:v>
      </x:c>
      <x:c r="G59" s="111" t="str">
        <x:v>SNS·블로그·검색·오프라인 구매</x:v>
      </x:c>
      <x:c r="H59" s="111" t="str">
        <x:v>대표 방향 상승 | 가격·반응 2024년 기사 기준 연초 이후 주가 5배 이상 | 단일 핵심 출처</x:v>
      </x:c>
      <x:c r="I59" s="141" t="str">
        <x:f>IF(J59&gt;0,"주가 반응 기록 있음","주가 미확인·연결 전")</x:f>
        <x:v>주가 반응 기록 있음</x:v>
      </x:c>
      <x:c r="J59" s="141" t="n">
        <x:f>COUNTIF('02_종목반응'!$B$6:$B$166,A59)</x:f>
        <x:v>1</x:v>
      </x:c>
      <x:c r="K59" s="111" t="str">
        <x:v>제품 노출 → 후기·인증 확산 → 품절·검색 급증 → 관련 기업 주가 반응 → 재구매 검증</x:v>
      </x:c>
      <x:c r="L59" s="111" t="str">
        <x:v>S65</x:v>
      </x:c>
    </x:row>
    <x:row r="60" ht="42" customHeight="1">
      <x:c r="A60" s="111" t="str">
        <x:v>TR2024-15</x:v>
      </x:c>
      <x:c r="B60" s="141" t="n">
        <x:v>2024</x:v>
      </x:c>
      <x:c r="C60" s="153" t="str">
        <x:v>스포츠·건강</x:v>
      </x:c>
      <x:c r="D60" s="153" t="str">
        <x:v>운동·피트니스</x:v>
      </x:c>
      <x:c r="E60" s="111" t="str">
        <x:v>러닝크루</x:v>
      </x:c>
      <x:c r="F60" s="111" t="str">
        <x:v>운동 기록·단체 사진·사회적 모임을 결합해 젊은 층 참여가 늘었다.</x:v>
      </x:c>
      <x:c r="G60" s="111" t="str">
        <x:v>인스타그램·러닝앱·지역 커뮤니티</x:v>
      </x:c>
      <x:c r="H60" s="111" t="str">
        <x:v>연말 검색·플랫폼 결산 또는 동시기 보도에서 확산이 확인됨</x:v>
      </x:c>
      <x:c r="I60" s="141" t="str">
        <x:f>IF(J60&gt;0,"주가 반응 기록 있음","주가 미확인·연결 전")</x:f>
        <x:v>주가 미확인·연결 전</x:v>
      </x:c>
      <x:c r="J60" s="141" t="n">
        <x:f>COUNTIF('02_종목반응'!$B$6:$B$166,A60)</x:f>
        <x:v>0</x:v>
      </x:c>
      <x:c r="K60" s="111" t="str">
        <x:v>발화 → 검색·공유 증가 → 일상 언급·모방 → 관련 소비 탐색 → 관심 둔화</x:v>
      </x:c>
      <x:c r="L60" s="111" t="str">
        <x:v>S234;S235;S236;S237</x:v>
      </x:c>
    </x:row>
    <x:row r="61" ht="42" customHeight="1">
      <x:c r="A61" s="111" t="str">
        <x:v>TR2023-02</x:v>
      </x:c>
      <x:c r="B61" s="141" t="n">
        <x:v>2023</x:v>
      </x:c>
      <x:c r="C61" s="153" t="str">
        <x:v>식품·음료</x:v>
      </x:c>
      <x:c r="D61" s="153" t="str">
        <x:v>간편식·스낵</x:v>
      </x:c>
      <x:c r="E61" s="111" t="str">
        <x:v>먹태깡</x:v>
      </x:c>
      <x:c r="F61" s="111" t="str">
        <x:v>익숙한 과자의 신제품과 품절 인증이 희소성 구매를 키웠다.</x:v>
      </x:c>
      <x:c r="G61" s="111" t="str">
        <x:v>편의점·SNS·중고거래</x:v>
      </x:c>
      <x:c r="H61" s="111" t="str">
        <x:v>연말 검색·플랫폼 결산 또는 동시기 보도에서 확산이 확인됨</x:v>
      </x:c>
      <x:c r="I61" s="141" t="str">
        <x:f>IF(J61&gt;0,"주가 반응 기록 있음","주가 미확인·연결 전")</x:f>
        <x:v>주가 미확인·연결 전</x:v>
      </x:c>
      <x:c r="J61" s="141" t="n">
        <x:f>COUNTIF('02_종목반응'!$B$6:$B$166,A61)</x:f>
        <x:v>0</x:v>
      </x:c>
      <x:c r="K61" s="111" t="str">
        <x:v>첫 노출 → 후기·인증 → 검색·품절 → 모방 제품 → 재구매 또는 소멸</x:v>
      </x:c>
      <x:c r="L61" s="111" t="str">
        <x:v>S232;S233;S237</x:v>
      </x:c>
    </x:row>
    <x:row r="62" ht="42" customHeight="1">
      <x:c r="A62" s="111" t="str">
        <x:v>TR2023-15</x:v>
      </x:c>
      <x:c r="B62" s="141" t="n">
        <x:v>2023</x:v>
      </x:c>
      <x:c r="C62" s="153" t="str">
        <x:v>식품·음료</x:v>
      </x:c>
      <x:c r="D62" s="153" t="str">
        <x:v>디저트·베이커리</x:v>
      </x:c>
      <x:c r="E62" s="111" t="str">
        <x:v>마라엽떡</x:v>
      </x:c>
      <x:c r="F62" s="111" t="str">
        <x:v>익숙한 떡볶이에 마라 맛을 결합해 먹방과 재판매 요청을 만들었다.</x:v>
      </x:c>
      <x:c r="G62" s="111" t="str">
        <x:v>배달앱·유튜브·SNS</x:v>
      </x:c>
      <x:c r="H62" s="111" t="str">
        <x:v>연말 검색·플랫폼 결산 또는 동시기 보도에서 확산이 확인됨</x:v>
      </x:c>
      <x:c r="I62" s="141" t="str">
        <x:f>IF(J62&gt;0,"주가 반응 기록 있음","주가 미확인·연결 전")</x:f>
        <x:v>주가 미확인·연결 전</x:v>
      </x:c>
      <x:c r="J62" s="141" t="n">
        <x:f>COUNTIF('02_종목반응'!$B$6:$B$166,A62)</x:f>
        <x:v>0</x:v>
      </x:c>
      <x:c r="K62" s="111" t="str">
        <x:v>첫 노출 → 후기·인증 → 검색·품절 → 모방 제품 → 재구매 또는 소멸</x:v>
      </x:c>
      <x:c r="L62" s="111" t="str">
        <x:v>S232;S233;S237</x:v>
      </x:c>
    </x:row>
    <x:row r="63" ht="42" customHeight="1">
      <x:c r="A63" s="111" t="str">
        <x:v>TR2023-04</x:v>
      </x:c>
      <x:c r="B63" s="141" t="n">
        <x:v>2023</x:v>
      </x:c>
      <x:c r="C63" s="153" t="str">
        <x:v>식품·음료</x:v>
      </x:c>
      <x:c r="D63" s="153" t="str">
        <x:v>디저트·베이커리</x:v>
      </x:c>
      <x:c r="E63" s="111" t="str">
        <x:v>약과·할매니얼</x:v>
      </x:c>
      <x:c r="F63" s="111" t="str">
        <x:v>전통 간식을 젊은 디자인·디저트로 재해석하며 세대 혼합 소비가 늘었다.</x:v>
      </x:c>
      <x:c r="G63" s="111" t="str">
        <x:v>인스타그램·카페·편의점</x:v>
      </x:c>
      <x:c r="H63" s="111" t="str">
        <x:v>연말 검색·플랫폼 결산 또는 동시기 보도에서 확산이 확인됨</x:v>
      </x:c>
      <x:c r="I63" s="141" t="str">
        <x:f>IF(J63&gt;0,"주가 반응 기록 있음","주가 미확인·연결 전")</x:f>
        <x:v>주가 미확인·연결 전</x:v>
      </x:c>
      <x:c r="J63" s="141" t="n">
        <x:f>COUNTIF('02_종목반응'!$B$6:$B$166,A63)</x:f>
        <x:v>0</x:v>
      </x:c>
      <x:c r="K63" s="111" t="str">
        <x:v>첫 노출 → 후기·인증 → 검색·품절 → 모방 제품 → 재구매 또는 소멸</x:v>
      </x:c>
      <x:c r="L63" s="111" t="str">
        <x:v>S232;S233;S237</x:v>
      </x:c>
    </x:row>
    <x:row r="64" ht="42" customHeight="1">
      <x:c r="A64" s="111" t="str">
        <x:v>TR2023-01</x:v>
      </x:c>
      <x:c r="B64" s="141" t="n">
        <x:v>2023</x:v>
      </x:c>
      <x:c r="C64" s="153" t="str">
        <x:v>식품·음료</x:v>
      </x:c>
      <x:c r="D64" s="153" t="str">
        <x:v>디저트·베이커리</x:v>
      </x:c>
      <x:c r="E64" s="111" t="str">
        <x:v>탕후루</x:v>
      </x:c>
      <x:c r="F64" s="111" t="str">
        <x:v>깨지는 설탕 소리와 과일 색감이 먹방·ASMR·매장 창업을 자극했다.</x:v>
      </x:c>
      <x:c r="G64" s="111" t="str">
        <x:v>틱톡·유튜브·배달</x:v>
      </x:c>
      <x:c r="H64" s="111" t="str">
        <x:v>연말 검색·플랫폼 결산 또는 동시기 보도에서 확산이 확인됨</x:v>
      </x:c>
      <x:c r="I64" s="141" t="str">
        <x:f>IF(J64&gt;0,"주가 반응 기록 있음","주가 미확인·연결 전")</x:f>
        <x:v>주가 미확인·연결 전</x:v>
      </x:c>
      <x:c r="J64" s="141" t="n">
        <x:f>COUNTIF('02_종목반응'!$B$6:$B$166,A64)</x:f>
        <x:v>0</x:v>
      </x:c>
      <x:c r="K64" s="111" t="str">
        <x:v>첫 노출 → 후기·인증 → 검색·품절 → 모방 제품 → 재구매 또는 소멸</x:v>
      </x:c>
      <x:c r="L64" s="111" t="str">
        <x:v>S232;S233;S237</x:v>
      </x:c>
    </x:row>
    <x:row r="65" ht="42" customHeight="1">
      <x:c r="A65" s="111" t="str">
        <x:v>EV0062</x:v>
      </x:c>
      <x:c r="B65" s="141" t="n">
        <x:v>2023</x:v>
      </x:c>
      <x:c r="C65" s="153" t="str">
        <x:v>식품·음료</x:v>
      </x:c>
      <x:c r="D65" s="153" t="str">
        <x:v>식품 유행 일반</x:v>
      </x:c>
      <x:c r="E65" s="111" t="str">
        <x:v>미국 냉동김밥 품절</x:v>
      </x:c>
      <x:c r="F65" s="111" t="str">
        <x:v>한식 친숙도 상승과 간편식 수요 속에서 해외 유통점 품절 영상이 희소성과 호기심을 키웠다.</x:v>
      </x:c>
      <x:c r="G65" s="111" t="str">
        <x:v>SNS·블로그·검색·오프라인 구매</x:v>
      </x:c>
      <x:c r="H65" s="111" t="str">
        <x:v>대표 방향 미확인 | 가격·반응 K푸드 SNS 열풍 수혜 보고서·주가 관심 확대; 정확 수치 미확인 | 단일 핵심 출처</x:v>
      </x:c>
      <x:c r="I65" s="141" t="str">
        <x:f>IF(J65&gt;0,"주가 반응 기록 있음","주가 미확인·연결 전")</x:f>
        <x:v>주가 반응 기록 있음</x:v>
      </x:c>
      <x:c r="J65" s="141" t="n">
        <x:f>COUNTIF('02_종목반응'!$B$6:$B$166,A65)</x:f>
        <x:v>1</x:v>
      </x:c>
      <x:c r="K65" s="111" t="str">
        <x:v>제품 노출 → 후기·인증 확산 → 품절·검색 급증 → 관련 기업 주가 반응 → 재구매 검증</x:v>
      </x:c>
      <x:c r="L65" s="111" t="str">
        <x:v>S57</x:v>
      </x:c>
    </x:row>
    <x:row r="66" ht="42" customHeight="1">
      <x:c r="A66" s="111" t="str">
        <x:v>EV0070</x:v>
      </x:c>
      <x:c r="B66" s="141" t="n">
        <x:v>2023</x:v>
      </x:c>
      <x:c r="C66" s="153" t="str">
        <x:v>식품·음료</x:v>
      </x:c>
      <x:c r="D66" s="153" t="str">
        <x:v>식품 유행 일반</x:v>
      </x:c>
      <x:c r="E66" s="111" t="str">
        <x:v>후쿠시마 오염수·천일염 사재기</x:v>
      </x:c>
      <x:c r="F66" s="111" t="str">
        <x:v>오염수 방류를 앞두고 소금 오염 가능성에 대한 불안과 사재기 사진이 온라인에서 확산됐다.</x:v>
      </x:c>
      <x:c r="G66" s="111" t="str">
        <x:v>포털·커뮤니티·언론</x:v>
      </x:c>
      <x:c r="H66" s="111" t="str">
        <x:v>대표 방향 급등→급락 | 가격·반응 인산가·신송홀딩스 급등 뒤 급락 | 단일 핵심 출처</x:v>
      </x:c>
      <x:c r="I66" s="141" t="str">
        <x:f>IF(J66&gt;0,"주가 반응 기록 있음","주가 미확인·연결 전")</x:f>
        <x:v>주가 반응 기록 있음</x:v>
      </x:c>
      <x:c r="J66" s="141" t="n">
        <x:f>COUNTIF('02_종목반응'!$B$6:$B$166,A66)</x:f>
        <x:v>2</x:v>
      </x:c>
      <x:c r="K66" s="111" t="str">
        <x:v>방류 뉴스 → 사재기 인증·품절 → 소금 관련주 급등 → 과열 인식 뒤 급락</x:v>
      </x:c>
      <x:c r="L66" s="111" t="str">
        <x:v>S127</x:v>
      </x:c>
    </x:row>
    <x:row r="67" ht="42" customHeight="1">
      <x:c r="A67" s="111" t="str">
        <x:v>TR2023-05</x:v>
      </x:c>
      <x:c r="B67" s="141" t="n">
        <x:v>2023</x:v>
      </x:c>
      <x:c r="C67" s="153" t="str">
        <x:v>식품·음료</x:v>
      </x:c>
      <x:c r="D67" s="153" t="str">
        <x:v>외식·프랜차이즈</x:v>
      </x:c>
      <x:c r="E67" s="111" t="str">
        <x:v>오마카세형 소비</x:v>
      </x:c>
      <x:c r="F67" s="111" t="str">
        <x:v>셰프에게 선택을 맡기는 경험과 한정 좌석이 인증·예약 경쟁을 만들었다.</x:v>
      </x:c>
      <x:c r="G67" s="111" t="str">
        <x:v>인스타그램·예약앱</x:v>
      </x:c>
      <x:c r="H67" s="111" t="str">
        <x:v>연말 검색·플랫폼 결산 또는 동시기 보도에서 확산이 확인됨</x:v>
      </x:c>
      <x:c r="I67" s="141" t="str">
        <x:f>IF(J67&gt;0,"주가 반응 기록 있음","주가 미확인·연결 전")</x:f>
        <x:v>주가 미확인·연결 전</x:v>
      </x:c>
      <x:c r="J67" s="141" t="n">
        <x:f>COUNTIF('02_종목반응'!$B$6:$B$166,A67)</x:f>
        <x:v>0</x:v>
      </x:c>
      <x:c r="K67" s="111" t="str">
        <x:v>발화 → 검색·공유 증가 → 일상 언급·모방 → 관련 소비 탐색 → 관심 둔화</x:v>
      </x:c>
      <x:c r="L67" s="111" t="str">
        <x:v>S232;S233;S237</x:v>
      </x:c>
    </x:row>
    <x:row r="68" ht="42" customHeight="1">
      <x:c r="A68" s="111" t="str">
        <x:v>TR2023-03</x:v>
      </x:c>
      <x:c r="B68" s="141" t="n">
        <x:v>2023</x:v>
      </x:c>
      <x:c r="C68" s="153" t="str">
        <x:v>식품·음료</x:v>
      </x:c>
      <x:c r="D68" s="153" t="str">
        <x:v>음료·주류</x:v>
      </x:c>
      <x:c r="E68" s="111" t="str">
        <x:v>아사히 생맥주캔</x:v>
      </x:c>
      <x:c r="F68" s="111" t="str">
        <x:v>뚜껑 전체가 열리고 거품이 솟는 장면이 개봉 영상과 품절을 만들었다.</x:v>
      </x:c>
      <x:c r="G68" s="111" t="str">
        <x:v>편의점·SNS·유튜브</x:v>
      </x:c>
      <x:c r="H68" s="111" t="str">
        <x:v>연말 검색·플랫폼 결산 또는 동시기 보도에서 확산이 확인됨</x:v>
      </x:c>
      <x:c r="I68" s="141" t="str">
        <x:f>IF(J68&gt;0,"주가 반응 기록 있음","주가 미확인·연결 전")</x:f>
        <x:v>주가 미확인·연결 전</x:v>
      </x:c>
      <x:c r="J68" s="141" t="n">
        <x:f>COUNTIF('02_종목반응'!$B$6:$B$166,A68)</x:f>
        <x:v>0</x:v>
      </x:c>
      <x:c r="K68" s="111" t="str">
        <x:v>첫 노출 → 후기·인증 → 검색·품절 → 모방 제품 → 재구매 또는 소멸</x:v>
      </x:c>
      <x:c r="L68" s="111" t="str">
        <x:v>S232;S233;S237</x:v>
      </x:c>
    </x:row>
    <x:row r="69" ht="42" customHeight="1">
      <x:c r="A69" s="111" t="str">
        <x:v>EV0059</x:v>
      </x:c>
      <x:c r="B69" s="141" t="n">
        <x:v>2023</x:v>
      </x:c>
      <x:c r="C69" s="153" t="str">
        <x:v>콘텐츠·엔터</x:v>
      </x:c>
      <x:c r="D69" s="153" t="str">
        <x:v>드라마·OTT</x:v>
      </x:c>
      <x:c r="E69" s="111" t="str">
        <x:v>더 글로리 글로벌 흥행</x:v>
      </x:c>
      <x:c r="F69" s="111" t="str">
        <x:v>학교폭력 복수극의 대사·캐릭터가 밈과 패러디로 재생산되고 넷플릭스 추천 알고리즘을 통해 글로벌 시청이 확산됐다.</x:v>
      </x:c>
      <x:c r="G69" s="111" t="str">
        <x:v>포털·SNS·커뮤니티</x:v>
      </x:c>
      <x:c r="H69" s="111" t="str">
        <x:v>대표 방향 급등락 | 가격·반응 공개 직후 스튜디오드래곤 급등락 | 단일 핵심 출처</x:v>
      </x:c>
      <x:c r="I69" s="141" t="str">
        <x:f>IF(J69&gt;0,"주가 반응 기록 있음","주가 미확인·연결 전")</x:f>
        <x:v>주가 반응 기록 있음</x:v>
      </x:c>
      <x:c r="J69" s="141" t="n">
        <x:f>COUNTIF('02_종목반응'!$B$6:$B$166,A69)</x:f>
        <x:v>1</x:v>
      </x:c>
      <x:c r="K69" s="111" t="str">
        <x:v>시즌1 공개 → 대사·패러디 확산 → 제작사 급등락 → 시즌2 기대 선반영</x:v>
      </x:c>
      <x:c r="L69" s="111" t="str">
        <x:v>S154</x:v>
      </x:c>
    </x:row>
    <x:row r="70" ht="42" customHeight="1">
      <x:c r="A70" s="111" t="str">
        <x:v>TR2023-06</x:v>
      </x:c>
      <x:c r="B70" s="141" t="n">
        <x:v>2023</x:v>
      </x:c>
      <x:c r="C70" s="153" t="str">
        <x:v>콘텐츠·엔터</x:v>
      </x:c>
      <x:c r="D70" s="153" t="str">
        <x:v>드라마·OTT</x:v>
      </x:c>
      <x:c r="E70" s="111" t="str">
        <x:v>더 글로리·연진아</x:v>
      </x:c>
      <x:c r="F70" s="111" t="str">
        <x:v>강한 복수 서사와 이름을 부르는 대사가 짤·광고 문구로 퍼졌다.</x:v>
      </x:c>
      <x:c r="G70" s="111" t="str">
        <x:v>넷플릭스·유튜브·SNS</x:v>
      </x:c>
      <x:c r="H70" s="111" t="str">
        <x:v>연말 검색·플랫폼 결산 또는 동시기 보도에서 확산이 확인됨</x:v>
      </x:c>
      <x:c r="I70" s="141" t="str">
        <x:f>IF(J70&gt;0,"주가 반응 기록 있음","주가 미확인·연결 전")</x:f>
        <x:v>주가 미확인·연결 전</x:v>
      </x:c>
      <x:c r="J70" s="141" t="n">
        <x:f>COUNTIF('02_종목반응'!$B$6:$B$166,A70)</x:f>
        <x:v>0</x:v>
      </x:c>
      <x:c r="K70" s="111" t="str">
        <x:v>공개·방영 → 클립·검색 증가 → 팬덤·패러디 → 소비 확장 → 후속 관심</x:v>
      </x:c>
      <x:c r="L70" s="111" t="str">
        <x:v>S232;S233;S237</x:v>
      </x:c>
    </x:row>
    <x:row r="71" ht="42" customHeight="1">
      <x:c r="A71" s="111" t="str">
        <x:v>TR2023-07</x:v>
      </x:c>
      <x:c r="B71" s="141" t="n">
        <x:v>2023</x:v>
      </x:c>
      <x:c r="C71" s="153" t="str">
        <x:v>콘텐츠·엔터</x:v>
      </x:c>
      <x:c r="D71" s="153" t="str">
        <x:v>드라마·OTT</x:v>
      </x:c>
      <x:c r="E71" s="111" t="str">
        <x:v>무빙</x:v>
      </x:c>
      <x:c r="F71" s="111" t="str">
        <x:v>한국형 초능력 가족 서사와 원작 비교가 회차별 팬 토론을 만들었다.</x:v>
      </x:c>
      <x:c r="G71" s="111" t="str">
        <x:v>디즈니+·웹툰·SNS</x:v>
      </x:c>
      <x:c r="H71" s="111" t="str">
        <x:v>연말 검색·플랫폼 결산 또는 동시기 보도에서 확산이 확인됨</x:v>
      </x:c>
      <x:c r="I71" s="141" t="str">
        <x:f>IF(J71&gt;0,"주가 반응 기록 있음","주가 미확인·연결 전")</x:f>
        <x:v>주가 미확인·연결 전</x:v>
      </x:c>
      <x:c r="J71" s="141" t="n">
        <x:f>COUNTIF('02_종목반응'!$B$6:$B$166,A71)</x:f>
        <x:v>0</x:v>
      </x:c>
      <x:c r="K71" s="111" t="str">
        <x:v>공개·방영 → 클립·검색 증가 → 팬덤·패러디 → 소비 확장 → 후속 관심</x:v>
      </x:c>
      <x:c r="L71" s="111" t="str">
        <x:v>S232;S233;S237</x:v>
      </x:c>
    </x:row>
    <x:row r="72" ht="42" customHeight="1">
      <x:c r="A72" s="111" t="str">
        <x:v>EV0065</x:v>
      </x:c>
      <x:c r="B72" s="141" t="n">
        <x:v>2023</x:v>
      </x:c>
      <x:c r="C72" s="153" t="str">
        <x:v>콘텐츠·엔터</x:v>
      </x:c>
      <x:c r="D72" s="153" t="str">
        <x:v>영화·애니메이션</x:v>
      </x:c>
      <x:c r="E72" s="111" t="str">
        <x:v>서울의 봄 천만 흥행</x:v>
      </x:c>
      <x:c r="F72" s="111" t="str">
        <x:v>현대사 소재와 ‘분노 유발’ 관람 후기, 심박수 챌린지 등이 SNS에서 번지며 세대 간 입소문이 커졌다.</x:v>
      </x:c>
      <x:c r="G72" s="111" t="str">
        <x:v>포털·SNS·커뮤니티</x:v>
      </x:c>
      <x:c r="H72" s="111" t="str">
        <x:v>대표 방향 상승 | 가격·반응 흥행 초기 콘텐트리중앙 동반 상승 | 단일 핵심 출처</x:v>
      </x:c>
      <x:c r="I72" s="141" t="str">
        <x:f>IF(J72&gt;0,"주가 반응 기록 있음","주가 미확인·연결 전")</x:f>
        <x:v>주가 반응 기록 있음</x:v>
      </x:c>
      <x:c r="J72" s="141" t="n">
        <x:f>COUNTIF('02_종목반응'!$B$6:$B$166,A72)</x:f>
        <x:v>1</x:v>
      </x:c>
      <x:c r="K72" s="111" t="str">
        <x:v>개봉 → 관람 후기·심박수 챌린지 → 100만 돌파 → 콘텐트리중앙 상승 → 천만 관객</x:v>
      </x:c>
      <x:c r="L72" s="111" t="str">
        <x:v>S160</x:v>
      </x:c>
    </x:row>
    <x:row r="73" ht="42" customHeight="1">
      <x:c r="A73" s="111" t="str">
        <x:v>TR2023-10</x:v>
      </x:c>
      <x:c r="B73" s="141" t="n">
        <x:v>2023</x:v>
      </x:c>
      <x:c r="C73" s="153" t="str">
        <x:v>콘텐츠·엔터</x:v>
      </x:c>
      <x:c r="D73" s="153" t="str">
        <x:v>음악·댄스</x:v>
      </x:c>
      <x:c r="E73" s="111" t="str">
        <x:v>뉴진스 ETA·Ditto</x:v>
      </x:c>
      <x:c r="F73" s="111" t="str">
        <x:v>친숙한 멜로디와 감성 영상이 춤·패션·해석 콘텐츠를 만들었다.</x:v>
      </x:c>
      <x:c r="G73" s="111" t="str">
        <x:v>유튜브·틱톡·SNS</x:v>
      </x:c>
      <x:c r="H73" s="111" t="str">
        <x:v>연말 검색·플랫폼 결산 또는 동시기 보도에서 확산이 확인됨</x:v>
      </x:c>
      <x:c r="I73" s="141" t="str">
        <x:f>IF(J73&gt;0,"주가 반응 기록 있음","주가 미확인·연결 전")</x:f>
        <x:v>주가 미확인·연결 전</x:v>
      </x:c>
      <x:c r="J73" s="141" t="n">
        <x:f>COUNTIF('02_종목반응'!$B$6:$B$166,A73)</x:f>
        <x:v>0</x:v>
      </x:c>
      <x:c r="K73" s="111" t="str">
        <x:v>공개·방영 → 클립·검색 증가 → 팬덤·패러디 → 소비 확장 → 후속 관심</x:v>
      </x:c>
      <x:c r="L73" s="111" t="str">
        <x:v>S232;S233;S237</x:v>
      </x:c>
    </x:row>
    <x:row r="74" ht="42" customHeight="1">
      <x:c r="A74" s="111" t="str">
        <x:v>TR2023-09</x:v>
      </x:c>
      <x:c r="B74" s="141" t="n">
        <x:v>2023</x:v>
      </x:c>
      <x:c r="C74" s="153" t="str">
        <x:v>콘텐츠·엔터</x:v>
      </x:c>
      <x:c r="D74" s="153" t="str">
        <x:v>음악·댄스</x:v>
      </x:c>
      <x:c r="E74" s="111" t="str">
        <x:v>퀸카 챌린지</x:v>
      </x:c>
      <x:c r="F74" s="111" t="str">
        <x:v>자기긍정 가사와 포인트 안무가 커버 영상으로 확산됐다.</x:v>
      </x:c>
      <x:c r="G74" s="111" t="str">
        <x:v>틱톡·유튜브 쇼츠</x:v>
      </x:c>
      <x:c r="H74" s="111" t="str">
        <x:v>연말 검색·플랫폼 결산 또는 동시기 보도에서 확산이 확인됨</x:v>
      </x:c>
      <x:c r="I74" s="141" t="str">
        <x:f>IF(J74&gt;0,"주가 반응 기록 있음","주가 미확인·연결 전")</x:f>
        <x:v>주가 미확인·연결 전</x:v>
      </x:c>
      <x:c r="J74" s="141" t="n">
        <x:f>COUNTIF('02_종목반응'!$B$6:$B$166,A74)</x:f>
        <x:v>0</x:v>
      </x:c>
      <x:c r="K74" s="111" t="str">
        <x:v>원본 게시 → 따라 하기 → 해시태그 확산 → 변형·패러디 → 관심 둔화</x:v>
      </x:c>
      <x:c r="L74" s="111" t="str">
        <x:v>S232;S233;S237</x:v>
      </x:c>
    </x:row>
    <x:row r="75" ht="42" customHeight="1">
      <x:c r="A75" s="111" t="str">
        <x:v>TR2023-14</x:v>
      </x:c>
      <x:c r="B75" s="141" t="n">
        <x:v>2023</x:v>
      </x:c>
      <x:c r="C75" s="153" t="str">
        <x:v>콘텐츠·엔터</x:v>
      </x:c>
      <x:c r="D75" s="153" t="str">
        <x:v>팬덤·공연</x:v>
      </x:c>
      <x:c r="E75" s="111" t="str">
        <x:v>네컷사진 프레임 협업</x:v>
      </x:c>
      <x:c r="F75" s="111" t="str">
        <x:v>아이돌·캐릭터 프레임으로 함께 찍는 듯한 경험이 수집을 자극했다.</x:v>
      </x:c>
      <x:c r="G75" s="111" t="str">
        <x:v>포토부스·인스타그램</x:v>
      </x:c>
      <x:c r="H75" s="111" t="str">
        <x:v>연말 검색·플랫폼 결산 또는 동시기 보도에서 확산이 확인됨</x:v>
      </x:c>
      <x:c r="I75" s="141" t="str">
        <x:f>IF(J75&gt;0,"주가 반응 기록 있음","주가 미확인·연결 전")</x:f>
        <x:v>주가 미확인·연결 전</x:v>
      </x:c>
      <x:c r="J75" s="141" t="n">
        <x:f>COUNTIF('02_종목반응'!$B$6:$B$166,A75)</x:f>
        <x:v>0</x:v>
      </x:c>
      <x:c r="K75" s="111" t="str">
        <x:v>첫 노출 → 후기·인증 → 검색·품절 → 모방 제품 → 재구매 또는 소멸</x:v>
      </x:c>
      <x:c r="L75" s="111" t="str">
        <x:v>S232;S233;S237</x:v>
      </x:c>
    </x:row>
    <x:row r="76" ht="42" customHeight="1">
      <x:c r="A76" s="111" t="str">
        <x:v>EV0063</x:v>
      </x:c>
      <x:c r="B76" s="141" t="n">
        <x:v>2023</x:v>
      </x:c>
      <x:c r="C76" s="153" t="str">
        <x:v>콘텐츠·엔터</x:v>
      </x:c>
      <x:c r="D76" s="153" t="str">
        <x:v>팬덤·공연</x:v>
      </x:c>
      <x:c r="E76" s="111" t="str">
        <x:v>블랙핑크 재계약 불확실성→확정</x:v>
      </x:c>
      <x:c r="F76" s="111" t="str">
        <x:v>멤버별 이적설과 재계약 루머가 팬 커뮤니티·외신을 통해 반복되며 YG의 핵심 IP 존속 여부가 일일 재료가 됐다.</x:v>
      </x:c>
      <x:c r="G76" s="111" t="str">
        <x:v>방송·OTT·유튜브·팬커뮤니티</x:v>
      </x:c>
      <x:c r="H76" s="111" t="str">
        <x:v>대표 방향 하락→상승 | 가격·반응 한 달 24.28% 하락 뒤 계약 확정일 장중 22% 상승 | 복수 출처 교차확인</x:v>
      </x:c>
      <x:c r="I76" s="141" t="str">
        <x:f>IF(J76&gt;0,"주가 반응 기록 있음","주가 미확인·연결 전")</x:f>
        <x:v>주가 반응 기록 있음</x:v>
      </x:c>
      <x:c r="J76" s="141" t="n">
        <x:f>COUNTIF('02_종목반응'!$B$6:$B$166,A76)</x:f>
        <x:v>1</x:v>
      </x:c>
      <x:c r="K76" s="111" t="str">
        <x:v>계약 만료 임박 → 이적설 반복 → 한 달 급락 → 그룹 계약 확정 → 장중 급등</x:v>
      </x:c>
      <x:c r="L76" s="111" t="str">
        <x:v>S141;S142</x:v>
      </x:c>
    </x:row>
    <x:row r="77" ht="42" customHeight="1">
      <x:c r="A77" s="111" t="str">
        <x:v>EV0066</x:v>
      </x:c>
      <x:c r="B77" s="141" t="n">
        <x:v>2023</x:v>
      </x:c>
      <x:c r="C77" s="153" t="str">
        <x:v>콘텐츠·엔터</x:v>
      </x:c>
      <x:c r="D77" s="153" t="str">
        <x:v>팬덤·공연</x:v>
      </x:c>
      <x:c r="E77" s="111" t="str">
        <x:v>아기상어 제작사 IPO 기대</x:v>
      </x:c>
      <x:c r="F77" s="111" t="str">
        <x:v>‘아기상어’의 세계적 조회 수 기록이 제작사 상장 기대와 결합해 관련 기업 찾기로 이어졌다.</x:v>
      </x:c>
      <x:c r="G77" s="111" t="str">
        <x:v>방송·OTT·유튜브·팬커뮤니티</x:v>
      </x:c>
      <x:c r="H77" s="111" t="str">
        <x:v>대표 방향 상승 | 가격·반응 상장 추진 보도에 상한가 | 단일 핵심 출처</x:v>
      </x:c>
      <x:c r="I77" s="141" t="str">
        <x:f>IF(J77&gt;0,"주가 반응 기록 있음","주가 미확인·연결 전")</x:f>
        <x:v>주가 반응 기록 있음</x:v>
      </x:c>
      <x:c r="J77" s="141" t="n">
        <x:f>COUNTIF('02_종목반응'!$B$6:$B$166,A77)</x:f>
        <x:v>1</x:v>
      </x:c>
      <x:c r="K77" s="111" t="str">
        <x:v>공개·방영 → 조회수·팬덤 확산 → 관련 기업 탐색 → 주가 반응 → 흥행 지속성 검증</x:v>
      </x:c>
      <x:c r="L77" s="111" t="str">
        <x:v>S60</x:v>
      </x:c>
    </x:row>
    <x:row r="78" ht="42" customHeight="1">
      <x:c r="A78" s="111" t="str">
        <x:v>EV0067</x:v>
      </x:c>
      <x:c r="B78" s="141" t="n">
        <x:v>2023</x:v>
      </x:c>
      <x:c r="C78" s="153" t="str">
        <x:v>디지털·플랫폼</x:v>
      </x:c>
      <x:c r="D78" s="153" t="str">
        <x:v>모바일·플랫폼</x:v>
      </x:c>
      <x:c r="E78" s="111" t="str">
        <x:v>챗GPT 돌풍</x:v>
      </x:c>
      <x:c r="F78" s="111" t="str">
        <x:v>누구나 바로 체험할 수 있는 대화형 AI가 놀라운 결과물을 보여주며 사용 후기와 직업 대체 논쟁을 폭발시켰다.</x:v>
      </x:c>
      <x:c r="G78" s="111" t="str">
        <x:v>포털·SNS·커뮤니티</x:v>
      </x:c>
      <x:c r="H78" s="111" t="str">
        <x:v>대표 방향 상승 | 가격·반응 당일 상한가 29.93% | 단일 핵심 출처</x:v>
      </x:c>
      <x:c r="I78" s="141" t="str">
        <x:f>IF(J78&gt;0,"주가 반응 기록 있음","주가 미확인·연결 전")</x:f>
        <x:v>주가 반응 기록 있음</x:v>
      </x:c>
      <x:c r="J78" s="141" t="n">
        <x:f>COUNTIF('02_종목반응'!$B$6:$B$166,A78)</x:f>
        <x:v>6</x:v>
      </x:c>
      <x:c r="K78" s="111" t="str">
        <x:v>발화 → 포털·SNS 확산 → 관련주 묶기 → 주가 반응 → 기사·공시로 검증</x:v>
      </x:c>
      <x:c r="L78" s="111" t="str">
        <x:v>S115</x:v>
      </x:c>
    </x:row>
    <x:row r="79" ht="42" customHeight="1">
      <x:c r="A79" s="111" t="str">
        <x:v>TR2023-12</x:v>
      </x:c>
      <x:c r="B79" s="141" t="n">
        <x:v>2023</x:v>
      </x:c>
      <x:c r="C79" s="153" t="str">
        <x:v>디지털·플랫폼</x:v>
      </x:c>
      <x:c r="D79" s="153" t="str">
        <x:v>SNS·커뮤니티</x:v>
      </x:c>
      <x:c r="E79" s="111" t="str">
        <x:v>스레드 앱</x:v>
      </x:c>
      <x:c r="F79" s="111" t="str">
        <x:v>인스타그램 계정과 연결된 새 텍스트 SNS에 초기 가입 인증이 몰렸다.</x:v>
      </x:c>
      <x:c r="G79" s="111" t="str">
        <x:v>Threads·인스타그램</x:v>
      </x:c>
      <x:c r="H79" s="111" t="str">
        <x:v>연말 검색·플랫폼 결산 또는 동시기 보도에서 확산이 확인됨</x:v>
      </x:c>
      <x:c r="I79" s="141" t="str">
        <x:f>IF(J79&gt;0,"주가 반응 기록 있음","주가 미확인·연결 전")</x:f>
        <x:v>주가 미확인·연결 전</x:v>
      </x:c>
      <x:c r="J79" s="141" t="n">
        <x:f>COUNTIF('02_종목반응'!$B$6:$B$166,A79)</x:f>
        <x:v>0</x:v>
      </x:c>
      <x:c r="K79" s="111" t="str">
        <x:v>출시·발견 → 이용자 유입 → 공유·경쟁 → 대중화 → 후속 서비스</x:v>
      </x:c>
      <x:c r="L79" s="111" t="str">
        <x:v>S232;S233;S237</x:v>
      </x:c>
    </x:row>
    <x:row r="80" ht="42" customHeight="1">
      <x:c r="A80" s="111" t="str">
        <x:v>TR2023-11</x:v>
      </x:c>
      <x:c r="B80" s="141" t="n">
        <x:v>2023</x:v>
      </x:c>
      <x:c r="C80" s="153" t="str">
        <x:v>디지털·플랫폼</x:v>
      </x:c>
      <x:c r="D80" s="153" t="str">
        <x:v>SNS·커뮤니티</x:v>
      </x:c>
      <x:c r="E80" s="111" t="str">
        <x:v>슬릭백 챌린지</x:v>
      </x:c>
      <x:c r="F80" s="111" t="str">
        <x:v>공중에 뜨는 듯한 발동작이 성공·실패 영상을 반복 생산했다.</x:v>
      </x:c>
      <x:c r="G80" s="111" t="str">
        <x:v>틱톡·유튜브 쇼츠</x:v>
      </x:c>
      <x:c r="H80" s="111" t="str">
        <x:v>연말 검색·플랫폼 결산 또는 동시기 보도에서 확산이 확인됨</x:v>
      </x:c>
      <x:c r="I80" s="141" t="str">
        <x:f>IF(J80&gt;0,"주가 반응 기록 있음","주가 미확인·연결 전")</x:f>
        <x:v>주가 미확인·연결 전</x:v>
      </x:c>
      <x:c r="J80" s="141" t="n">
        <x:f>COUNTIF('02_종목반응'!$B$6:$B$166,A80)</x:f>
        <x:v>0</x:v>
      </x:c>
      <x:c r="K80" s="111" t="str">
        <x:v>원본 게시 → 따라 하기 → 해시태그 확산 → 변형·패러디 → 관심 둔화</x:v>
      </x:c>
      <x:c r="L80" s="111" t="str">
        <x:v>S232;S233;S237</x:v>
      </x:c>
    </x:row>
    <x:row r="81" ht="42" customHeight="1">
      <x:c r="A81" s="111" t="str">
        <x:v>EV0071</x:v>
      </x:c>
      <x:c r="B81" s="141" t="n">
        <x:v>2023</x:v>
      </x:c>
      <x:c r="C81" s="153" t="str">
        <x:v>디지털·플랫폼</x:v>
      </x:c>
      <x:c r="D81" s="153" t="str">
        <x:v>SNS·커뮤니티</x:v>
      </x:c>
      <x:c r="E81" s="111" t="str">
        <x:v>LK-99 상온 초전도체 주장</x:v>
      </x:c>
      <x:c r="F81" s="111" t="str">
        <x:v>국내 연구진의 상온·상압 초전도체 주장 논문이 커뮤니티와 SNS에서 재생산되고 해외 검증 글까지 실시간 중계되며 FOMO가 형성됐다.</x:v>
      </x:c>
      <x:c r="G81" s="111" t="str">
        <x:v>SNS·커뮤니티·숏폼</x:v>
      </x:c>
      <x:c r="H81" s="111" t="str">
        <x:v>대표 방향 급등→급락 | 가격·반응 2~4배 급등 뒤 다수 종목 하한가·20%대 급락 | 복수 출처 교차확인</x:v>
      </x:c>
      <x:c r="I81" s="141" t="str">
        <x:f>IF(J81&gt;0,"주가 반응 기록 있음","주가 미확인·연결 전")</x:f>
        <x:v>주가 반응 기록 있음</x:v>
      </x:c>
      <x:c r="J81" s="141" t="n">
        <x:f>COUNTIF('02_종목반응'!$B$6:$B$166,A81)</x:f>
        <x:v>8</x:v>
      </x:c>
      <x:c r="K81" s="111" t="str">
        <x:v>논문 공개 → SNS·커뮤니티 폭증 → 무관 종목까지 상한가 → 해외 반박 급락 → 긍정 SNS 글에 재급등</x:v>
      </x:c>
      <x:c r="L81" s="111" t="str">
        <x:v>S119;S120;S121;S122</x:v>
      </x:c>
    </x:row>
    <x:row r="82" ht="42" customHeight="1">
      <x:c r="A82" s="111" t="str">
        <x:v>TR2023-08</x:v>
      </x:c>
      <x:c r="B82" s="141" t="n">
        <x:v>2023</x:v>
      </x:c>
      <x:c r="C82" s="153" t="str">
        <x:v>게임·e스포츠</x:v>
      </x:c>
      <x:c r="D82" s="153" t="str">
        <x:v>소셜·캐주얼게임</x:v>
      </x:c>
      <x:c r="E82" s="111" t="str">
        <x:v>수박게임</x:v>
      </x:c>
      <x:c r="F82" s="111" t="str">
        <x:v>과일을 합치는 단순 규칙과 예측 불가 실패가 방송 클립에 적합했다.</x:v>
      </x:c>
      <x:c r="G82" s="111" t="str">
        <x:v>닌텐도·유튜브·스트리밍</x:v>
      </x:c>
      <x:c r="H82" s="111" t="str">
        <x:v>연말 검색·플랫폼 결산 또는 동시기 보도에서 확산이 확인됨</x:v>
      </x:c>
      <x:c r="I82" s="141" t="str">
        <x:f>IF(J82&gt;0,"주가 반응 기록 있음","주가 미확인·연결 전")</x:f>
        <x:v>주가 미확인·연결 전</x:v>
      </x:c>
      <x:c r="J82" s="141" t="n">
        <x:f>COUNTIF('02_종목반응'!$B$6:$B$166,A82)</x:f>
        <x:v>0</x:v>
      </x:c>
      <x:c r="K82" s="111" t="str">
        <x:v>출시·발견 → 이용자 유입 → 공유·경쟁 → 대중화 → 후속 서비스</x:v>
      </x:c>
      <x:c r="L82" s="111" t="str">
        <x:v>S232;S233;S237</x:v>
      </x:c>
    </x:row>
    <x:row r="83" ht="42" customHeight="1">
      <x:c r="A83" s="111" t="str">
        <x:v>EV0060</x:v>
      </x:c>
      <x:c r="B83" s="141" t="n">
        <x:v>2023</x:v>
      </x:c>
      <x:c r="C83" s="153" t="str">
        <x:v>패션·뷰티</x:v>
      </x:c>
      <x:c r="D83" s="153" t="str">
        <x:v>뷰티·화장품</x:v>
      </x:c>
      <x:c r="E83" s="111" t="str">
        <x:v>리들샷</x:v>
      </x:c>
      <x:c r="F83" s="111" t="str">
        <x:v>다이소의 낮은 체험 가격과 피부 시술을 연상시키는 독특한 사용감이 뷰티 후기와 품절 인증을 만들었다.</x:v>
      </x:c>
      <x:c r="G83" s="111" t="str">
        <x:v>SNS·블로그·검색·오프라인 구매</x:v>
      </x:c>
      <x:c r="H83" s="111" t="str">
        <x:v>대표 방향 상승 | 가격·반응 2023년 당시 연초 대비 3배 이상 상승 | 단일 핵심 출처</x:v>
      </x:c>
      <x:c r="I83" s="141" t="str">
        <x:f>IF(J83&gt;0,"주가 반응 기록 있음","주가 미확인·연결 전")</x:f>
        <x:v>주가 반응 기록 있음</x:v>
      </x:c>
      <x:c r="J83" s="141" t="n">
        <x:f>COUNTIF('02_종목반응'!$B$6:$B$166,A83)</x:f>
        <x:v>1</x:v>
      </x:c>
      <x:c r="K83" s="111" t="str">
        <x:v>제품 노출 → 후기·인증 확산 → 품절·검색 급증 → 관련 기업 주가 반응 → 재구매 검증</x:v>
      </x:c>
      <x:c r="L83" s="111" t="str">
        <x:v>S56</x:v>
      </x:c>
    </x:row>
    <x:row r="84" ht="42" customHeight="1">
      <x:c r="A84" s="111" t="str">
        <x:v>TR2023-13</x:v>
      </x:c>
      <x:c r="B84" s="141" t="n">
        <x:v>2023</x:v>
      </x:c>
      <x:c r="C84" s="153" t="str">
        <x:v>생활·소비</x:v>
      </x:c>
      <x:c r="D84" s="153" t="str">
        <x:v>유통·쇼핑</x:v>
      </x:c>
      <x:c r="E84" s="111" t="str">
        <x:v>팝업스토어 오픈런</x:v>
      </x:c>
      <x:c r="F84" s="111" t="str">
        <x:v>기간 한정 공간과 굿즈가 방문 인증·대기·희소성 소비를 만들었다.</x:v>
      </x:c>
      <x:c r="G84" s="111" t="str">
        <x:v>인스타그램·성수동·예약앱</x:v>
      </x:c>
      <x:c r="H84" s="111" t="str">
        <x:v>연말 검색·플랫폼 결산 또는 동시기 보도에서 확산이 확인됨</x:v>
      </x:c>
      <x:c r="I84" s="141" t="str">
        <x:f>IF(J84&gt;0,"주가 반응 기록 있음","주가 미확인·연결 전")</x:f>
        <x:v>주가 미확인·연결 전</x:v>
      </x:c>
      <x:c r="J84" s="141" t="n">
        <x:f>COUNTIF('02_종목반응'!$B$6:$B$166,A84)</x:f>
        <x:v>0</x:v>
      </x:c>
      <x:c r="K84" s="111" t="str">
        <x:v>첫 노출 → 후기·인증 → 검색·품절 → 모방 제품 → 재구매 또는 소멸</x:v>
      </x:c>
      <x:c r="L84" s="111" t="str">
        <x:v>S232;S233;S237</x:v>
      </x:c>
    </x:row>
    <x:row r="85" ht="42" customHeight="1">
      <x:c r="A85" s="111" t="str">
        <x:v>EV0064</x:v>
      </x:c>
      <x:c r="B85" s="141" t="n">
        <x:v>2023</x:v>
      </x:c>
      <x:c r="C85" s="153" t="str">
        <x:v>스포츠·건강</x:v>
      </x:c>
      <x:c r="D85" s="153" t="str">
        <x:v>건강·방역</x:v>
      </x:c>
      <x:c r="E85" s="111" t="str">
        <x:v>빈대 공포 확산</x:v>
      </x:c>
      <x:c r="F85" s="111" t="str">
        <x:v>전국 빈대 출몰 제보와 사진이 뉴스·SNS에서 반복 노출되면서 살충제 품절과 방역 수요 공포가 커졌다.</x:v>
      </x:c>
      <x:c r="G85" s="111" t="str">
        <x:v>포털·커뮤니티·언론</x:v>
      </x:c>
      <x:c r="H85" s="111" t="str">
        <x:v>대표 방향 상승 | 가격·반응 경남제약 주간 39.2%, 동성제약 16.2% 상승 | 단일 핵심 출처</x:v>
      </x:c>
      <x:c r="I85" s="141" t="str">
        <x:f>IF(J85&gt;0,"주가 반응 기록 있음","주가 미확인·연결 전")</x:f>
        <x:v>주가 반응 기록 있음</x:v>
      </x:c>
      <x:c r="J85" s="141" t="n">
        <x:f>COUNTIF('02_종목반응'!$B$6:$B$166,A85)</x:f>
        <x:v>2</x:v>
      </x:c>
      <x:c r="K85" s="111" t="str">
        <x:v>출몰 제보 → SNS 사진·뉴스 확산 → 살충제 판매 급증 → 제약·방역주 급등</x:v>
      </x:c>
      <x:c r="L85" s="111" t="str">
        <x:v>S124</x:v>
      </x:c>
    </x:row>
    <x:row r="86" ht="42" customHeight="1">
      <x:c r="A86" s="111" t="str">
        <x:v>EV0061</x:v>
      </x:c>
      <x:c r="B86" s="141" t="n">
        <x:v>2023</x:v>
      </x:c>
      <x:c r="C86" s="153" t="str">
        <x:v>사회·온라인문화</x:v>
      </x:c>
      <x:c r="D86" s="153" t="str">
        <x:v>밈·유행어</x:v>
      </x:c>
      <x:c r="E86" s="111" t="str">
        <x:v>맥신 상용화 기대</x:v>
      </x:c>
      <x:c r="F86" s="111" t="str">
        <x:v>한국 연구진의 대량생산 가능성 보도가 초전도체 다음 테마를 찾던 온라인 투자자 수요와 결합해 관련성 탐색이 급속히 퍼졌다.</x:v>
      </x:c>
      <x:c r="G86" s="111" t="str">
        <x:v>포털·SNS·커뮤니티</x:v>
      </x:c>
      <x:c r="H86" s="111" t="str">
        <x:v>대표 방향 상승 | 가격·반응 태경산업·휴비스·경동인베스트 동시 상한가 | 단일 핵심 출처</x:v>
      </x:c>
      <x:c r="I86" s="141" t="str">
        <x:f>IF(J86&gt;0,"주가 반응 기록 있음","주가 미확인·연결 전")</x:f>
        <x:v>주가 반응 기록 있음</x:v>
      </x:c>
      <x:c r="J86" s="141" t="n">
        <x:f>COUNTIF('02_종목반응'!$B$6:$B$166,A86)</x:f>
        <x:v>3</x:v>
      </x:c>
      <x:c r="K86" s="111" t="str">
        <x:v>연구 보도 → 온라인 관련주 찾기 → 3개 종목 동시 상한가 → 단기 테마 소진</x:v>
      </x:c>
      <x:c r="L86" s="111" t="str">
        <x:v>S123</x:v>
      </x:c>
    </x:row>
    <x:row r="87" ht="42" customHeight="1">
      <x:c r="A87" s="111" t="str">
        <x:v>TR2023-16</x:v>
      </x:c>
      <x:c r="B87" s="141" t="n">
        <x:v>2023</x:v>
      </x:c>
      <x:c r="C87" s="153" t="str">
        <x:v>사회·온라인문화</x:v>
      </x:c>
      <x:c r="D87" s="153" t="str">
        <x:v>밈·유행어</x:v>
      </x:c>
      <x:c r="E87" s="111" t="str">
        <x:v>원영적 사고</x:v>
      </x:c>
      <x:c r="F87" s="111" t="str">
        <x:v>불리한 상황도 긍정적으로 해석하는 말투가 자기계발형 밈으로 퍼졌다.</x:v>
      </x:c>
      <x:c r="G87" s="111" t="str">
        <x:v>팬커뮤니티·SNS</x:v>
      </x:c>
      <x:c r="H87" s="111" t="str">
        <x:v>연말 검색·플랫폼 결산 또는 동시기 보도에서 확산이 확인됨</x:v>
      </x:c>
      <x:c r="I87" s="141" t="str">
        <x:f>IF(J87&gt;0,"주가 반응 기록 있음","주가 미확인·연결 전")</x:f>
        <x:v>주가 미확인·연결 전</x:v>
      </x:c>
      <x:c r="J87" s="141" t="n">
        <x:f>COUNTIF('02_종목반응'!$B$6:$B$166,A87)</x:f>
        <x:v>0</x:v>
      </x:c>
      <x:c r="K87" s="111" t="str">
        <x:v>발화 → 검색·공유 증가 → 일상 언급·모방 → 관련 소비 탐색 → 관심 둔화</x:v>
      </x:c>
      <x:c r="L87" s="111" t="str">
        <x:v>S232;S233;S237</x:v>
      </x:c>
    </x:row>
    <x:row r="88" ht="42" customHeight="1">
      <x:c r="A88" s="111" t="str">
        <x:v>TR2022-02</x:v>
      </x:c>
      <x:c r="B88" s="141" t="n">
        <x:v>2022</x:v>
      </x:c>
      <x:c r="C88" s="153" t="str">
        <x:v>식품·음료</x:v>
      </x:c>
      <x:c r="D88" s="153" t="str">
        <x:v>디저트·베이커리</x:v>
      </x:c>
      <x:c r="E88" s="111" t="str">
        <x:v>소금빵</x:v>
      </x:c>
      <x:c r="F88" s="111" t="str">
        <x:v>단순한 모양과 버터 풍미, 빵집별 비교 후기가 반복 구매를 만들었다.</x:v>
      </x:c>
      <x:c r="G88" s="111" t="str">
        <x:v>인스타그램·베이커리</x:v>
      </x:c>
      <x:c r="H88" s="111" t="str">
        <x:v>연말 검색·플랫폼 결산 또는 동시기 보도에서 확산이 확인됨</x:v>
      </x:c>
      <x:c r="I88" s="141" t="str">
        <x:f>IF(J88&gt;0,"주가 반응 기록 있음","주가 미확인·연결 전")</x:f>
        <x:v>주가 미확인·연결 전</x:v>
      </x:c>
      <x:c r="J88" s="141" t="n">
        <x:f>COUNTIF('02_종목반응'!$B$6:$B$166,A88)</x:f>
        <x:v>0</x:v>
      </x:c>
      <x:c r="K88" s="111" t="str">
        <x:v>첫 노출 → 후기·인증 → 검색·품절 → 모방 제품 → 재구매 또는 소멸</x:v>
      </x:c>
      <x:c r="L88" s="111" t="str">
        <x:v>S230;S231;S237</x:v>
      </x:c>
    </x:row>
    <x:row r="89" ht="42" customHeight="1">
      <x:c r="A89" s="111" t="str">
        <x:v>EV0051</x:v>
      </x:c>
      <x:c r="B89" s="141" t="n">
        <x:v>2022</x:v>
      </x:c>
      <x:c r="C89" s="153" t="str">
        <x:v>식품·음료</x:v>
      </x:c>
      <x:c r="D89" s="153" t="str">
        <x:v>디저트·베이커리</x:v>
      </x:c>
      <x:c r="E89" s="111" t="str">
        <x:v>재벌집 막내아들 흥행</x:v>
      </x:c>
      <x:c r="F89" s="111" t="str">
        <x:v>회귀 판타지와 재벌·현대사 소재, 배우 팬덤, 높은 시청률이 온라인 화제성을 키웠다.</x:v>
      </x:c>
      <x:c r="G89" s="111" t="str">
        <x:v>방송·OTT·유튜브·팬커뮤니티</x:v>
      </x:c>
      <x:c r="H89" s="111" t="str">
        <x:v>대표 방향 상승→하락 | 가격·반응 첫 주 약 70% 상승 후 고점 대비 30% 이상 하락 | 단일 핵심 출처</x:v>
      </x:c>
      <x:c r="I89" s="141" t="str">
        <x:f>IF(J89&gt;0,"주가 반응 기록 있음","주가 미확인·연결 전")</x:f>
        <x:v>주가 반응 기록 있음</x:v>
      </x:c>
      <x:c r="J89" s="141" t="n">
        <x:f>COUNTIF('02_종목반응'!$B$6:$B$166,A89)</x:f>
        <x:v>1</x:v>
      </x:c>
      <x:c r="K89" s="111" t="str">
        <x:v>공개·방영 → 조회수·팬덤 확산 → 관련 기업 탐색 → 주가 반응 → 흥행 지속성 검증</x:v>
      </x:c>
      <x:c r="L89" s="111" t="str">
        <x:v>S113</x:v>
      </x:c>
    </x:row>
    <x:row r="90" ht="42" customHeight="1">
      <x:c r="A90" s="111" t="str">
        <x:v>TR2022-01</x:v>
      </x:c>
      <x:c r="B90" s="141" t="n">
        <x:v>2022</x:v>
      </x:c>
      <x:c r="C90" s="153" t="str">
        <x:v>식품·음료</x:v>
      </x:c>
      <x:c r="D90" s="153" t="str">
        <x:v>디저트·베이커리</x:v>
      </x:c>
      <x:c r="E90" s="111" t="str">
        <x:v>포켓몬빵</x:v>
      </x:c>
      <x:c r="F90" s="111" t="str">
        <x:v>추억의 띠부씰 수집과 희귀 캐릭터 교환이 오픈런·품절을 만들었다.</x:v>
      </x:c>
      <x:c r="G90" s="111" t="str">
        <x:v>편의점·SNS·중고거래</x:v>
      </x:c>
      <x:c r="H90" s="111" t="str">
        <x:v>연말 검색·플랫폼 결산 또는 동시기 보도에서 확산이 확인됨</x:v>
      </x:c>
      <x:c r="I90" s="141" t="str">
        <x:f>IF(J90&gt;0,"주가 반응 기록 있음","주가 미확인·연결 전")</x:f>
        <x:v>주가 미확인·연결 전</x:v>
      </x:c>
      <x:c r="J90" s="141" t="n">
        <x:f>COUNTIF('02_종목반응'!$B$6:$B$166,A90)</x:f>
        <x:v>0</x:v>
      </x:c>
      <x:c r="K90" s="111" t="str">
        <x:v>첫 노출 → 후기·인증 → 검색·품절 → 모방 제품 → 재구매 또는 소멸</x:v>
      </x:c>
      <x:c r="L90" s="111" t="str">
        <x:v>S230;S231;S237</x:v>
      </x:c>
    </x:row>
    <x:row r="91" ht="42" customHeight="1">
      <x:c r="A91" s="111" t="str">
        <x:v>EV0054</x:v>
      </x:c>
      <x:c r="B91" s="141" t="n">
        <x:v>2022</x:v>
      </x:c>
      <x:c r="C91" s="153" t="str">
        <x:v>식품·음료</x:v>
      </x:c>
      <x:c r="D91" s="153" t="str">
        <x:v>디저트·베이커리</x:v>
      </x:c>
      <x:c r="E91" s="111" t="str">
        <x:v>포켓몬빵·띠부씰</x:v>
      </x:c>
      <x:c r="F91" s="111" t="str">
        <x:v>어린 시절 향수와 랜덤 띠부씰 수집·교환 욕구, 한정 공급이 결합해 품절 경쟁을 만들었다.</x:v>
      </x:c>
      <x:c r="G91" s="111" t="str">
        <x:v>SNS·블로그·검색·오프라인 구매</x:v>
      </x:c>
      <x:c r="H91" s="111" t="str">
        <x:v>대표 방향 상승 | 가격·반응 2월 20% 상승 뒤 열풍이 주가를 추가로 밀어올림 | 단일 핵심 출처</x:v>
      </x:c>
      <x:c r="I91" s="141" t="str">
        <x:f>IF(J91&gt;0,"주가 반응 기록 있음","주가 미확인·연결 전")</x:f>
        <x:v>주가 반응 기록 있음</x:v>
      </x:c>
      <x:c r="J91" s="141" t="n">
        <x:f>COUNTIF('02_종목반응'!$B$6:$B$166,A91)</x:f>
        <x:v>1</x:v>
      </x:c>
      <x:c r="K91" s="111" t="str">
        <x:v>제품 노출 → 후기·인증 확산 → 품절·검색 급증 → 관련 기업 주가 반응 → 재구매 검증</x:v>
      </x:c>
      <x:c r="L91" s="111" t="str">
        <x:v>S54</x:v>
      </x:c>
    </x:row>
    <x:row r="92" ht="42" customHeight="1">
      <x:c r="A92" s="111" t="str">
        <x:v>EV0057</x:v>
      </x:c>
      <x:c r="B92" s="141" t="n">
        <x:v>2022</x:v>
      </x:c>
      <x:c r="C92" s="153" t="str">
        <x:v>식품·음료</x:v>
      </x:c>
      <x:c r="D92" s="153" t="str">
        <x:v>식품 유행 일반</x:v>
      </x:c>
      <x:c r="E92" s="111" t="str">
        <x:v>SPC 공장 사고 불매운동</x:v>
      </x:c>
      <x:c r="F92" s="111" t="str">
        <x:v>공장 사망 사고와 이후 대응 논란이 SNS 해시태그·불매 인증으로 확산되며 브랜드 전반의 소비 거부 운동으로 이어졌다.</x:v>
      </x:c>
      <x:c r="G92" s="111" t="str">
        <x:v>포털·SNS·커뮤니티</x:v>
      </x:c>
      <x:c r="H92" s="111" t="str">
        <x:v>대표 방향 하락 | 가격·반응 SPC삼립 4.3% 하락 | 단일 핵심 출처</x:v>
      </x:c>
      <x:c r="I92" s="141" t="str">
        <x:f>IF(J92&gt;0,"주가 반응 기록 있음","주가 미확인·연결 전")</x:f>
        <x:v>주가 반응 기록 있음</x:v>
      </x:c>
      <x:c r="J92" s="141" t="n">
        <x:f>COUNTIF('02_종목반응'!$B$6:$B$166,A92)</x:f>
        <x:v>1</x:v>
      </x:c>
      <x:c r="K92" s="111" t="str">
        <x:v>사고 보도 → 대응 논란 → SNS 불매 해시태그 → SPC삼립 하락</x:v>
      </x:c>
      <x:c r="L92" s="111" t="str">
        <x:v>S134</x:v>
      </x:c>
    </x:row>
    <x:row r="93" ht="42" customHeight="1">
      <x:c r="A93" s="111" t="str">
        <x:v>EV0053</x:v>
      </x:c>
      <x:c r="B93" s="141" t="n">
        <x:v>2022</x:v>
      </x:c>
      <x:c r="C93" s="153" t="str">
        <x:v>식품·음료</x:v>
      </x:c>
      <x:c r="D93" s="153" t="str">
        <x:v>외식·프랜차이즈</x:v>
      </x:c>
      <x:c r="E93" s="111" t="str">
        <x:v>카타르월드컵 치킨 수요</x:v>
      </x:c>
      <x:c r="F93" s="111" t="str">
        <x:v>국가대표 경기의 집단 응원과 배달 문화가 매 경기 치킨 주문 폭증 기대로 이어졌다.</x:v>
      </x:c>
      <x:c r="G93" s="111" t="str">
        <x:v>방송·OTT·유튜브·팬커뮤니티</x:v>
      </x:c>
      <x:c r="H93" s="111" t="str">
        <x:v>대표 방향 혼합·급등락 | 가격·반응 16강 진출 후 강세, 가나전 패배 후 하락 | 단일 핵심 출처</x:v>
      </x:c>
      <x:c r="I93" s="141" t="str">
        <x:f>IF(J93&gt;0,"주가 반응 기록 있음","주가 미확인·연결 전")</x:f>
        <x:v>주가 반응 기록 있음</x:v>
      </x:c>
      <x:c r="J93" s="141" t="n">
        <x:f>COUNTIF('02_종목반응'!$B$6:$B$166,A93)</x:f>
        <x:v>2</x:v>
      </x:c>
      <x:c r="K93" s="111" t="str">
        <x:v>공개·방영 → 조회수·팬덤 확산 → 관련 기업 탐색 → 주가 반응 → 흥행 지속성 검증</x:v>
      </x:c>
      <x:c r="L93" s="111" t="str">
        <x:v>S114</x:v>
      </x:c>
    </x:row>
    <x:row r="94" ht="42" customHeight="1">
      <x:c r="A94" s="111" t="str">
        <x:v>TR2022-06</x:v>
      </x:c>
      <x:c r="B94" s="141" t="n">
        <x:v>2022</x:v>
      </x:c>
      <x:c r="C94" s="153" t="str">
        <x:v>콘텐츠·엔터</x:v>
      </x:c>
      <x:c r="D94" s="153" t="str">
        <x:v>드라마·OTT</x:v>
      </x:c>
      <x:c r="E94" s="111" t="str">
        <x:v>수리남</x:v>
      </x:c>
      <x:c r="F94" s="111" t="str">
        <x:v>실화 기반 범죄 서사와 대사가 리뷰·패러디를 만들었다.</x:v>
      </x:c>
      <x:c r="G94" s="111" t="str">
        <x:v>넷플릭스·유튜브·커뮤니티</x:v>
      </x:c>
      <x:c r="H94" s="111" t="str">
        <x:v>연말 검색·플랫폼 결산 또는 동시기 보도에서 확산이 확인됨</x:v>
      </x:c>
      <x:c r="I94" s="141" t="str">
        <x:f>IF(J94&gt;0,"주가 반응 기록 있음","주가 미확인·연결 전")</x:f>
        <x:v>주가 미확인·연결 전</x:v>
      </x:c>
      <x:c r="J94" s="141" t="n">
        <x:f>COUNTIF('02_종목반응'!$B$6:$B$166,A94)</x:f>
        <x:v>0</x:v>
      </x:c>
      <x:c r="K94" s="111" t="str">
        <x:v>공개·방영 → 클립·검색 증가 → 팬덤·패러디 → 소비 확장 → 후속 관심</x:v>
      </x:c>
      <x:c r="L94" s="111" t="str">
        <x:v>S230;S231;S237</x:v>
      </x:c>
    </x:row>
    <x:row r="95" ht="42" customHeight="1">
      <x:c r="A95" s="111" t="str">
        <x:v>EV0050</x:v>
      </x:c>
      <x:c r="B95" s="141" t="n">
        <x:v>2022</x:v>
      </x:c>
      <x:c r="C95" s="153" t="str">
        <x:v>콘텐츠·엔터</x:v>
      </x:c>
      <x:c r="D95" s="153" t="str">
        <x:v>드라마·OTT</x:v>
      </x:c>
      <x:c r="E95" s="111" t="str">
        <x:v>이상한 변호사 우영우 신드롬</x:v>
      </x:c>
      <x:c r="F95" s="111" t="str">
        <x:v>신선한 캐릭터와 따뜻한 서사, 가파른 시청률 상승, 온라인 대사·고래 밈이 입소문을 만들었다.</x:v>
      </x:c>
      <x:c r="G95" s="111" t="str">
        <x:v>방송·OTT·유튜브·팬커뮤니티</x:v>
      </x:c>
      <x:c r="H95" s="111" t="str">
        <x:v>대표 방향 상승 | 가격·반응 11거래일 89.5% 상승 | 단일 핵심 출처</x:v>
      </x:c>
      <x:c r="I95" s="141" t="str">
        <x:f>IF(J95&gt;0,"주가 반응 기록 있음","주가 미확인·연결 전")</x:f>
        <x:v>주가 반응 기록 있음</x:v>
      </x:c>
      <x:c r="J95" s="141" t="n">
        <x:f>COUNTIF('02_종목반응'!$B$6:$B$166,A95)</x:f>
        <x:v>1</x:v>
      </x:c>
      <x:c r="K95" s="111" t="str">
        <x:v>공개·방영 → 조회수·팬덤 확산 → 관련 기업 탐색 → 주가 반응 → 흥행 지속성 검증</x:v>
      </x:c>
      <x:c r="L95" s="111" t="str">
        <x:v>S112</x:v>
      </x:c>
    </x:row>
    <x:row r="96" ht="42" customHeight="1">
      <x:c r="A96" s="111" t="str">
        <x:v>TR2022-07</x:v>
      </x:c>
      <x:c r="B96" s="141" t="n">
        <x:v>2022</x:v>
      </x:c>
      <x:c r="C96" s="153" t="str">
        <x:v>콘텐츠·엔터</x:v>
      </x:c>
      <x:c r="D96" s="153" t="str">
        <x:v>영화·애니메이션</x:v>
      </x:c>
      <x:c r="E96" s="111" t="str">
        <x:v>탑건 매버릭</x:v>
      </x:c>
      <x:c r="F96" s="111" t="str">
        <x:v>극장 체험과 전작 향수가 재관람·항공 재킷 관심을 만들었다.</x:v>
      </x:c>
      <x:c r="G96" s="111" t="str">
        <x:v>극장·유튜브·SNS</x:v>
      </x:c>
      <x:c r="H96" s="111" t="str">
        <x:v>연말 검색·플랫폼 결산 또는 동시기 보도에서 확산이 확인됨</x:v>
      </x:c>
      <x:c r="I96" s="141" t="str">
        <x:f>IF(J96&gt;0,"주가 반응 기록 있음","주가 미확인·연결 전")</x:f>
        <x:v>주가 미확인·연결 전</x:v>
      </x:c>
      <x:c r="J96" s="141" t="n">
        <x:f>COUNTIF('02_종목반응'!$B$6:$B$166,A96)</x:f>
        <x:v>0</x:v>
      </x:c>
      <x:c r="K96" s="111" t="str">
        <x:v>공개·방영 → 클립·검색 증가 → 팬덤·패러디 → 소비 확장 → 후속 관심</x:v>
      </x:c>
      <x:c r="L96" s="111" t="str">
        <x:v>S230;S231;S237</x:v>
      </x:c>
    </x:row>
    <x:row r="97" ht="42" customHeight="1">
      <x:c r="A97" s="111" t="str">
        <x:v>TR2022-10</x:v>
      </x:c>
      <x:c r="B97" s="141" t="n">
        <x:v>2022</x:v>
      </x:c>
      <x:c r="C97" s="153" t="str">
        <x:v>콘텐츠·엔터</x:v>
      </x:c>
      <x:c r="D97" s="153" t="str">
        <x:v>음악·댄스</x:v>
      </x:c>
      <x:c r="E97" s="111" t="str">
        <x:v>다라리 챌린지</x:v>
      </x:c>
      <x:c r="F97" s="111" t="str">
        <x:v>부드러운 후렴과 손동작이 글로벌 이용자의 짧은 영상에 쓰였다.</x:v>
      </x:c>
      <x:c r="G97" s="111" t="str">
        <x:v>틱톡·유튜브 쇼츠</x:v>
      </x:c>
      <x:c r="H97" s="111" t="str">
        <x:v>연말 검색·플랫폼 결산 또는 동시기 보도에서 확산이 확인됨</x:v>
      </x:c>
      <x:c r="I97" s="141" t="str">
        <x:f>IF(J97&gt;0,"주가 반응 기록 있음","주가 미확인·연결 전")</x:f>
        <x:v>주가 미확인·연결 전</x:v>
      </x:c>
      <x:c r="J97" s="141" t="n">
        <x:f>COUNTIF('02_종목반응'!$B$6:$B$166,A97)</x:f>
        <x:v>0</x:v>
      </x:c>
      <x:c r="K97" s="111" t="str">
        <x:v>원본 게시 → 따라 하기 → 해시태그 확산 → 변형·패러디 → 관심 둔화</x:v>
      </x:c>
      <x:c r="L97" s="111" t="str">
        <x:v>S230;S231;S237</x:v>
      </x:c>
    </x:row>
    <x:row r="98" ht="42" customHeight="1">
      <x:c r="A98" s="111" t="str">
        <x:v>TR2022-04</x:v>
      </x:c>
      <x:c r="B98" s="141" t="n">
        <x:v>2022</x:v>
      </x:c>
      <x:c r="C98" s="153" t="str">
        <x:v>콘텐츠·엔터</x:v>
      </x:c>
      <x:c r="D98" s="153" t="str">
        <x:v>음악·댄스</x:v>
      </x:c>
      <x:c r="E98" s="111" t="str">
        <x:v>아이브 러브다이브</x:v>
      </x:c>
      <x:c r="F98" s="111" t="str">
        <x:v>거울춤 포인트와 후렴이 커버 영상에 적합했다.</x:v>
      </x:c>
      <x:c r="G98" s="111" t="str">
        <x:v>틱톡·유튜브 쇼츠</x:v>
      </x:c>
      <x:c r="H98" s="111" t="str">
        <x:v>연말 검색·플랫폼 결산 또는 동시기 보도에서 확산이 확인됨</x:v>
      </x:c>
      <x:c r="I98" s="141" t="str">
        <x:f>IF(J98&gt;0,"주가 반응 기록 있음","주가 미확인·연결 전")</x:f>
        <x:v>주가 미확인·연결 전</x:v>
      </x:c>
      <x:c r="J98" s="141" t="n">
        <x:f>COUNTIF('02_종목반응'!$B$6:$B$166,A98)</x:f>
        <x:v>0</x:v>
      </x:c>
      <x:c r="K98" s="111" t="str">
        <x:v>원본 게시 → 따라 하기 → 해시태그 확산 → 변형·패러디 → 관심 둔화</x:v>
      </x:c>
      <x:c r="L98" s="111" t="str">
        <x:v>S230;S231;S237</x:v>
      </x:c>
    </x:row>
    <x:row r="99" ht="42" customHeight="1">
      <x:c r="A99" s="111" t="str">
        <x:v>TR2022-09</x:v>
      </x:c>
      <x:c r="B99" s="141" t="n">
        <x:v>2022</x:v>
      </x:c>
      <x:c r="C99" s="153" t="str">
        <x:v>콘텐츠·엔터</x:v>
      </x:c>
      <x:c r="D99" s="153" t="str">
        <x:v>음악·댄스</x:v>
      </x:c>
      <x:c r="E99" s="111" t="str">
        <x:v>지구방위대 챌린지</x:v>
      </x:c>
      <x:c r="F99" s="111" t="str">
        <x:v>여럿이 맞추는 단순한 동작과 노래가 단체 촬영에 적합했다.</x:v>
      </x:c>
      <x:c r="G99" s="111" t="str">
        <x:v>틱톡·유튜브 쇼츠</x:v>
      </x:c>
      <x:c r="H99" s="111" t="str">
        <x:v>연말 검색·플랫폼 결산 또는 동시기 보도에서 확산이 확인됨</x:v>
      </x:c>
      <x:c r="I99" s="141" t="str">
        <x:f>IF(J99&gt;0,"주가 반응 기록 있음","주가 미확인·연결 전")</x:f>
        <x:v>주가 미확인·연결 전</x:v>
      </x:c>
      <x:c r="J99" s="141" t="n">
        <x:f>COUNTIF('02_종목반응'!$B$6:$B$166,A99)</x:f>
        <x:v>0</x:v>
      </x:c>
      <x:c r="K99" s="111" t="str">
        <x:v>원본 게시 → 따라 하기 → 해시태그 확산 → 변형·패러디 → 관심 둔화</x:v>
      </x:c>
      <x:c r="L99" s="111" t="str">
        <x:v>S230;S231;S237</x:v>
      </x:c>
    </x:row>
    <x:row r="100" ht="42" customHeight="1">
      <x:c r="A100" s="111" t="str">
        <x:v>EV0055</x:v>
      </x:c>
      <x:c r="B100" s="141" t="n">
        <x:v>2022</x:v>
      </x:c>
      <x:c r="C100" s="153" t="str">
        <x:v>콘텐츠·엔터</x:v>
      </x:c>
      <x:c r="D100" s="153" t="str">
        <x:v>음악·댄스</x:v>
      </x:c>
      <x:c r="E100" s="111" t="str">
        <x:v>BTS 단체활동 중단 발언</x:v>
      </x:c>
      <x:c r="F100" s="111" t="str">
        <x:v>멤버들의 유튜브 영상 속 단체활동 중단 취지 발언이 ‘해체·휴식’ 해석으로 글로벌 팬덤과 외신에 급속 확산됐다.</x:v>
      </x:c>
      <x:c r="G100" s="111" t="str">
        <x:v>방송·OTT·유튜브·팬커뮤니티</x:v>
      </x:c>
      <x:c r="H100" s="111" t="str">
        <x:v>대표 방향 하락 | 가격·반응 하이브 하루 21% 급락 | 단일 핵심 출처</x:v>
      </x:c>
      <x:c r="I100" s="141" t="str">
        <x:f>IF(J100&gt;0,"주가 반응 기록 있음","주가 미확인·연결 전")</x:f>
        <x:v>주가 반응 기록 있음</x:v>
      </x:c>
      <x:c r="J100" s="141" t="n">
        <x:f>COUNTIF('02_종목반응'!$B$6:$B$166,A100)</x:f>
        <x:v>1</x:v>
      </x:c>
      <x:c r="K100" s="111" t="str">
        <x:v>유튜브 공개 → 해체 우려 번역 확산 → 하이브 급락 → 회사 설명</x:v>
      </x:c>
      <x:c r="L100" s="111" t="str">
        <x:v>S138</x:v>
      </x:c>
    </x:row>
    <x:row r="101" ht="42" customHeight="1">
      <x:c r="A101" s="111" t="str">
        <x:v>EV0056</x:v>
      </x:c>
      <x:c r="B101" s="141" t="n">
        <x:v>2022</x:v>
      </x:c>
      <x:c r="C101" s="153" t="str">
        <x:v>콘텐츠·엔터</x:v>
      </x:c>
      <x:c r="D101" s="153" t="str">
        <x:v>음악·댄스</x:v>
      </x:c>
      <x:c r="E101" s="111" t="str">
        <x:v>BTS 입대 발표·불확실성 완화</x:v>
      </x:c>
      <x:c r="F101" s="111" t="str">
        <x:v>장기간 이어진 병역특례 논쟁이 팬덤과 언론에서 반복되다 공식 입대 발표로 불확실성이 해소됐다.</x:v>
      </x:c>
      <x:c r="G101" s="111" t="str">
        <x:v>방송·OTT·유튜브·팬커뮤니티</x:v>
      </x:c>
      <x:c r="H101" s="111" t="str">
        <x:v>대표 방향 상승 | 가격·반응 하이브 5.22% 상승 | 단일 핵심 출처</x:v>
      </x:c>
      <x:c r="I101" s="141" t="str">
        <x:f>IF(J101&gt;0,"주가 반응 기록 있음","주가 미확인·연결 전")</x:f>
        <x:v>주가 반응 기록 있음</x:v>
      </x:c>
      <x:c r="J101" s="141" t="n">
        <x:f>COUNTIF('02_종목반응'!$B$6:$B$166,A101)</x:f>
        <x:v>1</x:v>
      </x:c>
      <x:c r="K101" s="111" t="str">
        <x:v>병역 논쟁 장기화 → 공식 발표 → 불확실성 완화 해석 → 하이브 상승</x:v>
      </x:c>
      <x:c r="L101" s="111" t="str">
        <x:v>S139</x:v>
      </x:c>
    </x:row>
    <x:row r="102" ht="42" customHeight="1">
      <x:c r="A102" s="111" t="str">
        <x:v>EV0052</x:v>
      </x:c>
      <x:c r="B102" s="141" t="n">
        <x:v>2022</x:v>
      </x:c>
      <x:c r="C102" s="153" t="str">
        <x:v>콘텐츠·엔터</x:v>
      </x:c>
      <x:c r="D102" s="153" t="str">
        <x:v>팬덤·공연</x:v>
      </x:c>
      <x:c r="E102" s="111" t="str">
        <x:v>카타르월드컵 치맥 소비</x:v>
      </x:c>
      <x:c r="F102" s="111" t="str">
        <x:v>심야 국가대표 경기와 거리 응원 열기가 치맥 주문·인증 소비로 직접 이어졌다.</x:v>
      </x:c>
      <x:c r="G102" s="111" t="str">
        <x:v>방송·OTT·유튜브·팬커뮤니티</x:v>
      </x:c>
      <x:c r="H102" s="111" t="str">
        <x:v>대표 방향 상승·하락 | 가격·반응 16강 진출 후 강세, 가나전 패배 후 하락 | 단일 핵심 출처</x:v>
      </x:c>
      <x:c r="I102" s="141" t="str">
        <x:f>IF(J102&gt;0,"주가 반응 기록 있음","주가 미확인·연결 전")</x:f>
        <x:v>주가 반응 기록 있음</x:v>
      </x:c>
      <x:c r="J102" s="141" t="n">
        <x:f>COUNTIF('02_종목반응'!$B$6:$B$166,A102)</x:f>
        <x:v>2</x:v>
      </x:c>
      <x:c r="K102" s="111" t="str">
        <x:v>공개·방영 → 조회수·팬덤 확산 → 관련 기업 탐색 → 주가 반응 → 흥행 지속성 검증</x:v>
      </x:c>
      <x:c r="L102" s="111" t="str">
        <x:v>S114</x:v>
      </x:c>
    </x:row>
    <x:row r="103" ht="42" customHeight="1">
      <x:c r="A103" s="111" t="str">
        <x:v>TR2022-13</x:v>
      </x:c>
      <x:c r="B103" s="141" t="n">
        <x:v>2022</x:v>
      </x:c>
      <x:c r="C103" s="153" t="str">
        <x:v>디지털·플랫폼</x:v>
      </x:c>
      <x:c r="D103" s="153" t="str">
        <x:v>SNS·커뮤니티</x:v>
      </x:c>
      <x:c r="E103" s="111" t="str">
        <x:v>무지출 챌린지</x:v>
      </x:c>
      <x:c r="F103" s="111" t="str">
        <x:v>물가 부담 속 하루 지출 0원을 인증하며 절약 팁을 공유했다.</x:v>
      </x:c>
      <x:c r="G103" s="111" t="str">
        <x:v>블로그·SNS·가계부앱</x:v>
      </x:c>
      <x:c r="H103" s="111" t="str">
        <x:v>연말 검색·플랫폼 결산 또는 동시기 보도에서 확산이 확인됨</x:v>
      </x:c>
      <x:c r="I103" s="141" t="str">
        <x:f>IF(J103&gt;0,"주가 반응 기록 있음","주가 미확인·연결 전")</x:f>
        <x:v>주가 미확인·연결 전</x:v>
      </x:c>
      <x:c r="J103" s="141" t="n">
        <x:f>COUNTIF('02_종목반응'!$B$6:$B$166,A103)</x:f>
        <x:v>0</x:v>
      </x:c>
      <x:c r="K103" s="111" t="str">
        <x:v>원본 게시 → 따라 하기 → 해시태그 확산 → 변형·패러디 → 관심 둔화</x:v>
      </x:c>
      <x:c r="L103" s="111" t="str">
        <x:v>S230;S231;S237</x:v>
      </x:c>
    </x:row>
    <x:row r="104" ht="42" customHeight="1">
      <x:c r="A104" s="111" t="str">
        <x:v>TR2022-08</x:v>
      </x:c>
      <x:c r="B104" s="141" t="n">
        <x:v>2022</x:v>
      </x:c>
      <x:c r="C104" s="153" t="str">
        <x:v>게임·e스포츠</x:v>
      </x:c>
      <x:c r="D104" s="153" t="str">
        <x:v>PC·콘솔게임</x:v>
      </x:c>
      <x:c r="E104" s="111" t="str">
        <x:v>엘든링</x:v>
      </x:c>
      <x:c r="F104" s="111" t="str">
        <x:v>높은 난도와 자유로운 공략이 실패·성공 클립과 팁 공유를 만들었다.</x:v>
      </x:c>
      <x:c r="G104" s="111" t="str">
        <x:v>콘솔·트위치·유튜브</x:v>
      </x:c>
      <x:c r="H104" s="111" t="str">
        <x:v>연말 검색·플랫폼 결산 또는 동시기 보도에서 확산이 확인됨</x:v>
      </x:c>
      <x:c r="I104" s="141" t="str">
        <x:f>IF(J104&gt;0,"주가 반응 기록 있음","주가 미확인·연결 전")</x:f>
        <x:v>주가 미확인·연결 전</x:v>
      </x:c>
      <x:c r="J104" s="141" t="n">
        <x:f>COUNTIF('02_종목반응'!$B$6:$B$166,A104)</x:f>
        <x:v>0</x:v>
      </x:c>
      <x:c r="K104" s="111" t="str">
        <x:v>출시·발견 → 이용자 유입 → 공유·경쟁 → 대중화 → 후속 서비스</x:v>
      </x:c>
      <x:c r="L104" s="111" t="str">
        <x:v>S230;S231;S237</x:v>
      </x:c>
    </x:row>
    <x:row r="105" ht="42" customHeight="1">
      <x:c r="A105" s="111" t="str">
        <x:v>EV0049</x:v>
      </x:c>
      <x:c r="B105" s="141" t="n">
        <x:v>2022</x:v>
      </x:c>
      <x:c r="C105" s="153" t="str">
        <x:v>게임·e스포츠</x:v>
      </x:c>
      <x:c r="D105" s="153" t="str">
        <x:v>PC·콘솔게임</x:v>
      </x:c>
      <x:c r="E105" s="111" t="str">
        <x:v>우마무스메 이용자 마차 시위</x:v>
      </x:c>
      <x:c r="F105" s="111" t="str">
        <x:v>운영 차별 논란이 게임 커뮤니티에서 집단 행동으로 조직되고 실제 마차 시위와 간담회 생중계로 확산됐다.</x:v>
      </x:c>
      <x:c r="G105" s="111" t="str">
        <x:v>포털·SNS·커뮤니티</x:v>
      </x:c>
      <x:c r="H105" s="111" t="str">
        <x:v>대표 방향 하락 | 가격·반응 카카오게임즈 열흘 약 13% 하락·간담회 날 장중 5.97% 하락 | 복수 출처 교차확인</x:v>
      </x:c>
      <x:c r="I105" s="141" t="str">
        <x:f>IF(J105&gt;0,"주가 반응 기록 있음","주가 미확인·연결 전")</x:f>
        <x:v>주가 반응 기록 있음</x:v>
      </x:c>
      <x:c r="J105" s="141" t="n">
        <x:f>COUNTIF('02_종목반응'!$B$6:$B$166,A105)</x:f>
        <x:v>1</x:v>
      </x:c>
      <x:c r="K105" s="111" t="str">
        <x:v>운영 불만 → 커뮤니티 결집 → 마차 시위 → 간담회 혹평 → 주가 하락</x:v>
      </x:c>
      <x:c r="L105" s="111" t="str">
        <x:v>S128;S129</x:v>
      </x:c>
    </x:row>
    <x:row r="106" ht="42" customHeight="1">
      <x:c r="A106" s="111" t="str">
        <x:v>TR2022-03</x:v>
      </x:c>
      <x:c r="B106" s="141" t="n">
        <x:v>2022</x:v>
      </x:c>
      <x:c r="C106" s="153" t="str">
        <x:v>패션·뷰티</x:v>
      </x:c>
      <x:c r="D106" s="153" t="str">
        <x:v>패션·스타일</x:v>
      </x:c>
      <x:c r="E106" s="111" t="str">
        <x:v>뉴진스</x:v>
      </x:c>
      <x:c r="F106" s="111" t="str">
        <x:v>자연스러운 스타일과 짧은 포인트 안무가 음악·패션 모방을 만들었다.</x:v>
      </x:c>
      <x:c r="G106" s="111" t="str">
        <x:v>유튜브·틱톡·인스타그램</x:v>
      </x:c>
      <x:c r="H106" s="111" t="str">
        <x:v>연말 검색·플랫폼 결산 또는 동시기 보도에서 확산이 확인됨</x:v>
      </x:c>
      <x:c r="I106" s="141" t="str">
        <x:f>IF(J106&gt;0,"주가 반응 기록 있음","주가 미확인·연결 전")</x:f>
        <x:v>주가 미확인·연결 전</x:v>
      </x:c>
      <x:c r="J106" s="141" t="n">
        <x:f>COUNTIF('02_종목반응'!$B$6:$B$166,A106)</x:f>
        <x:v>0</x:v>
      </x:c>
      <x:c r="K106" s="111" t="str">
        <x:v>공개·방영 → 클립·검색 증가 → 팬덤·패러디 → 소비 확장 → 후속 관심</x:v>
      </x:c>
      <x:c r="L106" s="111" t="str">
        <x:v>S230;S231;S237</x:v>
      </x:c>
    </x:row>
    <x:row r="107" ht="42" customHeight="1">
      <x:c r="A107" s="111" t="str">
        <x:v>TR2022-14</x:v>
      </x:c>
      <x:c r="B107" s="141" t="n">
        <x:v>2022</x:v>
      </x:c>
      <x:c r="C107" s="153" t="str">
        <x:v>생활·소비</x:v>
      </x:c>
      <x:c r="D107" s="153" t="str">
        <x:v>유통·쇼핑</x:v>
      </x:c>
      <x:c r="E107" s="111" t="str">
        <x:v>인생네컷</x:v>
      </x:c>
      <x:c r="F107" s="111" t="str">
        <x:v>친구·연인과 네 장의 포즈를 남기고 사진을 다시 공유하는 놀이가 확산됐다.</x:v>
      </x:c>
      <x:c r="G107" s="111" t="str">
        <x:v>오프라인 포토부스·인스타그램</x:v>
      </x:c>
      <x:c r="H107" s="111" t="str">
        <x:v>연말 검색·플랫폼 결산 또는 동시기 보도에서 확산이 확인됨</x:v>
      </x:c>
      <x:c r="I107" s="141" t="str">
        <x:f>IF(J107&gt;0,"주가 반응 기록 있음","주가 미확인·연결 전")</x:f>
        <x:v>주가 미확인·연결 전</x:v>
      </x:c>
      <x:c r="J107" s="141" t="n">
        <x:f>COUNTIF('02_종목반응'!$B$6:$B$166,A107)</x:f>
        <x:v>0</x:v>
      </x:c>
      <x:c r="K107" s="111" t="str">
        <x:v>첫 노출 → 후기·인증 → 검색·품절 → 모방 제품 → 재구매 또는 소멸</x:v>
      </x:c>
      <x:c r="L107" s="111" t="str">
        <x:v>S230;S231;S237</x:v>
      </x:c>
    </x:row>
    <x:row r="108" ht="42" customHeight="1">
      <x:c r="A108" s="111" t="str">
        <x:v>TR2022-12</x:v>
      </x:c>
      <x:c r="B108" s="141" t="n">
        <x:v>2022</x:v>
      </x:c>
      <x:c r="C108" s="153" t="str">
        <x:v>생활·소비</x:v>
      </x:c>
      <x:c r="D108" s="153" t="str">
        <x:v>자기관리·라이프스타일</x:v>
      </x:c>
      <x:c r="E108" s="111" t="str">
        <x:v>갓생</x:v>
      </x:c>
      <x:c r="F108" s="111" t="str">
        <x:v>작은 루틴을 성실히 수행하고 인증하는 자기관리 문화가 퍼졌다.</x:v>
      </x:c>
      <x:c r="G108" s="111" t="str">
        <x:v>유튜브·인스타그램·블로그</x:v>
      </x:c>
      <x:c r="H108" s="111" t="str">
        <x:v>연말 검색·플랫폼 결산 또는 동시기 보도에서 확산이 확인됨</x:v>
      </x:c>
      <x:c r="I108" s="141" t="str">
        <x:f>IF(J108&gt;0,"주가 반응 기록 있음","주가 미확인·연결 전")</x:f>
        <x:v>주가 미확인·연결 전</x:v>
      </x:c>
      <x:c r="J108" s="141" t="n">
        <x:f>COUNTIF('02_종목반응'!$B$6:$B$166,A108)</x:f>
        <x:v>0</x:v>
      </x:c>
      <x:c r="K108" s="111" t="str">
        <x:v>발화 → 검색·공유 증가 → 일상 언급·모방 → 관련 소비 탐색 → 관심 둔화</x:v>
      </x:c>
      <x:c r="L108" s="111" t="str">
        <x:v>S230;S231;S237</x:v>
      </x:c>
    </x:row>
    <x:row r="109" ht="42" customHeight="1">
      <x:c r="A109" s="111" t="str">
        <x:v>TR2022-05</x:v>
      </x:c>
      <x:c r="B109" s="141" t="n">
        <x:v>2022</x:v>
      </x:c>
      <x:c r="C109" s="153" t="str">
        <x:v>스포츠·건강</x:v>
      </x:c>
      <x:c r="D109" s="153" t="str">
        <x:v>스포츠·응원</x:v>
      </x:c>
      <x:c r="E109" s="111" t="str">
        <x:v>중꺾마</x:v>
      </x:c>
      <x:c r="F109" s="111" t="str">
        <x:v>“중요한 것은 꺾이지 않는 마음”이 역전·응원의 범용 문구로 확산됐다.</x:v>
      </x:c>
      <x:c r="G109" s="111" t="str">
        <x:v>e스포츠·월드컵·SNS</x:v>
      </x:c>
      <x:c r="H109" s="111" t="str">
        <x:v>연말 검색·플랫폼 결산 또는 동시기 보도에서 확산이 확인됨</x:v>
      </x:c>
      <x:c r="I109" s="141" t="str">
        <x:f>IF(J109&gt;0,"주가 반응 기록 있음","주가 미확인·연결 전")</x:f>
        <x:v>주가 미확인·연결 전</x:v>
      </x:c>
      <x:c r="J109" s="141" t="n">
        <x:f>COUNTIF('02_종목반응'!$B$6:$B$166,A109)</x:f>
        <x:v>0</x:v>
      </x:c>
      <x:c r="K109" s="111" t="str">
        <x:v>발화 → 검색·공유 증가 → 일상 언급·모방 → 관련 소비 탐색 → 관심 둔화</x:v>
      </x:c>
      <x:c r="L109" s="111" t="str">
        <x:v>S230;S231;S237</x:v>
      </x:c>
    </x:row>
    <x:row r="110" ht="42" customHeight="1">
      <x:c r="A110" s="111" t="str">
        <x:v>TR2022-11</x:v>
      </x:c>
      <x:c r="B110" s="141" t="n">
        <x:v>2022</x:v>
      </x:c>
      <x:c r="C110" s="153" t="str">
        <x:v>사회·온라인문화</x:v>
      </x:c>
      <x:c r="D110" s="153" t="str">
        <x:v>밈·유행어</x:v>
      </x:c>
      <x:c r="E110" s="111" t="str">
        <x:v>기말고사 존중 송구</x:v>
      </x:c>
      <x:c r="F110" s="111" t="str">
        <x:v>시험 스트레스를 과장된 존댓말로 표현해 학생 공감을 얻었다.</x:v>
      </x:c>
      <x:c r="G110" s="111" t="str">
        <x:v>대학 커뮤니티·SNS</x:v>
      </x:c>
      <x:c r="H110" s="111" t="str">
        <x:v>연말 검색·플랫폼 결산 또는 동시기 보도에서 확산이 확인됨</x:v>
      </x:c>
      <x:c r="I110" s="141" t="str">
        <x:f>IF(J110&gt;0,"주가 반응 기록 있음","주가 미확인·연결 전")</x:f>
        <x:v>주가 미확인·연결 전</x:v>
      </x:c>
      <x:c r="J110" s="141" t="n">
        <x:f>COUNTIF('02_종목반응'!$B$6:$B$166,A110)</x:f>
        <x:v>0</x:v>
      </x:c>
      <x:c r="K110" s="111" t="str">
        <x:v>발화 → 검색·공유 증가 → 일상 언급·모방 → 관련 소비 탐색 → 관심 둔화</x:v>
      </x:c>
      <x:c r="L110" s="111" t="str">
        <x:v>S230;S231;S237</x:v>
      </x:c>
    </x:row>
    <x:row r="111" ht="42" customHeight="1">
      <x:c r="A111" s="111" t="str">
        <x:v>TR2021-05</x:v>
      </x:c>
      <x:c r="B111" s="141" t="n">
        <x:v>2021</x:v>
      </x:c>
      <x:c r="C111" s="153" t="str">
        <x:v>식품·음료</x:v>
      </x:c>
      <x:c r="D111" s="153" t="str">
        <x:v>디저트·베이커리</x:v>
      </x:c>
      <x:c r="E111" s="111" t="str">
        <x:v>로제떡볶이</x:v>
      </x:c>
      <x:c r="F111" s="111" t="str">
        <x:v>매운 떡볶이에 크림을 섞은 맛과 색이 먹방·배달 주문을 자극했다.</x:v>
      </x:c>
      <x:c r="G111" s="111" t="str">
        <x:v>배달앱·유튜브·인스타그램</x:v>
      </x:c>
      <x:c r="H111" s="111" t="str">
        <x:v>연말 검색·플랫폼 결산 또는 동시기 보도에서 확산이 확인됨</x:v>
      </x:c>
      <x:c r="I111" s="141" t="str">
        <x:f>IF(J111&gt;0,"주가 반응 기록 있음","주가 미확인·연결 전")</x:f>
        <x:v>주가 미확인·연결 전</x:v>
      </x:c>
      <x:c r="J111" s="141" t="n">
        <x:f>COUNTIF('02_종목반응'!$B$6:$B$166,A111)</x:f>
        <x:v>0</x:v>
      </x:c>
      <x:c r="K111" s="111" t="str">
        <x:v>첫 노출 → 후기·인증 → 검색·품절 → 모방 제품 → 재구매 또는 소멸</x:v>
      </x:c>
      <x:c r="L111" s="111" t="str">
        <x:v>S228;S229;S237</x:v>
      </x:c>
    </x:row>
    <x:row r="112" ht="42" customHeight="1">
      <x:c r="A112" s="111" t="str">
        <x:v>TR2021-11</x:v>
      </x:c>
      <x:c r="B112" s="141" t="n">
        <x:v>2021</x:v>
      </x:c>
      <x:c r="C112" s="153" t="str">
        <x:v>식품·음료</x:v>
      </x:c>
      <x:c r="D112" s="153" t="str">
        <x:v>레시피·홈카페</x:v>
      </x:c>
      <x:c r="E112" s="111" t="str">
        <x:v>홈카페</x:v>
      </x:c>
      <x:c r="F112" s="111" t="str">
        <x:v>집에서 음료와 디저트를 꾸미는 과정이 사진·레시피 콘텐츠가 됐다.</x:v>
      </x:c>
      <x:c r="G112" s="111" t="str">
        <x:v>인스타그램·유튜브</x:v>
      </x:c>
      <x:c r="H112" s="111" t="str">
        <x:v>연말 검색·플랫폼 결산 또는 동시기 보도에서 확산이 확인됨</x:v>
      </x:c>
      <x:c r="I112" s="141" t="str">
        <x:f>IF(J112&gt;0,"주가 반응 기록 있음","주가 미확인·연결 전")</x:f>
        <x:v>주가 미확인·연결 전</x:v>
      </x:c>
      <x:c r="J112" s="141" t="n">
        <x:f>COUNTIF('02_종목반응'!$B$6:$B$166,A112)</x:f>
        <x:v>0</x:v>
      </x:c>
      <x:c r="K112" s="111" t="str">
        <x:v>발화 → 검색·공유 증가 → 일상 언급·모방 → 관련 소비 탐색 → 관심 둔화</x:v>
      </x:c>
      <x:c r="L112" s="111" t="str">
        <x:v>S228;S229;S237</x:v>
      </x:c>
    </x:row>
    <x:row r="113" ht="42" customHeight="1">
      <x:c r="A113" s="111" t="str">
        <x:v>TR2021-01</x:v>
      </x:c>
      <x:c r="B113" s="141" t="n">
        <x:v>2021</x:v>
      </x:c>
      <x:c r="C113" s="153" t="str">
        <x:v>식품·음료</x:v>
      </x:c>
      <x:c r="D113" s="153" t="str">
        <x:v>식품 유행 일반</x:v>
      </x:c>
      <x:c r="E113" s="111" t="str">
        <x:v>달고나 게임</x:v>
      </x:c>
      <x:c r="F113" s="111" t="str">
        <x:v>드라마 속 규칙을 실제로 따라 할 수 있어 체험 영상과 판매가 늘었다.</x:v>
      </x:c>
      <x:c r="G113" s="111" t="str">
        <x:v>틱톡·유튜브·오프라인 체험</x:v>
      </x:c>
      <x:c r="H113" s="111" t="str">
        <x:v>연말 검색·플랫폼 결산 또는 동시기 보도에서 확산이 확인됨</x:v>
      </x:c>
      <x:c r="I113" s="141" t="str">
        <x:f>IF(J113&gt;0,"주가 반응 기록 있음","주가 미확인·연결 전")</x:f>
        <x:v>주가 미확인·연결 전</x:v>
      </x:c>
      <x:c r="J113" s="141" t="n">
        <x:f>COUNTIF('02_종목반응'!$B$6:$B$166,A113)</x:f>
        <x:v>0</x:v>
      </x:c>
      <x:c r="K113" s="111" t="str">
        <x:v>원본 게시 → 따라 하기 → 해시태그 확산 → 변형·패러디 → 관심 둔화</x:v>
      </x:c>
      <x:c r="L113" s="111" t="str">
        <x:v>S228;S229;S237</x:v>
      </x:c>
    </x:row>
    <x:row r="114" ht="42" customHeight="1">
      <x:c r="A114" s="111" t="str">
        <x:v>EV0043</x:v>
      </x:c>
      <x:c r="B114" s="141" t="n">
        <x:v>2021</x:v>
      </x:c>
      <x:c r="C114" s="153" t="str">
        <x:v>식품·음료</x:v>
      </x:c>
      <x:c r="D114" s="153" t="str">
        <x:v>식품 유행 일반</x:v>
      </x:c>
      <x:c r="E114" s="111" t="str">
        <x:v>불가리스 코로나 억제 주장</x:v>
      </x:c>
      <x:c r="F114" s="111" t="str">
        <x:v>남양유업 발표가 코로나 해결 기대와 결합해 즉시 퍼졌지만 임상 근거 부족 지적과 당국 반박이 뒤따랐다.</x:v>
      </x:c>
      <x:c r="G114" s="111" t="str">
        <x:v>포털·SNS·커뮤니티</x:v>
      </x:c>
      <x:c r="H114" s="111" t="str">
        <x:v>대표 방향 급등→급락 | 가격·반응 남양유업 장중 상한가 뒤 다음날 5%대 하락 | 복수 출처 교차확인</x:v>
      </x:c>
      <x:c r="I114" s="141" t="str">
        <x:f>IF(J114&gt;0,"주가 반응 기록 있음","주가 미확인·연결 전")</x:f>
        <x:v>주가 반응 기록 있음</x:v>
      </x:c>
      <x:c r="J114" s="141" t="n">
        <x:f>COUNTIF('02_종목반응'!$B$6:$B$166,A114)</x:f>
        <x:v>1</x:v>
      </x:c>
      <x:c r="K114" s="111" t="str">
        <x:v>기업 발표 → 상한가 → 전문가·당국 반박 → 다음날 5%대 하락 → 수사·불매</x:v>
      </x:c>
      <x:c r="L114" s="111" t="str">
        <x:v>S135;S136</x:v>
      </x:c>
    </x:row>
    <x:row r="115" ht="42" customHeight="1">
      <x:c r="A115" s="111" t="str">
        <x:v>EV0047</x:v>
      </x:c>
      <x:c r="B115" s="141" t="n">
        <x:v>2021</x:v>
      </x:c>
      <x:c r="C115" s="153" t="str">
        <x:v>콘텐츠·엔터</x:v>
      </x:c>
      <x:c r="D115" s="153" t="str">
        <x:v>드라마·OTT</x:v>
      </x:c>
      <x:c r="E115" s="111" t="str">
        <x:v>조선구마사 역사왜곡 논란</x:v>
      </x:c>
      <x:c r="F115" s="111" t="str">
        <x:v>중국풍 소품 캡처가 커뮤니티에서 반중·역사왜곡 논쟁으로 번지고 광고주 목록 공유와 철회 요구가 집단 행동으로 이어졌다.</x:v>
      </x:c>
      <x:c r="G115" s="111" t="str">
        <x:v>포털·SNS·커뮤니티</x:v>
      </x:c>
      <x:c r="H115" s="111" t="str">
        <x:v>대표 방향 하락 | 가격·반응 YG 5.63%·SBS 5.24%·YG PLUS 2.64% 하락 | 단일 핵심 출처</x:v>
      </x:c>
      <x:c r="I115" s="141" t="str">
        <x:f>IF(J115&gt;0,"주가 반응 기록 있음","주가 미확인·연결 전")</x:f>
        <x:v>주가 반응 기록 있음</x:v>
      </x:c>
      <x:c r="J115" s="141" t="n">
        <x:f>COUNTIF('02_종목반응'!$B$6:$B$166,A115)</x:f>
        <x:v>3</x:v>
      </x:c>
      <x:c r="K115" s="111" t="str">
        <x:v>첫 방송 캡처 → 커뮤니티 비판 → 광고주 압박 → 2회 폐지 → 관련주 하락</x:v>
      </x:c>
      <x:c r="L115" s="111" t="str">
        <x:v>S155</x:v>
      </x:c>
    </x:row>
    <x:row r="116" ht="42" customHeight="1">
      <x:c r="A116" s="111" t="str">
        <x:v>TR2021-13</x:v>
      </x:c>
      <x:c r="B116" s="141" t="n">
        <x:v>2021</x:v>
      </x:c>
      <x:c r="C116" s="153" t="str">
        <x:v>콘텐츠·엔터</x:v>
      </x:c>
      <x:c r="D116" s="153" t="str">
        <x:v>음악·댄스</x:v>
      </x:c>
      <x:c r="E116" s="111" t="str">
        <x:v>롤린 역주행</x:v>
      </x:c>
      <x:c r="F116" s="111" t="str">
        <x:v>공연 댓글 모음 영상이 팬 경험을 공유하며 음원 순위를 뒤집었다.</x:v>
      </x:c>
      <x:c r="G116" s="111" t="str">
        <x:v>유튜브·군대 커뮤니티·음원</x:v>
      </x:c>
      <x:c r="H116" s="111" t="str">
        <x:v>연말 검색·플랫폼 결산 또는 동시기 보도에서 확산이 확인됨</x:v>
      </x:c>
      <x:c r="I116" s="141" t="str">
        <x:f>IF(J116&gt;0,"주가 반응 기록 있음","주가 미확인·연결 전")</x:f>
        <x:v>주가 미확인·연결 전</x:v>
      </x:c>
      <x:c r="J116" s="141" t="n">
        <x:f>COUNTIF('02_종목반응'!$B$6:$B$166,A116)</x:f>
        <x:v>0</x:v>
      </x:c>
      <x:c r="K116" s="111" t="str">
        <x:v>공개·방영 → 클립·검색 증가 → 팬덤·패러디 → 소비 확장 → 후속 관심</x:v>
      </x:c>
      <x:c r="L116" s="111" t="str">
        <x:v>S228;S229;S237</x:v>
      </x:c>
    </x:row>
    <x:row r="117" ht="42" customHeight="1">
      <x:c r="A117" s="111" t="str">
        <x:v>TR2021-08</x:v>
      </x:c>
      <x:c r="B117" s="141" t="n">
        <x:v>2021</x:v>
      </x:c>
      <x:c r="C117" s="153" t="str">
        <x:v>콘텐츠·엔터</x:v>
      </x:c>
      <x:c r="D117" s="153" t="str">
        <x:v>음악·댄스</x:v>
      </x:c>
      <x:c r="E117" s="111" t="str">
        <x:v>메이트리 아카펠라</x:v>
      </x:c>
      <x:c r="F117" s="111" t="str">
        <x:v>익숙한 효과음과 음악을 목소리만으로 재현해 해외 공유를 얻었다.</x:v>
      </x:c>
      <x:c r="G117" s="111" t="str">
        <x:v>틱톡·유튜브</x:v>
      </x:c>
      <x:c r="H117" s="111" t="str">
        <x:v>연말 검색·플랫폼 결산 또는 동시기 보도에서 확산이 확인됨</x:v>
      </x:c>
      <x:c r="I117" s="141" t="str">
        <x:f>IF(J117&gt;0,"주가 반응 기록 있음","주가 미확인·연결 전")</x:f>
        <x:v>주가 미확인·연결 전</x:v>
      </x:c>
      <x:c r="J117" s="141" t="n">
        <x:f>COUNTIF('02_종목반응'!$B$6:$B$166,A117)</x:f>
        <x:v>0</x:v>
      </x:c>
      <x:c r="K117" s="111" t="str">
        <x:v>공개·방영 → 클립·검색 증가 → 팬덤·패러디 → 소비 확장 → 후속 관심</x:v>
      </x:c>
      <x:c r="L117" s="111" t="str">
        <x:v>S228;S229;S237</x:v>
      </x:c>
    </x:row>
    <x:row r="118" ht="42" customHeight="1">
      <x:c r="A118" s="111" t="str">
        <x:v>TR2021-02</x:v>
      </x:c>
      <x:c r="B118" s="141" t="n">
        <x:v>2021</x:v>
      </x:c>
      <x:c r="C118" s="153" t="str">
        <x:v>콘텐츠·엔터</x:v>
      </x:c>
      <x:c r="D118" s="153" t="str">
        <x:v>음악·댄스</x:v>
      </x:c>
      <x:c r="E118" s="111" t="str">
        <x:v>스트릿 우먼 파이터·헤이마마</x:v>
      </x:c>
      <x:c r="F118" s="111" t="str">
        <x:v>댄서 서사와 포인트 안무가 커버·챌린지 영상을 만들었다.</x:v>
      </x:c>
      <x:c r="G118" s="111" t="str">
        <x:v>TV·틱톡·유튜브</x:v>
      </x:c>
      <x:c r="H118" s="111" t="str">
        <x:v>연말 검색·플랫폼 결산 또는 동시기 보도에서 확산이 확인됨</x:v>
      </x:c>
      <x:c r="I118" s="141" t="str">
        <x:f>IF(J118&gt;0,"주가 반응 기록 있음","주가 미확인·연결 전")</x:f>
        <x:v>주가 미확인·연결 전</x:v>
      </x:c>
      <x:c r="J118" s="141" t="n">
        <x:f>COUNTIF('02_종목반응'!$B$6:$B$166,A118)</x:f>
        <x:v>0</x:v>
      </x:c>
      <x:c r="K118" s="111" t="str">
        <x:v>원본 게시 → 따라 하기 → 해시태그 확산 → 변형·패러디 → 관심 둔화</x:v>
      </x:c>
      <x:c r="L118" s="111" t="str">
        <x:v>S228;S229;S237</x:v>
      </x:c>
    </x:row>
    <x:row r="119" ht="42" customHeight="1">
      <x:c r="A119" s="111" t="str">
        <x:v>TR2021-04</x:v>
      </x:c>
      <x:c r="B119" s="141" t="n">
        <x:v>2021</x:v>
      </x:c>
      <x:c r="C119" s="153" t="str">
        <x:v>디지털·플랫폼</x:v>
      </x:c>
      <x:c r="D119" s="153" t="str">
        <x:v>모바일·플랫폼</x:v>
      </x:c>
      <x:c r="E119" s="111" t="str">
        <x:v>메타버스</x:v>
      </x:c>
      <x:c r="F119" s="111" t="str">
        <x:v>비대면 생활과 가상공간 투자 기대가 새로운 인터넷 공간 담론을 키웠다.</x:v>
      </x:c>
      <x:c r="G119" s="111" t="str">
        <x:v>게임·SNS·기업행사</x:v>
      </x:c>
      <x:c r="H119" s="111" t="str">
        <x:v>연말 검색·플랫폼 결산 또는 동시기 보도에서 확산이 확인됨</x:v>
      </x:c>
      <x:c r="I119" s="141" t="str">
        <x:f>IF(J119&gt;0,"주가 반응 기록 있음","주가 미확인·연결 전")</x:f>
        <x:v>주가 미확인·연결 전</x:v>
      </x:c>
      <x:c r="J119" s="141" t="n">
        <x:f>COUNTIF('02_종목반응'!$B$6:$B$166,A119)</x:f>
        <x:v>0</x:v>
      </x:c>
      <x:c r="K119" s="111" t="str">
        <x:v>발화 → 검색·공유 증가 → 일상 언급·모방 → 관련 소비 탐색 → 관심 둔화</x:v>
      </x:c>
      <x:c r="L119" s="111" t="str">
        <x:v>S228;S229;S237</x:v>
      </x:c>
    </x:row>
    <x:row r="120" ht="42" customHeight="1">
      <x:c r="A120" s="111" t="str">
        <x:v>EV0041</x:v>
      </x:c>
      <x:c r="B120" s="141" t="n">
        <x:v>2021</x:v>
      </x:c>
      <x:c r="C120" s="153" t="str">
        <x:v>디지털·플랫폼</x:v>
      </x:c>
      <x:c r="D120" s="153" t="str">
        <x:v>모바일·플랫폼</x:v>
      </x:c>
      <x:c r="E120" s="111" t="str">
        <x:v>메타버스 열풍</x:v>
      </x:c>
      <x:c r="F120" s="111" t="str">
        <x:v>코로나 비대면 생활과 가상공간·아바타·NFT 서사가 결합해 미래 산업 기대를 키웠다.</x:v>
      </x:c>
      <x:c r="G120" s="111" t="str">
        <x:v>포털·SNS·커뮤니티</x:v>
      </x:c>
      <x:c r="H120" s="111" t="str">
        <x:v>대표 방향 상승 | 가격·반응 상장 후 따상상상 | 복수 출처 교차확인</x:v>
      </x:c>
      <x:c r="I120" s="141" t="str">
        <x:f>IF(J120&gt;0,"주가 반응 기록 있음","주가 미확인·연결 전")</x:f>
        <x:v>주가 반응 기록 있음</x:v>
      </x:c>
      <x:c r="J120" s="141" t="n">
        <x:f>COUNTIF('02_종목반응'!$B$6:$B$166,A120)</x:f>
        <x:v>4</x:v>
      </x:c>
      <x:c r="K120" s="111" t="str">
        <x:v>발화 → 포털·SNS 확산 → 관련주 묶기 → 주가 반응 → 기사·공시로 검증</x:v>
      </x:c>
      <x:c r="L120" s="111" t="str">
        <x:v>S110;S111</x:v>
      </x:c>
    </x:row>
    <x:row r="121" ht="42" customHeight="1">
      <x:c r="A121" s="111" t="str">
        <x:v>EV0042</x:v>
      </x:c>
      <x:c r="B121" s="141" t="n">
        <x:v>2021</x:v>
      </x:c>
      <x:c r="C121" s="153" t="str">
        <x:v>디지털·플랫폼</x:v>
      </x:c>
      <x:c r="D121" s="153" t="str">
        <x:v>모바일·플랫폼</x:v>
      </x:c>
      <x:c r="E121" s="111" t="str">
        <x:v>메타버스·버추얼 아바타</x:v>
      </x:c>
      <x:c r="F121" s="111" t="str">
        <x:v>가상 캐릭터로 소통하고 소비하는 경험이 팬덤·게임·엔터테인먼트와 결합해 확산됐다.</x:v>
      </x:c>
      <x:c r="G121" s="111" t="str">
        <x:v>포털·SNS·커뮤니티</x:v>
      </x:c>
      <x:c r="H121" s="111" t="str">
        <x:v>대표 방향 상승 | 가격·반응 테마 급등 및 별도일 12.96% 상승 | 복수 출처 교차확인</x:v>
      </x:c>
      <x:c r="I121" s="141" t="str">
        <x:f>IF(J121&gt;0,"주가 반응 기록 있음","주가 미확인·연결 전")</x:f>
        <x:v>주가 반응 기록 있음</x:v>
      </x:c>
      <x:c r="J121" s="141" t="n">
        <x:f>COUNTIF('02_종목반응'!$B$6:$B$166,A121)</x:f>
        <x:v>1</x:v>
      </x:c>
      <x:c r="K121" s="111" t="str">
        <x:v>발화 → 포털·SNS 확산 → 관련주 묶기 → 주가 반응 → 기사·공시로 검증</x:v>
      </x:c>
      <x:c r="L121" s="111" t="str">
        <x:v>S110;S111</x:v>
      </x:c>
    </x:row>
    <x:row r="122" ht="42" customHeight="1">
      <x:c r="A122" s="111" t="str">
        <x:v>TR2021-10</x:v>
      </x:c>
      <x:c r="B122" s="141" t="n">
        <x:v>2021</x:v>
      </x:c>
      <x:c r="C122" s="153" t="str">
        <x:v>디지털·플랫폼</x:v>
      </x:c>
      <x:c r="D122" s="153" t="str">
        <x:v>모바일·플랫폼</x:v>
      </x:c>
      <x:c r="E122" s="111" t="str">
        <x:v>NFT 프로필 사진</x:v>
      </x:c>
      <x:c r="F122" s="111" t="str">
        <x:v>희소 디지털 이미지와 커뮤니티 소속 표시가 프로필 교체 유행을 만들었다.</x:v>
      </x:c>
      <x:c r="G122" s="111" t="str">
        <x:v>트위터·디스코드</x:v>
      </x:c>
      <x:c r="H122" s="111" t="str">
        <x:v>연말 검색·플랫폼 결산 또는 동시기 보도에서 확산이 확인됨</x:v>
      </x:c>
      <x:c r="I122" s="141" t="str">
        <x:f>IF(J122&gt;0,"주가 반응 기록 있음","주가 미확인·연결 전")</x:f>
        <x:v>주가 미확인·연결 전</x:v>
      </x:c>
      <x:c r="J122" s="141" t="n">
        <x:f>COUNTIF('02_종목반응'!$B$6:$B$166,A122)</x:f>
        <x:v>0</x:v>
      </x:c>
      <x:c r="K122" s="111" t="str">
        <x:v>출시·발견 → 이용자 유입 → 공유·경쟁 → 대중화 → 후속 서비스</x:v>
      </x:c>
      <x:c r="L122" s="111" t="str">
        <x:v>S228;S229;S237</x:v>
      </x:c>
    </x:row>
    <x:row r="123" ht="42" customHeight="1">
      <x:c r="A123" s="111" t="str">
        <x:v>TR2021-07</x:v>
      </x:c>
      <x:c r="B123" s="141" t="n">
        <x:v>2021</x:v>
      </x:c>
      <x:c r="C123" s="153" t="str">
        <x:v>디지털·플랫폼</x:v>
      </x:c>
      <x:c r="D123" s="153" t="str">
        <x:v>SNS·커뮤니티</x:v>
      </x:c>
      <x:c r="E123" s="111" t="str">
        <x:v>이모지 따라하기</x:v>
      </x:c>
      <x:c r="F123" s="111" t="str">
        <x:v>표정 이모지를 빠르게 흉내 내는 규칙이 짧고 이해하기 쉬웠다.</x:v>
      </x:c>
      <x:c r="G123" s="111" t="str">
        <x:v>틱톡·인스타그램</x:v>
      </x:c>
      <x:c r="H123" s="111" t="str">
        <x:v>연말 검색·플랫폼 결산 또는 동시기 보도에서 확산이 확인됨</x:v>
      </x:c>
      <x:c r="I123" s="141" t="str">
        <x:f>IF(J123&gt;0,"주가 반응 기록 있음","주가 미확인·연결 전")</x:f>
        <x:v>주가 미확인·연결 전</x:v>
      </x:c>
      <x:c r="J123" s="141" t="n">
        <x:f>COUNTIF('02_종목반응'!$B$6:$B$166,A123)</x:f>
        <x:v>0</x:v>
      </x:c>
      <x:c r="K123" s="111" t="str">
        <x:v>원본 게시 → 따라 하기 → 해시태그 확산 → 변형·패러디 → 관심 둔화</x:v>
      </x:c>
      <x:c r="L123" s="111" t="str">
        <x:v>S228;S229;S237</x:v>
      </x:c>
    </x:row>
    <x:row r="124" ht="42" customHeight="1">
      <x:c r="A124" s="111" t="str">
        <x:v>TR2021-06</x:v>
      </x:c>
      <x:c r="B124" s="141" t="n">
        <x:v>2021</x:v>
      </x:c>
      <x:c r="C124" s="153" t="str">
        <x:v>디지털·플랫폼</x:v>
      </x:c>
      <x:c r="D124" s="153" t="str">
        <x:v>SNS·커뮤니티</x:v>
      </x:c>
      <x:c r="E124" s="111" t="str">
        <x:v>이어찍기 챌린지</x:v>
      </x:c>
      <x:c r="F124" s="111" t="str">
        <x:v>앞 영상의 동작을 이어받는 형식이 낯선 이용자 간 협업을 만들었다.</x:v>
      </x:c>
      <x:c r="G124" s="111" t="str">
        <x:v>틱톡·릴스</x:v>
      </x:c>
      <x:c r="H124" s="111" t="str">
        <x:v>연말 검색·플랫폼 결산 또는 동시기 보도에서 확산이 확인됨</x:v>
      </x:c>
      <x:c r="I124" s="141" t="str">
        <x:f>IF(J124&gt;0,"주가 반응 기록 있음","주가 미확인·연결 전")</x:f>
        <x:v>주가 미확인·연결 전</x:v>
      </x:c>
      <x:c r="J124" s="141" t="n">
        <x:f>COUNTIF('02_종목반응'!$B$6:$B$166,A124)</x:f>
        <x:v>0</x:v>
      </x:c>
      <x:c r="K124" s="111" t="str">
        <x:v>원본 게시 → 따라 하기 → 해시태그 확산 → 변형·패러디 → 관심 둔화</x:v>
      </x:c>
      <x:c r="L124" s="111" t="str">
        <x:v>S228;S229;S237</x:v>
      </x:c>
    </x:row>
    <x:row r="125" ht="42" customHeight="1">
      <x:c r="A125" s="111" t="str">
        <x:v>TR2021-09</x:v>
      </x:c>
      <x:c r="B125" s="141" t="n">
        <x:v>2021</x:v>
      </x:c>
      <x:c r="C125" s="153" t="str">
        <x:v>디지털·플랫폼</x:v>
      </x:c>
      <x:c r="D125" s="153" t="str">
        <x:v>SNS·커뮤니티</x:v>
      </x:c>
      <x:c r="E125" s="111" t="str">
        <x:v>TikTokMadeMeBuyIt</x:v>
      </x:c>
      <x:c r="F125" s="111" t="str">
        <x:v>짧은 사용 시연과 솔직한 반응 영상이 충동구매와 품절을 만들었다.</x:v>
      </x:c>
      <x:c r="G125" s="111" t="str">
        <x:v>틱톡·온라인몰</x:v>
      </x:c>
      <x:c r="H125" s="111" t="str">
        <x:v>연말 검색·플랫폼 결산 또는 동시기 보도에서 확산이 확인됨</x:v>
      </x:c>
      <x:c r="I125" s="141" t="str">
        <x:f>IF(J125&gt;0,"주가 반응 기록 있음","주가 미확인·연결 전")</x:f>
        <x:v>주가 미확인·연결 전</x:v>
      </x:c>
      <x:c r="J125" s="141" t="n">
        <x:f>COUNTIF('02_종목반응'!$B$6:$B$166,A125)</x:f>
        <x:v>0</x:v>
      </x:c>
      <x:c r="K125" s="111" t="str">
        <x:v>첫 노출 → 후기·인증 → 검색·품절 → 모방 제품 → 재구매 또는 소멸</x:v>
      </x:c>
      <x:c r="L125" s="111" t="str">
        <x:v>S228;S229;S237</x:v>
      </x:c>
    </x:row>
    <x:row r="126" ht="42" customHeight="1">
      <x:c r="A126" s="111" t="str">
        <x:v>TR2021-03</x:v>
      </x:c>
      <x:c r="B126" s="141" t="n">
        <x:v>2021</x:v>
      </x:c>
      <x:c r="C126" s="153" t="str">
        <x:v>게임·e스포츠</x:v>
      </x:c>
      <x:c r="D126" s="153" t="str">
        <x:v>모바일게임</x:v>
      </x:c>
      <x:c r="E126" s="111" t="str">
        <x:v>로블록스</x:v>
      </x:c>
      <x:c r="F126" s="111" t="str">
        <x:v>이용자가 게임을 만들고 친구와 노는 구조가 어린 이용층을 끌었다.</x:v>
      </x:c>
      <x:c r="G126" s="111" t="str">
        <x:v>모바일·유튜브·커뮤니티</x:v>
      </x:c>
      <x:c r="H126" s="111" t="str">
        <x:v>연말 검색·플랫폼 결산 또는 동시기 보도에서 확산이 확인됨</x:v>
      </x:c>
      <x:c r="I126" s="141" t="str">
        <x:f>IF(J126&gt;0,"주가 반응 기록 있음","주가 미확인·연결 전")</x:f>
        <x:v>주가 미확인·연결 전</x:v>
      </x:c>
      <x:c r="J126" s="141" t="n">
        <x:f>COUNTIF('02_종목반응'!$B$6:$B$166,A126)</x:f>
        <x:v>0</x:v>
      </x:c>
      <x:c r="K126" s="111" t="str">
        <x:v>출시·발견 → 이용자 유입 → 공유·경쟁 → 대중화 → 후속 서비스</x:v>
      </x:c>
      <x:c r="L126" s="111" t="str">
        <x:v>S228;S229;S237</x:v>
      </x:c>
    </x:row>
    <x:row r="127" ht="42" customHeight="1">
      <x:c r="A127" s="111" t="str">
        <x:v>EV0045</x:v>
      </x:c>
      <x:c r="B127" s="141" t="n">
        <x:v>2021</x:v>
      </x:c>
      <x:c r="C127" s="153" t="str">
        <x:v>게임·e스포츠</x:v>
      </x:c>
      <x:c r="D127" s="153" t="str">
        <x:v>PC·콘솔게임</x:v>
      </x:c>
      <x:c r="E127" s="111" t="str">
        <x:v>오징어게임</x:v>
      </x:c>
      <x:c r="F127" s="111" t="str">
        <x:v>단순한 놀이와 강렬한 비주얼·사회적 메시지가 넷플릭스를 통해 전 세계 밈과 패러디로 복제됐다.</x:v>
      </x:c>
      <x:c r="G127" s="111" t="str">
        <x:v>방송·OTT·유튜브·팬커뮤니티</x:v>
      </x:c>
      <x:c r="H127" s="111" t="str">
        <x:v>대표 방향 미확인 | 가격·반응 상한가를 거듭 | 복수 출처 교차확인</x:v>
      </x:c>
      <x:c r="I127" s="141" t="str">
        <x:f>IF(J127&gt;0,"주가 반응 기록 있음","주가 미확인·연결 전")</x:f>
        <x:v>주가 반응 기록 있음</x:v>
      </x:c>
      <x:c r="J127" s="141" t="n">
        <x:f>COUNTIF('02_종목반응'!$B$6:$B$166,A127)</x:f>
        <x:v>2</x:v>
      </x:c>
      <x:c r="K127" s="111" t="str">
        <x:v>공개·방영 → 조회수·팬덤 확산 → 관련 기업 탐색 → 주가 반응 → 흥행 지속성 검증</x:v>
      </x:c>
      <x:c r="L127" s="111" t="str">
        <x:v>S33;S34</x:v>
      </x:c>
    </x:row>
    <x:row r="128" ht="42" customHeight="1">
      <x:c r="A128" s="111" t="str">
        <x:v>EV0048</x:v>
      </x:c>
      <x:c r="B128" s="141" t="n">
        <x:v>2021</x:v>
      </x:c>
      <x:c r="C128" s="153" t="str">
        <x:v>생활·소비</x:v>
      </x:c>
      <x:c r="D128" s="153" t="str">
        <x:v>유통·쇼핑</x:v>
      </x:c>
      <x:c r="E128" s="111" t="str">
        <x:v>GS25 손가락 포스터 논란</x:v>
      </x:c>
      <x:c r="F128" s="111" t="str">
        <x:v>포스터 이미지가 특정 커뮤니티에서 젠더 갈등 상징으로 해석되며 불매 인증과 주식 매도 독려가 빠르게 확산됐다.</x:v>
      </x:c>
      <x:c r="G128" s="111" t="str">
        <x:v>포털·SNS·커뮤니티</x:v>
      </x:c>
      <x:c r="H128" s="111" t="str">
        <x:v>대표 방향 하락 | 가격·반응 GS리테일 5거래일 연속 하락·당일 3.35% 하락 | 복수 출처 교차확인</x:v>
      </x:c>
      <x:c r="I128" s="141" t="str">
        <x:f>IF(J128&gt;0,"주가 반응 기록 있음","주가 미확인·연결 전")</x:f>
        <x:v>주가 반응 기록 있음</x:v>
      </x:c>
      <x:c r="J128" s="141" t="n">
        <x:f>COUNTIF('02_종목반응'!$B$6:$B$166,A128)</x:f>
        <x:v>1</x:v>
      </x:c>
      <x:c r="K128" s="111" t="str">
        <x:v>이미지 캡처 → 커뮤니티 확산 → 불매·매도 독려 → 사과·수정 → 주가 5일 하락</x:v>
      </x:c>
      <x:c r="L128" s="111" t="str">
        <x:v>S132;S133</x:v>
      </x:c>
    </x:row>
    <x:row r="129" ht="42" customHeight="1">
      <x:c r="A129" s="111" t="str">
        <x:v>TR2021-14</x:v>
      </x:c>
      <x:c r="B129" s="141" t="n">
        <x:v>2021</x:v>
      </x:c>
      <x:c r="C129" s="153" t="str">
        <x:v>사회·온라인문화</x:v>
      </x:c>
      <x:c r="D129" s="153" t="str">
        <x:v>밈·유행어</x:v>
      </x:c>
      <x:c r="E129" s="111" t="str">
        <x:v>깐부</x:v>
      </x:c>
      <x:c r="F129" s="111" t="str">
        <x:v>오징어게임 속 친밀한 관계 단어가 일상 농담과 브랜드 문구로 퍼졌다.</x:v>
      </x:c>
      <x:c r="G129" s="111" t="str">
        <x:v>넷플릭스·SNS·광고</x:v>
      </x:c>
      <x:c r="H129" s="111" t="str">
        <x:v>연말 검색·플랫폼 결산 또는 동시기 보도에서 확산이 확인됨</x:v>
      </x:c>
      <x:c r="I129" s="141" t="str">
        <x:f>IF(J129&gt;0,"주가 반응 기록 있음","주가 미확인·연결 전")</x:f>
        <x:v>주가 미확인·연결 전</x:v>
      </x:c>
      <x:c r="J129" s="141" t="n">
        <x:f>COUNTIF('02_종목반응'!$B$6:$B$166,A129)</x:f>
        <x:v>0</x:v>
      </x:c>
      <x:c r="K129" s="111" t="str">
        <x:v>발화 → 검색·공유 증가 → 일상 언급·모방 → 관련 소비 탐색 → 관심 둔화</x:v>
      </x:c>
      <x:c r="L129" s="111" t="str">
        <x:v>S228;S229;S237</x:v>
      </x:c>
    </x:row>
    <x:row r="130" ht="42" customHeight="1">
      <x:c r="A130" s="111" t="str">
        <x:v>TR2021-12</x:v>
      </x:c>
      <x:c r="B130" s="141" t="n">
        <x:v>2021</x:v>
      </x:c>
      <x:c r="C130" s="153" t="str">
        <x:v>사회·온라인문화</x:v>
      </x:c>
      <x:c r="D130" s="153" t="str">
        <x:v>밈·유행어</x:v>
      </x:c>
      <x:c r="E130" s="111" t="str">
        <x:v>무야호</x:v>
      </x:c>
      <x:c r="F130" s="111" t="str">
        <x:v>오래된 방송 장면의 예상 밖 외침이 리믹스와 감탄 표현으로 재발견됐다.</x:v>
      </x:c>
      <x:c r="G130" s="111" t="str">
        <x:v>유튜브·커뮤니티·SNS</x:v>
      </x:c>
      <x:c r="H130" s="111" t="str">
        <x:v>연말 검색·플랫폼 결산 또는 동시기 보도에서 확산이 확인됨</x:v>
      </x:c>
      <x:c r="I130" s="141" t="str">
        <x:f>IF(J130&gt;0,"주가 반응 기록 있음","주가 미확인·연결 전")</x:f>
        <x:v>주가 미확인·연결 전</x:v>
      </x:c>
      <x:c r="J130" s="141" t="n">
        <x:f>COUNTIF('02_종목반응'!$B$6:$B$166,A130)</x:f>
        <x:v>0</x:v>
      </x:c>
      <x:c r="K130" s="111" t="str">
        <x:v>발화 → 검색·공유 증가 → 일상 언급·모방 → 관련 소비 탐색 → 관심 둔화</x:v>
      </x:c>
      <x:c r="L130" s="111" t="str">
        <x:v>S228;S229;S237</x:v>
      </x:c>
    </x:row>
    <x:row r="131" ht="42" customHeight="1">
      <x:c r="A131" s="111" t="str">
        <x:v>EV0040</x:v>
      </x:c>
      <x:c r="B131" s="141" t="n">
        <x:v>2021</x:v>
      </x:c>
      <x:c r="C131" s="153" t="str">
        <x:v>금융·시장현상</x:v>
      </x:c>
      <x:c r="D131" s="153" t="str">
        <x:v>풍문·군중매매</x:v>
      </x:c>
      <x:c r="E131" s="111" t="str">
        <x:v>두나무 미국 상장설</x:v>
      </x:c>
      <x:c r="F131" s="111" t="str">
        <x:v>코인베이스 상장 열풍과 업비트 거래대금 급증이 ‘두나무 나스닥·NYSE 상장’ 보도로 번지며 지분 보유사 찾기가 유행했다.</x:v>
      </x:c>
      <x:c r="G131" s="111" t="str">
        <x:v>포털·커뮤니티·언론</x:v>
      </x:c>
      <x:c r="H131" s="111" t="str">
        <x:v>대표 방향 상승 | 가격·반응 에이티넘·우리기술투자·한화투자증권 등 급등 | 복수 출처 교차확인</x:v>
      </x:c>
      <x:c r="I131" s="141" t="str">
        <x:f>IF(J131&gt;0,"주가 반응 기록 있음","주가 미확인·연결 전")</x:f>
        <x:v>주가 반응 기록 있음</x:v>
      </x:c>
      <x:c r="J131" s="141" t="n">
        <x:f>COUNTIF('02_종목반응'!$B$6:$B$166,A131)</x:f>
        <x:v>4</x:v>
      </x:c>
      <x:c r="K131" s="111" t="str">
        <x:v>코인 열풍 → 미국 상장설 → 지분 보유사 상한가 → 회사 “확정 없음” → 변동성 확대</x:v>
      </x:c>
      <x:c r="L131" s="111" t="str">
        <x:v>S151;S152</x:v>
      </x:c>
    </x:row>
    <x:row r="132" ht="42" customHeight="1">
      <x:c r="A132" s="111" t="str">
        <x:v>EV0044</x:v>
      </x:c>
      <x:c r="B132" s="141" t="n">
        <x:v>2021</x:v>
      </x:c>
      <x:c r="C132" s="153" t="str">
        <x:v>금융·시장현상</x:v>
      </x:c>
      <x:c r="D132" s="153" t="str">
        <x:v>풍문·군중매매</x:v>
      </x:c>
      <x:c r="E132" s="111" t="str">
        <x:v>애플카-현대차 협력설→중단</x:v>
      </x:c>
      <x:c r="F132" s="111" t="str">
        <x:v>외신과 단독 보도가 ‘애플카 생산 파트너’ 기대를 키웠고 온라인에서 계열사·부품사까지 관련주 지도가 확장됐다.</x:v>
      </x:c>
      <x:c r="G132" s="111" t="str">
        <x:v>포털·커뮤니티·언론</x:v>
      </x:c>
      <x:c r="H132" s="111" t="str">
        <x:v>대표 방향 급등→급락 | 가격·반응 협력설 뒤 현대차 25%·기아 39% 상승, 중단일 기아 약 15% 급락 | 복수 출처 교차확인</x:v>
      </x:c>
      <x:c r="I132" s="141" t="str">
        <x:f>IF(J132&gt;0,"주가 반응 기록 있음","주가 미확인·연결 전")</x:f>
        <x:v>주가 반응 기록 있음</x:v>
      </x:c>
      <x:c r="J132" s="141" t="n">
        <x:f>COUNTIF('02_종목반응'!$B$6:$B$166,A132)</x:f>
        <x:v>5</x:v>
      </x:c>
      <x:c r="K132" s="111" t="str">
        <x:v>협력 보도 → 그룹주 폭등 → 후속 추측 보도 → 협의 중단 공시 → 시총 급감</x:v>
      </x:c>
      <x:c r="L132" s="111" t="str">
        <x:v>S149;S150</x:v>
      </x:c>
    </x:row>
    <x:row r="133" ht="42" customHeight="1">
      <x:c r="A133" s="111" t="str">
        <x:v>TR2020-11</x:v>
      </x:c>
      <x:c r="B133" s="141" t="n">
        <x:v>2020</x:v>
      </x:c>
      <x:c r="C133" s="153" t="str">
        <x:v>식품·음료</x:v>
      </x:c>
      <x:c r="D133" s="153" t="str">
        <x:v>디저트·베이커리</x:v>
      </x:c>
      <x:c r="E133" s="111" t="str">
        <x:v>크로플</x:v>
      </x:c>
      <x:c r="F133" s="111" t="str">
        <x:v>크루아상 생지를 와플기로 굽는 간단한 조리와 비주얼이 홈카페에 적합했다.</x:v>
      </x:c>
      <x:c r="G133" s="111" t="str">
        <x:v>인스타그램·홈카페·배달</x:v>
      </x:c>
      <x:c r="H133" s="111" t="str">
        <x:v>연말 검색·플랫폼 결산 또는 동시기 보도에서 확산이 확인됨</x:v>
      </x:c>
      <x:c r="I133" s="141" t="str">
        <x:f>IF(J133&gt;0,"주가 반응 기록 있음","주가 미확인·연결 전")</x:f>
        <x:v>주가 미확인·연결 전</x:v>
      </x:c>
      <x:c r="J133" s="141" t="n">
        <x:f>COUNTIF('02_종목반응'!$B$6:$B$166,A133)</x:f>
        <x:v>0</x:v>
      </x:c>
      <x:c r="K133" s="111" t="str">
        <x:v>첫 노출 → 후기·인증 → 검색·품절 → 모방 제품 → 재구매 또는 소멸</x:v>
      </x:c>
      <x:c r="L133" s="111" t="str">
        <x:v>S226;S227;S237</x:v>
      </x:c>
    </x:row>
    <x:row r="134" ht="42" customHeight="1">
      <x:c r="A134" s="111" t="str">
        <x:v>EV0035</x:v>
      </x:c>
      <x:c r="B134" s="141" t="n">
        <x:v>2020</x:v>
      </x:c>
      <x:c r="C134" s="153" t="str">
        <x:v>식품·음료</x:v>
      </x:c>
      <x:c r="D134" s="153" t="str">
        <x:v>식품 유행 일반</x:v>
      </x:c>
      <x:c r="E134" s="111" t="str">
        <x:v>기생충 짜파구리</x:v>
      </x:c>
      <x:c r="F134" s="111" t="str">
        <x:v>영화 속 친숙하면서도 낯선 조합이 수상 화제와 맞물려 레시피 따라 하기와 인증 소비로 번졌다.</x:v>
      </x:c>
      <x:c r="G134" s="111" t="str">
        <x:v>방송·OTT·유튜브·팬커뮤니티</x:v>
      </x:c>
      <x:c r="H134" s="111" t="str">
        <x:v>대표 방향 미확인 | 가격·반응 농심 주가도 급등 보도; 정확 수치 미기재 | 단일 핵심 출처</x:v>
      </x:c>
      <x:c r="I134" s="141" t="str">
        <x:f>IF(J134&gt;0,"주가 반응 기록 있음","주가 미확인·연결 전")</x:f>
        <x:v>주가 반응 기록 있음</x:v>
      </x:c>
      <x:c r="J134" s="141" t="n">
        <x:f>COUNTIF('02_종목반응'!$B$6:$B$166,A134)</x:f>
        <x:v>1</x:v>
      </x:c>
      <x:c r="K134" s="111" t="str">
        <x:v>공개·방영 → 조회수·팬덤 확산 → 관련 기업 탐색 → 주가 반응 → 흥행 지속성 검증</x:v>
      </x:c>
      <x:c r="L134" s="111" t="str">
        <x:v>S61</x:v>
      </x:c>
    </x:row>
    <x:row r="135" ht="42" customHeight="1">
      <x:c r="A135" s="111" t="str">
        <x:v>TR2020-09</x:v>
      </x:c>
      <x:c r="B135" s="141" t="n">
        <x:v>2020</x:v>
      </x:c>
      <x:c r="C135" s="153" t="str">
        <x:v>콘텐츠·엔터</x:v>
      </x:c>
      <x:c r="D135" s="153" t="str">
        <x:v>드라마·OTT</x:v>
      </x:c>
      <x:c r="E135" s="111" t="str">
        <x:v>슬기로운 의사생활</x:v>
      </x:c>
      <x:c r="F135" s="111" t="str">
        <x:v>따뜻한 관계와 밴드 연주가 OST 역주행과 팬덤을 만들었다.</x:v>
      </x:c>
      <x:c r="G135" s="111" t="str">
        <x:v>TV·유튜브·음원</x:v>
      </x:c>
      <x:c r="H135" s="111" t="str">
        <x:v>연말 검색·플랫폼 결산 또는 동시기 보도에서 확산이 확인됨</x:v>
      </x:c>
      <x:c r="I135" s="141" t="str">
        <x:f>IF(J135&gt;0,"주가 반응 기록 있음","주가 미확인·연결 전")</x:f>
        <x:v>주가 미확인·연결 전</x:v>
      </x:c>
      <x:c r="J135" s="141" t="n">
        <x:f>COUNTIF('02_종목반응'!$B$6:$B$166,A135)</x:f>
        <x:v>0</x:v>
      </x:c>
      <x:c r="K135" s="111" t="str">
        <x:v>공개·방영 → 클립·검색 증가 → 팬덤·패러디 → 소비 확장 → 후속 관심</x:v>
      </x:c>
      <x:c r="L135" s="111" t="str">
        <x:v>S226;S227;S237</x:v>
      </x:c>
    </x:row>
    <x:row r="136" ht="42" customHeight="1">
      <x:c r="A136" s="111" t="str">
        <x:v>TR2020-05</x:v>
      </x:c>
      <x:c r="B136" s="141" t="n">
        <x:v>2020</x:v>
      </x:c>
      <x:c r="C136" s="153" t="str">
        <x:v>콘텐츠·엔터</x:v>
      </x:c>
      <x:c r="D136" s="153" t="str">
        <x:v>드라마·OTT</x:v>
      </x:c>
      <x:c r="E136" s="111" t="str">
        <x:v>이태원 클라쓰</x:v>
      </x:c>
      <x:c r="F136" s="111" t="str">
        <x:v>성장 서사와 헤어스타일·음식점 설정이 따라 하기와 팬덤을 만들었다.</x:v>
      </x:c>
      <x:c r="G136" s="111" t="str">
        <x:v>TV·웹툰·SNS</x:v>
      </x:c>
      <x:c r="H136" s="111" t="str">
        <x:v>연말 검색·플랫폼 결산 또는 동시기 보도에서 확산이 확인됨</x:v>
      </x:c>
      <x:c r="I136" s="141" t="str">
        <x:f>IF(J136&gt;0,"주가 반응 기록 있음","주가 미확인·연결 전")</x:f>
        <x:v>주가 미확인·연결 전</x:v>
      </x:c>
      <x:c r="J136" s="141" t="n">
        <x:f>COUNTIF('02_종목반응'!$B$6:$B$166,A136)</x:f>
        <x:v>0</x:v>
      </x:c>
      <x:c r="K136" s="111" t="str">
        <x:v>공개·방영 → 클립·검색 증가 → 팬덤·패러디 → 소비 확장 → 후속 관심</x:v>
      </x:c>
      <x:c r="L136" s="111" t="str">
        <x:v>S226;S227;S237</x:v>
      </x:c>
    </x:row>
    <x:row r="137" ht="42" customHeight="1">
      <x:c r="A137" s="111" t="str">
        <x:v>EV0034</x:v>
      </x:c>
      <x:c r="B137" s="141" t="n">
        <x:v>2020</x:v>
      </x:c>
      <x:c r="C137" s="153" t="str">
        <x:v>콘텐츠·엔터</x:v>
      </x:c>
      <x:c r="D137" s="153" t="str">
        <x:v>영화·애니메이션</x:v>
      </x:c>
      <x:c r="E137" s="111" t="str">
        <x:v>기생충</x:v>
      </x:c>
      <x:c r="F137" s="111" t="str">
        <x:v>아카데미 수상과 계층 서사가 세계적 화제를 만들고 작품 속 음식·제작사까지 관심이 확장됐다.</x:v>
      </x:c>
      <x:c r="G137" s="111" t="str">
        <x:v>방송·OTT·유튜브·팬커뮤니티</x:v>
      </x:c>
      <x:c r="H137" s="111" t="str">
        <x:v>대표 방향 혼합·급등락 | 가격·반응 수상 당일 급등 | 단일 핵심 출처</x:v>
      </x:c>
      <x:c r="I137" s="141" t="str">
        <x:f>IF(J137&gt;0,"주가 반응 기록 있음","주가 미확인·연결 전")</x:f>
        <x:v>주가 반응 기록 있음</x:v>
      </x:c>
      <x:c r="J137" s="141" t="n">
        <x:f>COUNTIF('02_종목반응'!$B$6:$B$166,A137)</x:f>
        <x:v>2</x:v>
      </x:c>
      <x:c r="K137" s="111" t="str">
        <x:v>공개·방영 → 조회수·팬덤 확산 → 관련 기업 탐색 → 주가 반응 → 흥행 지속성 검증</x:v>
      </x:c>
      <x:c r="L137" s="111" t="str">
        <x:v>S35</x:v>
      </x:c>
    </x:row>
    <x:row r="138" ht="42" customHeight="1">
      <x:c r="A138" s="111" t="str">
        <x:v>TR2020-04</x:v>
      </x:c>
      <x:c r="B138" s="141" t="n">
        <x:v>2020</x:v>
      </x:c>
      <x:c r="C138" s="153" t="str">
        <x:v>콘텐츠·엔터</x:v>
      </x:c>
      <x:c r="D138" s="153" t="str">
        <x:v>영화·애니메이션</x:v>
      </x:c>
      <x:c r="E138" s="111" t="str">
        <x:v>기생충 아카데미 수상</x:v>
      </x:c>
      <x:c r="F138" s="111" t="str">
        <x:v>한국 영화 최초의 기록이 수상 장면·작품 해석·재관람을 재점화했다.</x:v>
      </x:c>
      <x:c r="G138" s="111" t="str">
        <x:v>TV·포털·해외 SNS</x:v>
      </x:c>
      <x:c r="H138" s="111" t="str">
        <x:v>연말 검색·플랫폼 결산 또는 동시기 보도에서 확산이 확인됨</x:v>
      </x:c>
      <x:c r="I138" s="141" t="str">
        <x:f>IF(J138&gt;0,"주가 반응 기록 있음","주가 미확인·연결 전")</x:f>
        <x:v>주가 미확인·연결 전</x:v>
      </x:c>
      <x:c r="J138" s="141" t="n">
        <x:f>COUNTIF('02_종목반응'!$B$6:$B$166,A138)</x:f>
        <x:v>0</x:v>
      </x:c>
      <x:c r="K138" s="111" t="str">
        <x:v>공개·방영 → 클립·검색 증가 → 팬덤·패러디 → 소비 확장 → 후속 관심</x:v>
      </x:c>
      <x:c r="L138" s="111" t="str">
        <x:v>S226;S227;S237</x:v>
      </x:c>
    </x:row>
    <x:row r="139" ht="42" customHeight="1">
      <x:c r="A139" s="111" t="str">
        <x:v>TR2020-01</x:v>
      </x:c>
      <x:c r="B139" s="141" t="n">
        <x:v>2020</x:v>
      </x:c>
      <x:c r="C139" s="153" t="str">
        <x:v>콘텐츠·엔터</x:v>
      </x:c>
      <x:c r="D139" s="153" t="str">
        <x:v>음악·댄스</x:v>
      </x:c>
      <x:c r="E139" s="111" t="str">
        <x:v>아무노래 챌린지</x:v>
      </x:c>
      <x:c r="F139" s="111" t="str">
        <x:v>짧고 쉬운 안무와 원곡 공개가 이용자 참여 영상을 연쇄 생산했다.</x:v>
      </x:c>
      <x:c r="G139" s="111" t="str">
        <x:v>틱톡·인스타그램·유튜브</x:v>
      </x:c>
      <x:c r="H139" s="111" t="str">
        <x:v>연말 검색·플랫폼 결산 또는 동시기 보도에서 확산이 확인됨</x:v>
      </x:c>
      <x:c r="I139" s="141" t="str">
        <x:f>IF(J139&gt;0,"주가 반응 기록 있음","주가 미확인·연결 전")</x:f>
        <x:v>주가 미확인·연결 전</x:v>
      </x:c>
      <x:c r="J139" s="141" t="n">
        <x:f>COUNTIF('02_종목반응'!$B$6:$B$166,A139)</x:f>
        <x:v>0</x:v>
      </x:c>
      <x:c r="K139" s="111" t="str">
        <x:v>원본 게시 → 따라 하기 → 해시태그 확산 → 변형·패러디 → 관심 둔화</x:v>
      </x:c>
      <x:c r="L139" s="111" t="str">
        <x:v>S226;S227;S237</x:v>
      </x:c>
    </x:row>
    <x:row r="140" ht="42" customHeight="1">
      <x:c r="A140" s="111" t="str">
        <x:v>EV0036</x:v>
      </x:c>
      <x:c r="B140" s="141" t="n">
        <x:v>2020</x:v>
      </x:c>
      <x:c r="C140" s="153" t="str">
        <x:v>콘텐츠·엔터</x:v>
      </x:c>
      <x:c r="D140" s="153" t="str">
        <x:v>팬덤·공연</x:v>
      </x:c>
      <x:c r="E140" s="111" t="str">
        <x:v>아기상어 유튜브 세계 1위</x:v>
      </x:c>
      <x:c r="F140" s="111" t="str">
        <x:v>짧고 반복적인 멜로디와 쉬운 율동이 어린이의 반복 시청과 부모 공유를 통해 세계적으로 확산됐다.</x:v>
      </x:c>
      <x:c r="G140" s="111" t="str">
        <x:v>방송·OTT·유튜브·팬커뮤니티</x:v>
      </x:c>
      <x:c r="H140" s="111" t="str">
        <x:v>대표 방향 상승 | 가격·반응 당일 약 10% 상승 | 단일 핵심 출처</x:v>
      </x:c>
      <x:c r="I140" s="141" t="str">
        <x:f>IF(J140&gt;0,"주가 반응 기록 있음","주가 미확인·연결 전")</x:f>
        <x:v>주가 반응 기록 있음</x:v>
      </x:c>
      <x:c r="J140" s="141" t="n">
        <x:f>COUNTIF('02_종목반응'!$B$6:$B$166,A140)</x:f>
        <x:v>1</x:v>
      </x:c>
      <x:c r="K140" s="111" t="str">
        <x:v>공개·방영 → 조회수·팬덤 확산 → 관련 기업 탐색 → 주가 반응 → 흥행 지속성 검증</x:v>
      </x:c>
      <x:c r="L140" s="111" t="str">
        <x:v>S59</x:v>
      </x:c>
    </x:row>
    <x:row r="141" ht="42" customHeight="1">
      <x:c r="A141" s="111" t="str">
        <x:v>TR2020-08</x:v>
      </x:c>
      <x:c r="B141" s="141" t="n">
        <x:v>2020</x:v>
      </x:c>
      <x:c r="C141" s="153" t="str">
        <x:v>디지털·플랫폼</x:v>
      </x:c>
      <x:c r="D141" s="153" t="str">
        <x:v>모바일·플랫폼</x:v>
      </x:c>
      <x:c r="E141" s="111" t="str">
        <x:v>줌 가상배경</x:v>
      </x:c>
      <x:c r="F141" s="111" t="str">
        <x:v>화상회의 배경을 숨기거나 웃긴 이미지로 바꾸는 놀이가 퍼졌다.</x:v>
      </x:c>
      <x:c r="G141" s="111" t="str">
        <x:v>Zoom·커뮤니티·SNS</x:v>
      </x:c>
      <x:c r="H141" s="111" t="str">
        <x:v>연말 검색·플랫폼 결산 또는 동시기 보도에서 확산이 확인됨</x:v>
      </x:c>
      <x:c r="I141" s="141" t="str">
        <x:f>IF(J141&gt;0,"주가 반응 기록 있음","주가 미확인·연결 전")</x:f>
        <x:v>주가 미확인·연결 전</x:v>
      </x:c>
      <x:c r="J141" s="141" t="n">
        <x:f>COUNTIF('02_종목반응'!$B$6:$B$166,A141)</x:f>
        <x:v>0</x:v>
      </x:c>
      <x:c r="K141" s="111" t="str">
        <x:v>발화 → 검색·공유 증가 → 일상 언급·모방 → 관련 소비 탐색 → 관심 둔화</x:v>
      </x:c>
      <x:c r="L141" s="111" t="str">
        <x:v>S226;S227;S237</x:v>
      </x:c>
    </x:row>
    <x:row r="142" ht="42" customHeight="1">
      <x:c r="A142" s="111" t="str">
        <x:v>TR2020-07</x:v>
      </x:c>
      <x:c r="B142" s="141" t="n">
        <x:v>2020</x:v>
      </x:c>
      <x:c r="C142" s="153" t="str">
        <x:v>디지털·플랫폼</x:v>
      </x:c>
      <x:c r="D142" s="153" t="str">
        <x:v>모바일·플랫폼</x:v>
      </x:c>
      <x:c r="E142" s="111" t="str">
        <x:v>집콕·랜선생활</x:v>
      </x:c>
      <x:c r="F142" s="111" t="str">
        <x:v>외출 제한이 공연·모임·여행을 화면으로 대체하는 언어와 행동을 만들었다.</x:v>
      </x:c>
      <x:c r="G142" s="111" t="str">
        <x:v>SNS·화상회의·스트리밍</x:v>
      </x:c>
      <x:c r="H142" s="111" t="str">
        <x:v>연말 검색·플랫폼 결산 또는 동시기 보도에서 확산이 확인됨</x:v>
      </x:c>
      <x:c r="I142" s="141" t="str">
        <x:f>IF(J142&gt;0,"주가 반응 기록 있음","주가 미확인·연결 전")</x:f>
        <x:v>주가 미확인·연결 전</x:v>
      </x:c>
      <x:c r="J142" s="141" t="n">
        <x:f>COUNTIF('02_종목반응'!$B$6:$B$166,A142)</x:f>
        <x:v>0</x:v>
      </x:c>
      <x:c r="K142" s="111" t="str">
        <x:v>발화 → 검색·공유 증가 → 일상 언급·모방 → 관련 소비 탐색 → 관심 둔화</x:v>
      </x:c>
      <x:c r="L142" s="111" t="str">
        <x:v>S226;S227;S237</x:v>
      </x:c>
    </x:row>
    <x:row r="143" ht="42" customHeight="1">
      <x:c r="A143" s="111" t="str">
        <x:v>TR2020-12</x:v>
      </x:c>
      <x:c r="B143" s="141" t="n">
        <x:v>2020</x:v>
      </x:c>
      <x:c r="C143" s="153" t="str">
        <x:v>디지털·플랫폼</x:v>
      </x:c>
      <x:c r="D143" s="153" t="str">
        <x:v>SNS·커뮤니티</x:v>
      </x:c>
      <x:c r="E143" s="111" t="str">
        <x:v>덕분에 챌린지</x:v>
      </x:c>
      <x:c r="F143" s="111" t="str">
        <x:v>정해진 수어 동작과 지목 방식이 의료진 응원 참여를 확산시켰다.</x:v>
      </x:c>
      <x:c r="G143" s="111" t="str">
        <x:v>인스타그램·페이스북</x:v>
      </x:c>
      <x:c r="H143" s="111" t="str">
        <x:v>연말 검색·플랫폼 결산 또는 동시기 보도에서 확산이 확인됨</x:v>
      </x:c>
      <x:c r="I143" s="141" t="str">
        <x:f>IF(J143&gt;0,"주가 반응 기록 있음","주가 미확인·연결 전")</x:f>
        <x:v>주가 미확인·연결 전</x:v>
      </x:c>
      <x:c r="J143" s="141" t="n">
        <x:f>COUNTIF('02_종목반응'!$B$6:$B$166,A143)</x:f>
        <x:v>0</x:v>
      </x:c>
      <x:c r="K143" s="111" t="str">
        <x:v>원본 게시 → 따라 하기 → 해시태그 확산 → 변형·패러디 → 관심 둔화</x:v>
      </x:c>
      <x:c r="L143" s="111" t="str">
        <x:v>S226;S227;S237</x:v>
      </x:c>
    </x:row>
    <x:row r="144" ht="42" customHeight="1">
      <x:c r="A144" s="111" t="str">
        <x:v>TR2020-15</x:v>
      </x:c>
      <x:c r="B144" s="141" t="n">
        <x:v>2020</x:v>
      </x:c>
      <x:c r="C144" s="153" t="str">
        <x:v>게임·e스포츠</x:v>
      </x:c>
      <x:c r="D144" s="153" t="str">
        <x:v>모바일게임</x:v>
      </x:c>
      <x:c r="E144" s="111" t="str">
        <x:v>원신</x:v>
      </x:c>
      <x:c r="F144" s="111" t="str">
        <x:v>애니메이션풍 캐릭터와 오픈월드가 팬아트·뽑기 방송을 만들었다.</x:v>
      </x:c>
      <x:c r="G144" s="111" t="str">
        <x:v>모바일·유튜브·팬커뮤니티</x:v>
      </x:c>
      <x:c r="H144" s="111" t="str">
        <x:v>연말 검색·플랫폼 결산 또는 동시기 보도에서 확산이 확인됨</x:v>
      </x:c>
      <x:c r="I144" s="141" t="str">
        <x:f>IF(J144&gt;0,"주가 반응 기록 있음","주가 미확인·연결 전")</x:f>
        <x:v>주가 미확인·연결 전</x:v>
      </x:c>
      <x:c r="J144" s="141" t="n">
        <x:f>COUNTIF('02_종목반응'!$B$6:$B$166,A144)</x:f>
        <x:v>0</x:v>
      </x:c>
      <x:c r="K144" s="111" t="str">
        <x:v>출시·발견 → 이용자 유입 → 공유·경쟁 → 대중화 → 후속 서비스</x:v>
      </x:c>
      <x:c r="L144" s="111" t="str">
        <x:v>S226;S227;S237</x:v>
      </x:c>
    </x:row>
    <x:row r="145" ht="42" customHeight="1">
      <x:c r="A145" s="111" t="str">
        <x:v>TR2020-02</x:v>
      </x:c>
      <x:c r="B145" s="141" t="n">
        <x:v>2020</x:v>
      </x:c>
      <x:c r="C145" s="153" t="str">
        <x:v>게임·e스포츠</x:v>
      </x:c>
      <x:c r="D145" s="153" t="str">
        <x:v>소셜·캐주얼게임</x:v>
      </x:c>
      <x:c r="E145" s="111" t="str">
        <x:v>어몽어스</x:v>
      </x:c>
      <x:c r="F145" s="111" t="str">
        <x:v>마피아형 추리와 방송인의 대화 장면이 클립·밈을 만들었다.</x:v>
      </x:c>
      <x:c r="G145" s="111" t="str">
        <x:v>모바일·트위치·유튜브</x:v>
      </x:c>
      <x:c r="H145" s="111" t="str">
        <x:v>연말 검색·플랫폼 결산 또는 동시기 보도에서 확산이 확인됨</x:v>
      </x:c>
      <x:c r="I145" s="141" t="str">
        <x:f>IF(J145&gt;0,"주가 반응 기록 있음","주가 미확인·연결 전")</x:f>
        <x:v>주가 미확인·연결 전</x:v>
      </x:c>
      <x:c r="J145" s="141" t="n">
        <x:f>COUNTIF('02_종목반응'!$B$6:$B$166,A145)</x:f>
        <x:v>0</x:v>
      </x:c>
      <x:c r="K145" s="111" t="str">
        <x:v>출시·발견 → 이용자 유입 → 공유·경쟁 → 대중화 → 후속 서비스</x:v>
      </x:c>
      <x:c r="L145" s="111" t="str">
        <x:v>S226;S227;S237</x:v>
      </x:c>
    </x:row>
    <x:row r="146" ht="42" customHeight="1">
      <x:c r="A146" s="111" t="str">
        <x:v>TR2020-14</x:v>
      </x:c>
      <x:c r="B146" s="141" t="n">
        <x:v>2020</x:v>
      </x:c>
      <x:c r="C146" s="153" t="str">
        <x:v>게임·e스포츠</x:v>
      </x:c>
      <x:c r="D146" s="153" t="str">
        <x:v>소셜·캐주얼게임</x:v>
      </x:c>
      <x:c r="E146" s="111" t="str">
        <x:v>폴가이즈</x:v>
      </x:c>
      <x:c r="F146" s="111" t="str">
        <x:v>엉뚱한 장애물 실패 장면이 짧은 클립과 단체 방송에 적합했다.</x:v>
      </x:c>
      <x:c r="G146" s="111" t="str">
        <x:v>트위치·유튜브·PC</x:v>
      </x:c>
      <x:c r="H146" s="111" t="str">
        <x:v>연말 검색·플랫폼 결산 또는 동시기 보도에서 확산이 확인됨</x:v>
      </x:c>
      <x:c r="I146" s="141" t="str">
        <x:f>IF(J146&gt;0,"주가 반응 기록 있음","주가 미확인·연결 전")</x:f>
        <x:v>주가 미확인·연결 전</x:v>
      </x:c>
      <x:c r="J146" s="141" t="n">
        <x:f>COUNTIF('02_종목반응'!$B$6:$B$166,A146)</x:f>
        <x:v>0</x:v>
      </x:c>
      <x:c r="K146" s="111" t="str">
        <x:v>출시·발견 → 이용자 유입 → 공유·경쟁 → 대중화 → 후속 서비스</x:v>
      </x:c>
      <x:c r="L146" s="111" t="str">
        <x:v>S226;S227;S237</x:v>
      </x:c>
    </x:row>
    <x:row r="147" ht="42" customHeight="1">
      <x:c r="A147" s="111" t="str">
        <x:v>TR2020-13</x:v>
      </x:c>
      <x:c r="B147" s="141" t="n">
        <x:v>2020</x:v>
      </x:c>
      <x:c r="C147" s="153" t="str">
        <x:v>게임·e스포츠</x:v>
      </x:c>
      <x:c r="D147" s="153" t="str">
        <x:v>e스포츠·스트리밍</x:v>
      </x:c>
      <x:c r="E147" s="111" t="str">
        <x:v>발로란트</x:v>
      </x:c>
      <x:c r="F147" s="111" t="str">
        <x:v>전술 슈팅과 캐릭터 능력의 결합이 방송·경쟁 플레이를 끌었다.</x:v>
      </x:c>
      <x:c r="G147" s="111" t="str">
        <x:v>PC방·트위치·유튜브</x:v>
      </x:c>
      <x:c r="H147" s="111" t="str">
        <x:v>연말 검색·플랫폼 결산 또는 동시기 보도에서 확산이 확인됨</x:v>
      </x:c>
      <x:c r="I147" s="141" t="str">
        <x:f>IF(J147&gt;0,"주가 반응 기록 있음","주가 미확인·연결 전")</x:f>
        <x:v>주가 미확인·연결 전</x:v>
      </x:c>
      <x:c r="J147" s="141" t="n">
        <x:f>COUNTIF('02_종목반응'!$B$6:$B$166,A147)</x:f>
        <x:v>0</x:v>
      </x:c>
      <x:c r="K147" s="111" t="str">
        <x:v>출시·발견 → 이용자 유입 → 공유·경쟁 → 대중화 → 후속 서비스</x:v>
      </x:c>
      <x:c r="L147" s="111" t="str">
        <x:v>S226;S227;S237</x:v>
      </x:c>
    </x:row>
    <x:row r="148" ht="42" customHeight="1">
      <x:c r="A148" s="111" t="str">
        <x:v>TR2020-03</x:v>
      </x:c>
      <x:c r="B148" s="141" t="n">
        <x:v>2020</x:v>
      </x:c>
      <x:c r="C148" s="153" t="str">
        <x:v>게임·e스포츠</x:v>
      </x:c>
      <x:c r="D148" s="153" t="str">
        <x:v>PC·콘솔게임</x:v>
      </x:c>
      <x:c r="E148" s="111" t="str">
        <x:v>모여봐요 동물의 숲</x:v>
      </x:c>
      <x:c r="F148" s="111" t="str">
        <x:v>집콕 기간의 느린 일상·섬 꾸미기가 대리 사회생활과 공유 욕구를 채웠다.</x:v>
      </x:c>
      <x:c r="G148" s="111" t="str">
        <x:v>닌텐도 스위치·SNS</x:v>
      </x:c>
      <x:c r="H148" s="111" t="str">
        <x:v>연말 검색·플랫폼 결산 또는 동시기 보도에서 확산이 확인됨</x:v>
      </x:c>
      <x:c r="I148" s="141" t="str">
        <x:f>IF(J148&gt;0,"주가 반응 기록 있음","주가 미확인·연결 전")</x:f>
        <x:v>주가 미확인·연결 전</x:v>
      </x:c>
      <x:c r="J148" s="141" t="n">
        <x:f>COUNTIF('02_종목반응'!$B$6:$B$166,A148)</x:f>
        <x:v>0</x:v>
      </x:c>
      <x:c r="K148" s="111" t="str">
        <x:v>출시·발견 → 이용자 유입 → 공유·경쟁 → 대중화 → 후속 서비스</x:v>
      </x:c>
      <x:c r="L148" s="111" t="str">
        <x:v>S226;S227;S237</x:v>
      </x:c>
    </x:row>
    <x:row r="149" ht="42" customHeight="1">
      <x:c r="A149" s="111" t="str">
        <x:v>EV0037</x:v>
      </x:c>
      <x:c r="B149" s="141" t="n">
        <x:v>2020</x:v>
      </x:c>
      <x:c r="C149" s="153" t="str">
        <x:v>생활·소비</x:v>
      </x:c>
      <x:c r="D149" s="153" t="str">
        <x:v>자기관리·라이프스타일</x:v>
      </x:c>
      <x:c r="E149" s="111" t="str">
        <x:v>온라인교육 확산</x:v>
      </x:c>
      <x:c r="F149" s="111" t="str">
        <x:v>개학 연기와 학원 휴원으로 학생·학부모가 온라인 수업으로 급하게 이동했다.</x:v>
      </x:c>
      <x:c r="G149" s="111" t="str">
        <x:v>포털·SNS·커뮤니티</x:v>
      </x:c>
      <x:c r="H149" s="111" t="str">
        <x:v>대표 방향 상승 | 가격·반응 당일 4.93% 상승 | 단일 핵심 출처</x:v>
      </x:c>
      <x:c r="I149" s="141" t="str">
        <x:f>IF(J149&gt;0,"주가 반응 기록 있음","주가 미확인·연결 전")</x:f>
        <x:v>주가 반응 기록 있음</x:v>
      </x:c>
      <x:c r="J149" s="141" t="n">
        <x:f>COUNTIF('02_종목반응'!$B$6:$B$166,A149)</x:f>
        <x:v>3</x:v>
      </x:c>
      <x:c r="K149" s="111" t="str">
        <x:v>발화 → 포털·SNS 확산 → 관련주 묶기 → 주가 반응 → 기사·공시로 검증</x:v>
      </x:c>
      <x:c r="L149" s="111" t="str">
        <x:v>S109</x:v>
      </x:c>
    </x:row>
    <x:row r="150" ht="42" customHeight="1">
      <x:c r="A150" s="111" t="str">
        <x:v>EV0038</x:v>
      </x:c>
      <x:c r="B150" s="141" t="n">
        <x:v>2020</x:v>
      </x:c>
      <x:c r="C150" s="153" t="str">
        <x:v>생활·소비</x:v>
      </x:c>
      <x:c r="D150" s="153" t="str">
        <x:v>자기관리·라이프스타일</x:v>
      </x:c>
      <x:c r="E150" s="111" t="str">
        <x:v>재택근무 확산</x:v>
      </x:c>
      <x:c r="F150" s="111" t="str">
        <x:v>거리두기로 출근이 제한되면서 원격접속·협업·보안 도구가 일상 업무의 필수품이 됐다.</x:v>
      </x:c>
      <x:c r="G150" s="111" t="str">
        <x:v>포털·SNS·커뮤니티</x:v>
      </x:c>
      <x:c r="H150" s="111" t="str">
        <x:v>대표 방향 상승 | 가격·반응 당일 11.46% 상승 | 단일 핵심 출처</x:v>
      </x:c>
      <x:c r="I150" s="141" t="str">
        <x:f>IF(J150&gt;0,"주가 반응 기록 있음","주가 미확인·연결 전")</x:f>
        <x:v>주가 반응 기록 있음</x:v>
      </x:c>
      <x:c r="J150" s="141" t="n">
        <x:f>COUNTIF('02_종목반응'!$B$6:$B$166,A150)</x:f>
        <x:v>3</x:v>
      </x:c>
      <x:c r="K150" s="111" t="str">
        <x:v>발화 → 포털·SNS 확산 → 관련주 묶기 → 주가 반응 → 기사·공시로 검증</x:v>
      </x:c>
      <x:c r="L150" s="111" t="str">
        <x:v>S109</x:v>
      </x:c>
    </x:row>
    <x:row r="151" ht="42" customHeight="1">
      <x:c r="A151" s="111" t="str">
        <x:v>EV0039</x:v>
      </x:c>
      <x:c r="B151" s="141" t="n">
        <x:v>2020</x:v>
      </x:c>
      <x:c r="C151" s="153" t="str">
        <x:v>스포츠·건강</x:v>
      </x:c>
      <x:c r="D151" s="153" t="str">
        <x:v>건강·방역</x:v>
      </x:c>
      <x:c r="E151" s="111" t="str">
        <x:v>코로나19 진단 수요</x:v>
      </x:c>
      <x:c r="F151" s="111" t="str">
        <x:v>감염 규모와 검사 필요가 급증하며 진단키트 공급 능력이 국가적 관심사가 됐다.</x:v>
      </x:c>
      <x:c r="G151" s="111" t="str">
        <x:v>포털·커뮤니티·언론</x:v>
      </x:c>
      <x:c r="H151" s="111" t="str">
        <x:v>대표 방향 상승 | 가격·반응 2020 상반기 약 690% 상승 | 단일 핵심 출처</x:v>
      </x:c>
      <x:c r="I151" s="141" t="str">
        <x:f>IF(J151&gt;0,"주가 반응 기록 있음","주가 미확인·연결 전")</x:f>
        <x:v>주가 반응 기록 있음</x:v>
      </x:c>
      <x:c r="J151" s="141" t="n">
        <x:f>COUNTIF('02_종목반응'!$B$6:$B$166,A151)</x:f>
        <x:v>4</x:v>
      </x:c>
      <x:c r="K151" s="111" t="str">
        <x:v>사건 발생 → 공포성 게시물 확산 → 사재기·행동 변화 → 관련주 급등락 → 사실 검증</x:v>
      </x:c>
      <x:c r="L151" s="111" t="str">
        <x:v>S108</x:v>
      </x:c>
    </x:row>
    <x:row r="152" ht="42" customHeight="1">
      <x:c r="A152" s="111" t="str">
        <x:v>TR2020-06</x:v>
      </x:c>
      <x:c r="B152" s="141" t="n">
        <x:v>2020</x:v>
      </x:c>
      <x:c r="C152" s="153" t="str">
        <x:v>스포츠·건강</x:v>
      </x:c>
      <x:c r="D152" s="153" t="str">
        <x:v>운동·피트니스</x:v>
      </x:c>
      <x:c r="E152" s="111" t="str">
        <x:v>온라인 홈트</x:v>
      </x:c>
      <x:c r="F152" s="111" t="str">
        <x:v>실내 생활 증가로 장비 없이 따라 하는 운동 영상 수요가 급증했다.</x:v>
      </x:c>
      <x:c r="G152" s="111" t="str">
        <x:v>유튜브·인스타그램</x:v>
      </x:c>
      <x:c r="H152" s="111" t="str">
        <x:v>연말 검색·플랫폼 결산 또는 동시기 보도에서 확산이 확인됨</x:v>
      </x:c>
      <x:c r="I152" s="141" t="str">
        <x:f>IF(J152&gt;0,"주가 반응 기록 있음","주가 미확인·연결 전")</x:f>
        <x:v>주가 미확인·연결 전</x:v>
      </x:c>
      <x:c r="J152" s="141" t="n">
        <x:f>COUNTIF('02_종목반응'!$B$6:$B$166,A152)</x:f>
        <x:v>0</x:v>
      </x:c>
      <x:c r="K152" s="111" t="str">
        <x:v>발화 → 검색·공유 증가 → 일상 언급·모방 → 관련 소비 탐색 → 관심 둔화</x:v>
      </x:c>
      <x:c r="L152" s="111" t="str">
        <x:v>S226;S227;S237</x:v>
      </x:c>
    </x:row>
    <x:row r="153" ht="42" customHeight="1">
      <x:c r="A153" s="111" t="str">
        <x:v>TR2020-10</x:v>
      </x:c>
      <x:c r="B153" s="141" t="n">
        <x:v>2020</x:v>
      </x:c>
      <x:c r="C153" s="153" t="str">
        <x:v>사회·온라인문화</x:v>
      </x:c>
      <x:c r="D153" s="153" t="str">
        <x:v>밈·유행어</x:v>
      </x:c>
      <x:c r="E153" s="111" t="str">
        <x:v>MBTI 과몰입</x:v>
      </x:c>
      <x:c r="F153" s="111" t="str">
        <x:v>네 글자로 성격과 관계를 설명하는 형식이 짤·궁합·자기소개에 쓰였다.</x:v>
      </x:c>
      <x:c r="G153" s="111" t="str">
        <x:v>인스타그램·유튜브·커뮤니티</x:v>
      </x:c>
      <x:c r="H153" s="111" t="str">
        <x:v>연말 검색·플랫폼 결산 또는 동시기 보도에서 확산이 확인됨</x:v>
      </x:c>
      <x:c r="I153" s="141" t="str">
        <x:f>IF(J153&gt;0,"주가 반응 기록 있음","주가 미확인·연결 전")</x:f>
        <x:v>주가 미확인·연결 전</x:v>
      </x:c>
      <x:c r="J153" s="141" t="n">
        <x:f>COUNTIF('02_종목반응'!$B$6:$B$166,A153)</x:f>
        <x:v>0</x:v>
      </x:c>
      <x:c r="K153" s="111" t="str">
        <x:v>발화 → 검색·공유 증가 → 일상 언급·모방 → 관련 소비 탐색 → 관심 둔화</x:v>
      </x:c>
      <x:c r="L153" s="111" t="str">
        <x:v>S226;S227;S237</x:v>
      </x:c>
    </x:row>
    <x:row r="154" ht="42" customHeight="1">
      <x:c r="A154" s="111" t="str">
        <x:v>EV0032</x:v>
      </x:c>
      <x:c r="B154" s="141" t="n">
        <x:v>2020</x:v>
      </x:c>
      <x:c r="C154" s="153" t="str">
        <x:v>금융·시장현상</x:v>
      </x:c>
      <x:c r="D154" s="153" t="str">
        <x:v>품절주·수급</x:v>
      </x:c>
      <x:c r="E154" s="111" t="str">
        <x:v>2020 우선주 광풍</x:v>
      </x:c>
      <x:c r="F154" s="111" t="str">
        <x:v>소액 유통물량과 연속 상한가 기록이 포털·주식 커뮤니티에서 화제가 되며 실적과 무관한 추종매수가 다른 우선주로 번졌다.</x:v>
      </x:c>
      <x:c r="G154" s="111" t="str">
        <x:v>포털·커뮤니티·언론</x:v>
      </x:c>
      <x:c r="H154" s="111" t="str">
        <x:v>대표 방향 상승 | 가격·반응 삼성중공업우 10연속 상한가·약 13.7배 | 복수 출처 교차확인</x:v>
      </x:c>
      <x:c r="I154" s="141" t="str">
        <x:f>IF(J154&gt;0,"주가 반응 기록 있음","주가 미확인·연결 전")</x:f>
        <x:v>주가 반응 기록 있음</x:v>
      </x:c>
      <x:c r="J154" s="141" t="n">
        <x:f>COUNTIF('02_종목반응'!$B$6:$B$166,A154)</x:f>
        <x:v>7</x:v>
      </x:c>
      <x:c r="K154" s="111" t="str">
        <x:v>삼성중공업우 연속 상한가 → 커뮤니티 확산 → 우선주 무더기 상한가 → 거래소 경고 → 급락</x:v>
      </x:c>
      <x:c r="L154" s="111" t="str">
        <x:v>S125;S126</x:v>
      </x:c>
    </x:row>
    <x:row r="155" ht="42" customHeight="1">
      <x:c r="A155" s="111" t="str">
        <x:v>TR2019-09</x:v>
      </x:c>
      <x:c r="B155" s="141" t="n">
        <x:v>2019</x:v>
      </x:c>
      <x:c r="C155" s="153" t="str">
        <x:v>식품·음료</x:v>
      </x:c>
      <x:c r="D155" s="153" t="str">
        <x:v>간편식·스낵</x:v>
      </x:c>
      <x:c r="E155" s="111" t="str">
        <x:v>닭껍질튀김</x:v>
      </x:c>
      <x:c r="F155" s="111" t="str">
        <x:v>해외 메뉴를 국내에도 내달라는 온라인 요구가 한정 판매와 품절로 이어졌다.</x:v>
      </x:c>
      <x:c r="G155" s="111" t="str">
        <x:v>온라인 청원·SNS·매장</x:v>
      </x:c>
      <x:c r="H155" s="111" t="str">
        <x:v>연말 검색·플랫폼 결산 또는 동시기 보도에서 확산이 확인됨</x:v>
      </x:c>
      <x:c r="I155" s="141" t="str">
        <x:f>IF(J155&gt;0,"주가 반응 기록 있음","주가 미확인·연결 전")</x:f>
        <x:v>주가 미확인·연결 전</x:v>
      </x:c>
      <x:c r="J155" s="141" t="n">
        <x:f>COUNTIF('02_종목반응'!$B$6:$B$166,A155)</x:f>
        <x:v>0</x:v>
      </x:c>
      <x:c r="K155" s="111" t="str">
        <x:v>첫 노출 → 후기·인증 → 검색·품절 → 모방 제품 → 재구매 또는 소멸</x:v>
      </x:c>
      <x:c r="L155" s="111" t="str">
        <x:v>S225;S237</x:v>
      </x:c>
    </x:row>
    <x:row r="156" ht="42" customHeight="1">
      <x:c r="A156" s="111" t="str">
        <x:v>TR2019-08</x:v>
      </x:c>
      <x:c r="B156" s="141" t="n">
        <x:v>2019</x:v>
      </x:c>
      <x:c r="C156" s="153" t="str">
        <x:v>식품·음료</x:v>
      </x:c>
      <x:c r="D156" s="153" t="str">
        <x:v>디저트·베이커리</x:v>
      </x:c>
      <x:c r="E156" s="111" t="str">
        <x:v>흑당버블티</x:v>
      </x:c>
      <x:c r="F156" s="111" t="str">
        <x:v>컵 벽을 흐르는 흑당 무늬와 줄 서기가 강한 인증 효과를 냈다.</x:v>
      </x:c>
      <x:c r="G156" s="111" t="str">
        <x:v>인스타그램·상권·유튜브</x:v>
      </x:c>
      <x:c r="H156" s="111" t="str">
        <x:v>연말 검색·플랫폼 결산 또는 동시기 보도에서 확산이 확인됨</x:v>
      </x:c>
      <x:c r="I156" s="141" t="str">
        <x:f>IF(J156&gt;0,"주가 반응 기록 있음","주가 미확인·연결 전")</x:f>
        <x:v>주가 미확인·연결 전</x:v>
      </x:c>
      <x:c r="J156" s="141" t="n">
        <x:f>COUNTIF('02_종목반응'!$B$6:$B$166,A156)</x:f>
        <x:v>0</x:v>
      </x:c>
      <x:c r="K156" s="111" t="str">
        <x:v>첫 노출 → 후기·인증 → 검색·품절 → 모방 제품 → 재구매 또는 소멸</x:v>
      </x:c>
      <x:c r="L156" s="111" t="str">
        <x:v>S225;S237</x:v>
      </x:c>
    </x:row>
    <x:row r="157" ht="42" customHeight="1">
      <x:c r="A157" s="111" t="str">
        <x:v>EV0029</x:v>
      </x:c>
      <x:c r="B157" s="141" t="n">
        <x:v>2019</x:v>
      </x:c>
      <x:c r="C157" s="153" t="str">
        <x:v>식품·음료</x:v>
      </x:c>
      <x:c r="D157" s="153" t="str">
        <x:v>식품 유행 일반</x:v>
      </x:c>
      <x:c r="E157" s="111" t="str">
        <x:v>아프리카돼지열병 국내 발생</x:v>
      </x:c>
      <x:c r="F157" s="111" t="str">
        <x:v>돼지고기 공급 부족 공포와 농장 살처분 영상이 확산되며 닭고기 대체 수요 기대가 즉시 테마화됐다.</x:v>
      </x:c>
      <x:c r="G157" s="111" t="str">
        <x:v>SNS·블로그·검색·오프라인 구매</x:v>
      </x:c>
      <x:c r="H157" s="111" t="str">
        <x:v>대표 방향 상승 | 가격·반응 하림·마니커 상한가 | 단일 핵심 출처</x:v>
      </x:c>
      <x:c r="I157" s="141" t="str">
        <x:f>IF(J157&gt;0,"주가 반응 기록 있음","주가 미확인·연결 전")</x:f>
        <x:v>주가 반응 기록 있음</x:v>
      </x:c>
      <x:c r="J157" s="141" t="n">
        <x:f>COUNTIF('02_종목반응'!$B$6:$B$166,A157)</x:f>
        <x:v>2</x:v>
      </x:c>
      <x:c r="K157" s="111" t="str">
        <x:v>국내 첫 발생 → 살처분·가격 공포 → 대체육 관련주 찾기 → 닭고기주 상한가</x:v>
      </x:c>
      <x:c r="L157" s="111" t="str">
        <x:v>S148</x:v>
      </x:c>
    </x:row>
    <x:row r="158" ht="42" customHeight="1">
      <x:c r="A158" s="111" t="str">
        <x:v>TR2019-11</x:v>
      </x:c>
      <x:c r="B158" s="141" t="n">
        <x:v>2019</x:v>
      </x:c>
      <x:c r="C158" s="153" t="str">
        <x:v>식품·음료</x:v>
      </x:c>
      <x:c r="D158" s="153" t="str">
        <x:v>식품 유행 일반</x:v>
      </x:c>
      <x:c r="E158" s="111" t="str">
        <x:v>지구젤리</x:v>
      </x:c>
      <x:c r="F158" s="111" t="str">
        <x:v>특이한 지구 모양과 씹는 장면이 어린이 먹방·구매 욕구를 자극했다.</x:v>
      </x:c>
      <x:c r="G158" s="111" t="str">
        <x:v>유튜브 먹방·온라인몰</x:v>
      </x:c>
      <x:c r="H158" s="111" t="str">
        <x:v>연말 검색·플랫폼 결산 또는 동시기 보도에서 확산이 확인됨</x:v>
      </x:c>
      <x:c r="I158" s="141" t="str">
        <x:f>IF(J158&gt;0,"주가 반응 기록 있음","주가 미확인·연결 전")</x:f>
        <x:v>주가 미확인·연결 전</x:v>
      </x:c>
      <x:c r="J158" s="141" t="n">
        <x:f>COUNTIF('02_종목반응'!$B$6:$B$166,A158)</x:f>
        <x:v>0</x:v>
      </x:c>
      <x:c r="K158" s="111" t="str">
        <x:v>첫 노출 → 후기·인증 → 검색·품절 → 모방 제품 → 재구매 또는 소멸</x:v>
      </x:c>
      <x:c r="L158" s="111" t="str">
        <x:v>S225;S237</x:v>
      </x:c>
    </x:row>
    <x:row r="159" ht="42" customHeight="1">
      <x:c r="A159" s="111" t="str">
        <x:v>TR2019-07</x:v>
      </x:c>
      <x:c r="B159" s="141" t="n">
        <x:v>2019</x:v>
      </x:c>
      <x:c r="C159" s="153" t="str">
        <x:v>식품·음료</x:v>
      </x:c>
      <x:c r="D159" s="153" t="str">
        <x:v>외식·프랜차이즈</x:v>
      </x:c>
      <x:c r="E159" s="111" t="str">
        <x:v>마라탕</x:v>
      </x:c>
      <x:c r="F159" s="111" t="str">
        <x:v>재료를 직접 고르고 매운맛을 인증하는 경험이 10·20대에 퍼졌다.</x:v>
      </x:c>
      <x:c r="G159" s="111" t="str">
        <x:v>유튜브·인스타그램·배달</x:v>
      </x:c>
      <x:c r="H159" s="111" t="str">
        <x:v>연말 검색·플랫폼 결산 또는 동시기 보도에서 확산이 확인됨</x:v>
      </x:c>
      <x:c r="I159" s="141" t="str">
        <x:f>IF(J159&gt;0,"주가 반응 기록 있음","주가 미확인·연결 전")</x:f>
        <x:v>주가 미확인·연결 전</x:v>
      </x:c>
      <x:c r="J159" s="141" t="n">
        <x:f>COUNTIF('02_종목반응'!$B$6:$B$166,A159)</x:f>
        <x:v>0</x:v>
      </x:c>
      <x:c r="K159" s="111" t="str">
        <x:v>첫 노출 → 후기·인증 → 검색·품절 → 모방 제품 → 재구매 또는 소멸</x:v>
      </x:c>
      <x:c r="L159" s="111" t="str">
        <x:v>S225;S237</x:v>
      </x:c>
    </x:row>
    <x:row r="160" ht="42" customHeight="1">
      <x:c r="A160" s="111" t="str">
        <x:v>TR2019-13</x:v>
      </x:c>
      <x:c r="B160" s="141" t="n">
        <x:v>2019</x:v>
      </x:c>
      <x:c r="C160" s="153" t="str">
        <x:v>콘텐츠·엔터</x:v>
      </x:c>
      <x:c r="D160" s="153" t="str">
        <x:v>드라마·OTT</x:v>
      </x:c>
      <x:c r="E160" s="111" t="str">
        <x:v>동백꽃 필 무렵</x:v>
      </x:c>
      <x:c r="F160" s="111" t="str">
        <x:v>생활 밀착형 대사와 인물 관계가 공감 후기와 촬영지 관심을 키웠다.</x:v>
      </x:c>
      <x:c r="G160" s="111" t="str">
        <x:v>TV·포털·SNS</x:v>
      </x:c>
      <x:c r="H160" s="111" t="str">
        <x:v>연말 검색·플랫폼 결산 또는 동시기 보도에서 확산이 확인됨</x:v>
      </x:c>
      <x:c r="I160" s="141" t="str">
        <x:f>IF(J160&gt;0,"주가 반응 기록 있음","주가 미확인·연결 전")</x:f>
        <x:v>주가 미확인·연결 전</x:v>
      </x:c>
      <x:c r="J160" s="141" t="n">
        <x:f>COUNTIF('02_종목반응'!$B$6:$B$166,A160)</x:f>
        <x:v>0</x:v>
      </x:c>
      <x:c r="K160" s="111" t="str">
        <x:v>공개·방영 → 클립·검색 증가 → 팬덤·패러디 → 소비 확장 → 후속 관심</x:v>
      </x:c>
      <x:c r="L160" s="111" t="str">
        <x:v>S225;S237</x:v>
      </x:c>
    </x:row>
    <x:row r="161" ht="42" customHeight="1">
      <x:c r="A161" s="111" t="str">
        <x:v>TR2019-03</x:v>
      </x:c>
      <x:c r="B161" s="141" t="n">
        <x:v>2019</x:v>
      </x:c>
      <x:c r="C161" s="153" t="str">
        <x:v>콘텐츠·엔터</x:v>
      </x:c>
      <x:c r="D161" s="153" t="str">
        <x:v>드라마·OTT</x:v>
      </x:c>
      <x:c r="E161" s="111" t="str">
        <x:v>SKY 캐슬</x:v>
      </x:c>
      <x:c r="F161" s="111" t="str">
        <x:v>입시 경쟁과 강한 대사가 사회 토론·패러디를 만들었다.</x:v>
      </x:c>
      <x:c r="G161" s="111" t="str">
        <x:v>TV·포털·커뮤니티</x:v>
      </x:c>
      <x:c r="H161" s="111" t="str">
        <x:v>연말 검색·플랫폼 결산 또는 동시기 보도에서 확산이 확인됨</x:v>
      </x:c>
      <x:c r="I161" s="141" t="str">
        <x:f>IF(J161&gt;0,"주가 반응 기록 있음","주가 미확인·연결 전")</x:f>
        <x:v>주가 미확인·연결 전</x:v>
      </x:c>
      <x:c r="J161" s="141" t="n">
        <x:f>COUNTIF('02_종목반응'!$B$6:$B$166,A161)</x:f>
        <x:v>0</x:v>
      </x:c>
      <x:c r="K161" s="111" t="str">
        <x:v>공개·방영 → 클립·검색 증가 → 팬덤·패러디 → 소비 확장 → 후속 관심</x:v>
      </x:c>
      <x:c r="L161" s="111" t="str">
        <x:v>S225;S237</x:v>
      </x:c>
    </x:row>
    <x:row r="162" ht="42" customHeight="1">
      <x:c r="A162" s="111" t="str">
        <x:v>TR2019-01</x:v>
      </x:c>
      <x:c r="B162" s="141" t="n">
        <x:v>2019</x:v>
      </x:c>
      <x:c r="C162" s="153" t="str">
        <x:v>콘텐츠·엔터</x:v>
      </x:c>
      <x:c r="D162" s="153" t="str">
        <x:v>방송·예능</x:v>
      </x:c>
      <x:c r="E162" s="111" t="str">
        <x:v>펭수</x:v>
      </x:c>
      <x:c r="F162" s="111" t="str">
        <x:v>거침없는 말투와 직장인 공감 캐릭터가 짤·굿즈·광고로 확산됐다.</x:v>
      </x:c>
      <x:c r="G162" s="111" t="str">
        <x:v>유튜브·TV·SNS</x:v>
      </x:c>
      <x:c r="H162" s="111" t="str">
        <x:v>연말 검색·플랫폼 결산 또는 동시기 보도에서 확산이 확인됨</x:v>
      </x:c>
      <x:c r="I162" s="141" t="str">
        <x:f>IF(J162&gt;0,"주가 반응 기록 있음","주가 미확인·연결 전")</x:f>
        <x:v>주가 미확인·연결 전</x:v>
      </x:c>
      <x:c r="J162" s="141" t="n">
        <x:f>COUNTIF('02_종목반응'!$B$6:$B$166,A162)</x:f>
        <x:v>0</x:v>
      </x:c>
      <x:c r="K162" s="111" t="str">
        <x:v>공개·방영 → 클립·검색 증가 → 팬덤·패러디 → 소비 확장 → 후속 관심</x:v>
      </x:c>
      <x:c r="L162" s="111" t="str">
        <x:v>S225;S237</x:v>
      </x:c>
    </x:row>
    <x:row r="163" ht="42" customHeight="1">
      <x:c r="A163" s="111" t="str">
        <x:v>TR2019-04</x:v>
      </x:c>
      <x:c r="B163" s="141" t="n">
        <x:v>2019</x:v>
      </x:c>
      <x:c r="C163" s="153" t="str">
        <x:v>콘텐츠·엔터</x:v>
      </x:c>
      <x:c r="D163" s="153" t="str">
        <x:v>영화·애니메이션</x:v>
      </x:c>
      <x:c r="E163" s="111" t="str">
        <x:v>극한직업</x:v>
      </x:c>
      <x:c r="F163" s="111" t="str">
        <x:v>반복 가능한 코미디 대사와 입소문이 천만 관객 흥행을 만들었다.</x:v>
      </x:c>
      <x:c r="G163" s="111" t="str">
        <x:v>극장·유튜브·SNS</x:v>
      </x:c>
      <x:c r="H163" s="111" t="str">
        <x:v>연말 검색·플랫폼 결산 또는 동시기 보도에서 확산이 확인됨</x:v>
      </x:c>
      <x:c r="I163" s="141" t="str">
        <x:f>IF(J163&gt;0,"주가 반응 기록 있음","주가 미확인·연결 전")</x:f>
        <x:v>주가 미확인·연결 전</x:v>
      </x:c>
      <x:c r="J163" s="141" t="n">
        <x:f>COUNTIF('02_종목반응'!$B$6:$B$166,A163)</x:f>
        <x:v>0</x:v>
      </x:c>
      <x:c r="K163" s="111" t="str">
        <x:v>공개·방영 → 클립·검색 증가 → 팬덤·패러디 → 소비 확장 → 후속 관심</x:v>
      </x:c>
      <x:c r="L163" s="111" t="str">
        <x:v>S225;S237</x:v>
      </x:c>
    </x:row>
    <x:row r="164" ht="42" customHeight="1">
      <x:c r="A164" s="111" t="str">
        <x:v>EV0025</x:v>
      </x:c>
      <x:c r="B164" s="141" t="n">
        <x:v>2019</x:v>
      </x:c>
      <x:c r="C164" s="153" t="str">
        <x:v>콘텐츠·엔터</x:v>
      </x:c>
      <x:c r="D164" s="153" t="str">
        <x:v>영화·애니메이션</x:v>
      </x:c>
      <x:c r="E164" s="111" t="str">
        <x:v>극한직업 천만 흥행</x:v>
      </x:c>
      <x:c r="F164" s="111" t="str">
        <x:v>“이것은 갈비인가 통닭인가” 같은 대사와 장면이 밈으로 확산되고 가족 단위 입소문이 설 연휴 관객을 끌어올렸다.</x:v>
      </x:c>
      <x:c r="G164" s="111" t="str">
        <x:v>포털·SNS·커뮤니티</x:v>
      </x:c>
      <x:c r="H164" s="111" t="str">
        <x:v>대표 방향 상승 | 가격·반응 흥행 기간 CJ ENM 주가 강세·시총 상위권 접근 | 단일 핵심 출처</x:v>
      </x:c>
      <x:c r="I164" s="141" t="str">
        <x:f>IF(J164&gt;0,"주가 반응 기록 있음","주가 미확인·연결 전")</x:f>
        <x:v>주가 반응 기록 있음</x:v>
      </x:c>
      <x:c r="J164" s="141" t="n">
        <x:f>COUNTIF('02_종목반응'!$B$6:$B$166,A164)</x:f>
        <x:v>1</x:v>
      </x:c>
      <x:c r="K164" s="111" t="str">
        <x:v>개봉 → 대사 밈 → 손익분기점 돌파 → 1500만 관객 → CJ ENM 강세</x:v>
      </x:c>
      <x:c r="L164" s="111" t="str">
        <x:v>S161</x:v>
      </x:c>
    </x:row>
    <x:row r="165" ht="42" customHeight="1">
      <x:c r="A165" s="111" t="str">
        <x:v>TR2019-02</x:v>
      </x:c>
      <x:c r="B165" s="141" t="n">
        <x:v>2019</x:v>
      </x:c>
      <x:c r="C165" s="153" t="str">
        <x:v>콘텐츠·엔터</x:v>
      </x:c>
      <x:c r="D165" s="153" t="str">
        <x:v>음악·댄스</x:v>
      </x:c>
      <x:c r="E165" s="111" t="str">
        <x:v>송가인·미스트롯</x:v>
      </x:c>
      <x:c r="F165" s="111" t="str">
        <x:v>경연 서사와 트로트가 중장년층의 온라인 팬덤 참여를 크게 늘렸다.</x:v>
      </x:c>
      <x:c r="G165" s="111" t="str">
        <x:v>TV·유튜브·팬카페</x:v>
      </x:c>
      <x:c r="H165" s="111" t="str">
        <x:v>연말 검색·플랫폼 결산 또는 동시기 보도에서 확산이 확인됨</x:v>
      </x:c>
      <x:c r="I165" s="141" t="str">
        <x:f>IF(J165&gt;0,"주가 반응 기록 있음","주가 미확인·연결 전")</x:f>
        <x:v>주가 미확인·연결 전</x:v>
      </x:c>
      <x:c r="J165" s="141" t="n">
        <x:f>COUNTIF('02_종목반응'!$B$6:$B$166,A165)</x:f>
        <x:v>0</x:v>
      </x:c>
      <x:c r="K165" s="111" t="str">
        <x:v>공개·방영 → 클립·검색 증가 → 팬덤·패러디 → 소비 확장 → 후속 관심</x:v>
      </x:c>
      <x:c r="L165" s="111" t="str">
        <x:v>S225;S237</x:v>
      </x:c>
    </x:row>
    <x:row r="166" ht="42" customHeight="1">
      <x:c r="A166" s="111" t="str">
        <x:v>TR2019-06</x:v>
      </x:c>
      <x:c r="B166" s="141" t="n">
        <x:v>2019</x:v>
      </x:c>
      <x:c r="C166" s="153" t="str">
        <x:v>게임·e스포츠</x:v>
      </x:c>
      <x:c r="D166" s="153" t="str">
        <x:v>모바일게임</x:v>
      </x:c>
      <x:c r="E166" s="111" t="str">
        <x:v>브롤스타즈</x:v>
      </x:c>
      <x:c r="F166" s="111" t="str">
        <x:v>짧은 팀 대전과 캐릭터 수집이 어린 이용자와 방송 시청을 끌었다.</x:v>
      </x:c>
      <x:c r="G166" s="111" t="str">
        <x:v>모바일·유튜브·학교</x:v>
      </x:c>
      <x:c r="H166" s="111" t="str">
        <x:v>연말 검색·플랫폼 결산 또는 동시기 보도에서 확산이 확인됨</x:v>
      </x:c>
      <x:c r="I166" s="141" t="str">
        <x:f>IF(J166&gt;0,"주가 반응 기록 있음","주가 미확인·연결 전")</x:f>
        <x:v>주가 미확인·연결 전</x:v>
      </x:c>
      <x:c r="J166" s="141" t="n">
        <x:f>COUNTIF('02_종목반응'!$B$6:$B$166,A166)</x:f>
        <x:v>0</x:v>
      </x:c>
      <x:c r="K166" s="111" t="str">
        <x:v>출시·발견 → 이용자 유입 → 공유·경쟁 → 대중화 → 후속 서비스</x:v>
      </x:c>
      <x:c r="L166" s="111" t="str">
        <x:v>S225;S237</x:v>
      </x:c>
    </x:row>
    <x:row r="167" ht="42" customHeight="1">
      <x:c r="A167" s="111" t="str">
        <x:v>TR2019-05</x:v>
      </x:c>
      <x:c r="B167" s="141" t="n">
        <x:v>2019</x:v>
      </x:c>
      <x:c r="C167" s="153" t="str">
        <x:v>게임·e스포츠</x:v>
      </x:c>
      <x:c r="D167" s="153" t="str">
        <x:v>PC·콘솔게임</x:v>
      </x:c>
      <x:c r="E167" s="111" t="str">
        <x:v>어벤져스 엔드게임</x:v>
      </x:c>
      <x:c r="F167" s="111" t="str">
        <x:v>장기 시리즈의 결말 기대와 스포일러 회피가 예매·토론을 집중시켰다.</x:v>
      </x:c>
      <x:c r="G167" s="111" t="str">
        <x:v>극장·유튜브·팬커뮤니티</x:v>
      </x:c>
      <x:c r="H167" s="111" t="str">
        <x:v>연말 검색·플랫폼 결산 또는 동시기 보도에서 확산이 확인됨</x:v>
      </x:c>
      <x:c r="I167" s="141" t="str">
        <x:f>IF(J167&gt;0,"주가 반응 기록 있음","주가 미확인·연결 전")</x:f>
        <x:v>주가 미확인·연결 전</x:v>
      </x:c>
      <x:c r="J167" s="141" t="n">
        <x:f>COUNTIF('02_종목반응'!$B$6:$B$166,A167)</x:f>
        <x:v>0</x:v>
      </x:c>
      <x:c r="K167" s="111" t="str">
        <x:v>공개·방영 → 클립·검색 증가 → 팬덤·패러디 → 소비 확장 → 후속 관심</x:v>
      </x:c>
      <x:c r="L167" s="111" t="str">
        <x:v>S225;S237</x:v>
      </x:c>
    </x:row>
    <x:row r="168" ht="42" customHeight="1">
      <x:c r="A168" s="111" t="str">
        <x:v>TR2019-10</x:v>
      </x:c>
      <x:c r="B168" s="141" t="n">
        <x:v>2019</x:v>
      </x:c>
      <x:c r="C168" s="153" t="str">
        <x:v>패션·뷰티</x:v>
      </x:c>
      <x:c r="D168" s="153" t="str">
        <x:v>패션·스타일</x:v>
      </x:c>
      <x:c r="E168" s="111" t="str">
        <x:v>뉴트로 감성</x:v>
      </x:c>
      <x:c r="F168" s="111" t="str">
        <x:v>낡은 간판·필름카메라·복고 디자인이 새로움으로 소비됐다.</x:v>
      </x:c>
      <x:c r="G168" s="111" t="str">
        <x:v>인스타그램·레트로 상권</x:v>
      </x:c>
      <x:c r="H168" s="111" t="str">
        <x:v>연말 검색·플랫폼 결산 또는 동시기 보도에서 확산이 확인됨</x:v>
      </x:c>
      <x:c r="I168" s="141" t="str">
        <x:f>IF(J168&gt;0,"주가 반응 기록 있음","주가 미확인·연결 전")</x:f>
        <x:v>주가 미확인·연결 전</x:v>
      </x:c>
      <x:c r="J168" s="141" t="n">
        <x:f>COUNTIF('02_종목반응'!$B$6:$B$166,A168)</x:f>
        <x:v>0</x:v>
      </x:c>
      <x:c r="K168" s="111" t="str">
        <x:v>발화 → 검색·공유 증가 → 일상 언급·모방 → 관련 소비 탐색 → 관심 둔화</x:v>
      </x:c>
      <x:c r="L168" s="111" t="str">
        <x:v>S225;S237</x:v>
      </x:c>
    </x:row>
    <x:row r="169" ht="42" customHeight="1">
      <x:c r="A169" s="111" t="str">
        <x:v>TR2019-12</x:v>
      </x:c>
      <x:c r="B169" s="141" t="n">
        <x:v>2019</x:v>
      </x:c>
      <x:c r="C169" s="153" t="str">
        <x:v>패션·뷰티</x:v>
      </x:c>
      <x:c r="D169" s="153" t="str">
        <x:v>패션·스타일</x:v>
      </x:c>
      <x:c r="E169" s="111" t="str">
        <x:v>호텔 델루나</x:v>
      </x:c>
      <x:c r="F169" s="111" t="str">
        <x:v>주인공의 화려한 의상과 판타지 설정이 패션 검색과 팬아트를 만들었다.</x:v>
      </x:c>
      <x:c r="G169" s="111" t="str">
        <x:v>TV·인스타그램·포털</x:v>
      </x:c>
      <x:c r="H169" s="111" t="str">
        <x:v>연말 검색·플랫폼 결산 또는 동시기 보도에서 확산이 확인됨</x:v>
      </x:c>
      <x:c r="I169" s="141" t="str">
        <x:f>IF(J169&gt;0,"주가 반응 기록 있음","주가 미확인·연결 전")</x:f>
        <x:v>주가 미확인·연결 전</x:v>
      </x:c>
      <x:c r="J169" s="141" t="n">
        <x:f>COUNTIF('02_종목반응'!$B$6:$B$166,A169)</x:f>
        <x:v>0</x:v>
      </x:c>
      <x:c r="K169" s="111" t="str">
        <x:v>공개·방영 → 클립·검색 증가 → 팬덤·패러디 → 소비 확장 → 후속 관심</x:v>
      </x:c>
      <x:c r="L169" s="111" t="str">
        <x:v>S225;S237</x:v>
      </x:c>
    </x:row>
    <x:row r="170" ht="42" customHeight="1">
      <x:c r="A170" s="111" t="str">
        <x:v>EV0026</x:v>
      </x:c>
      <x:c r="B170" s="141" t="n">
        <x:v>2019</x:v>
      </x:c>
      <x:c r="C170" s="153" t="str">
        <x:v>생활·소비</x:v>
      </x:c>
      <x:c r="D170" s="153" t="str">
        <x:v>자기관리·라이프스타일</x:v>
      </x:c>
      <x:c r="E170" s="111" t="str">
        <x:v>미세먼지·공기청정기 수요</x:v>
      </x:c>
      <x:c r="F170" s="111" t="str">
        <x:v>일상에서 체감되는 공기질 악화와 정부 경보가 공기청정기 구매를 생활 필수 수요로 만들었다.</x:v>
      </x:c>
      <x:c r="G170" s="111" t="str">
        <x:v>포털·커뮤니티·언론</x:v>
      </x:c>
      <x:c r="H170" s="111" t="str">
        <x:v>대표 방향 상승 | 가격·반응 연초 이후 88.3% 상승 | 단일 핵심 출처</x:v>
      </x:c>
      <x:c r="I170" s="141" t="str">
        <x:f>IF(J170&gt;0,"주가 반응 기록 있음","주가 미확인·연결 전")</x:f>
        <x:v>주가 반응 기록 있음</x:v>
      </x:c>
      <x:c r="J170" s="141" t="n">
        <x:f>COUNTIF('02_종목반응'!$B$6:$B$166,A170)</x:f>
        <x:v>3</x:v>
      </x:c>
      <x:c r="K170" s="111" t="str">
        <x:v>사건 발생 → 공포성 게시물 확산 → 사재기·행동 변화 → 관련주 급등락 → 사실 검증</x:v>
      </x:c>
      <x:c r="L170" s="111" t="str">
        <x:v>S106</x:v>
      </x:c>
    </x:row>
    <x:row r="171" ht="42" customHeight="1">
      <x:c r="A171" s="111" t="str">
        <x:v>EV0027</x:v>
      </x:c>
      <x:c r="B171" s="141" t="n">
        <x:v>2019</x:v>
      </x:c>
      <x:c r="C171" s="153" t="str">
        <x:v>스포츠·건강</x:v>
      </x:c>
      <x:c r="D171" s="153" t="str">
        <x:v>건강·방역</x:v>
      </x:c>
      <x:c r="E171" s="111" t="str">
        <x:v>미세먼지·마스크 수요</x:v>
      </x:c>
      <x:c r="F171" s="111" t="str">
        <x:v>반복되는 고농도 미세먼지 경보가 마스크 착용을 일상적 예방 행동으로 만들었다.</x:v>
      </x:c>
      <x:c r="G171" s="111" t="str">
        <x:v>포털·커뮤니티·언론</x:v>
      </x:c>
      <x:c r="H171" s="111" t="str">
        <x:v>대표 방향 상승 | 가격·반응 연초 이후 57.3% 상승 | 단일 핵심 출처</x:v>
      </x:c>
      <x:c r="I171" s="141" t="str">
        <x:f>IF(J171&gt;0,"주가 반응 기록 있음","주가 미확인·연결 전")</x:f>
        <x:v>주가 반응 기록 있음</x:v>
      </x:c>
      <x:c r="J171" s="141" t="n">
        <x:f>COUNTIF('02_종목반응'!$B$6:$B$166,A171)</x:f>
        <x:v>4</x:v>
      </x:c>
      <x:c r="K171" s="111" t="str">
        <x:v>사건 발생 → 공포성 게시물 확산 → 사재기·행동 변화 → 관련주 급등락 → 사실 검증</x:v>
      </x:c>
      <x:c r="L171" s="111" t="str">
        <x:v>S106</x:v>
      </x:c>
    </x:row>
    <x:row r="172" ht="42" customHeight="1">
      <x:c r="A172" s="111" t="str">
        <x:v>EV0030</x:v>
      </x:c>
      <x:c r="B172" s="141" t="n">
        <x:v>2019</x:v>
      </x:c>
      <x:c r="C172" s="153" t="str">
        <x:v>스포츠·건강</x:v>
      </x:c>
      <x:c r="D172" s="153" t="str">
        <x:v>운동·피트니스</x:v>
      </x:c>
      <x:c r="E172" s="111" t="str">
        <x:v>일본제품 불매운동</x:v>
      </x:c>
      <x:c r="F172" s="111" t="str">
        <x:v>일본 수출규제에 대한 반감이 ‘사지 않습니다’ 인증과 국산 대체품 찾기로 조직화됐다.</x:v>
      </x:c>
      <x:c r="G172" s="111" t="str">
        <x:v>포털·SNS·커뮤니티</x:v>
      </x:c>
      <x:c r="H172" s="111" t="str">
        <x:v>대표 방향 상승 | 가격·반응 6월 말 대비 147% 상승 | 단일 핵심 출처</x:v>
      </x:c>
      <x:c r="I172" s="141" t="str">
        <x:f>IF(J172&gt;0,"주가 반응 기록 있음","주가 미확인·연결 전")</x:f>
        <x:v>주가 반응 기록 있음</x:v>
      </x:c>
      <x:c r="J172" s="141" t="n">
        <x:f>COUNTIF('02_종목반응'!$B$6:$B$166,A172)</x:f>
        <x:v>3</x:v>
      </x:c>
      <x:c r="K172" s="111" t="str">
        <x:v>발화 → 포털·SNS 확산 → 관련주 묶기 → 주가 반응 → 기사·공시로 검증</x:v>
      </x:c>
      <x:c r="L172" s="111" t="str">
        <x:v>S107</x:v>
      </x:c>
    </x:row>
    <x:row r="173" ht="42" customHeight="1">
      <x:c r="A173" s="111" t="str">
        <x:v>EV0028</x:v>
      </x:c>
      <x:c r="B173" s="141" t="n">
        <x:v>2019</x:v>
      </x:c>
      <x:c r="C173" s="153" t="str">
        <x:v>금융·시장현상</x:v>
      </x:c>
      <x:c r="D173" s="153" t="str">
        <x:v>풍문·군중매매</x:v>
      </x:c>
      <x:c r="E173" s="111" t="str">
        <x:v>버닝썬·승리 스캔들</x:v>
      </x:c>
      <x:c r="F173" s="111" t="str">
        <x:v>클럽 폭행 영상에서 시작된 의혹이 메신저 폭로·연예인 루머·경찰 유착 논란으로 확대되며 엔터 업종 전체 불신으로 번졌다.</x:v>
      </x:c>
      <x:c r="G173" s="111" t="str">
        <x:v>포털·커뮤니티·언론</x:v>
      </x:c>
      <x:c r="H173" s="111" t="str">
        <x:v>대표 방향 하락 | 가격·반응 YG 하루 14% 하락·한 달 19.38% 하락 | 단일 핵심 출처</x:v>
      </x:c>
      <x:c r="I173" s="141" t="str">
        <x:f>IF(J173&gt;0,"주가 반응 기록 있음","주가 미확인·연결 전")</x:f>
        <x:v>주가 반응 기록 있음</x:v>
      </x:c>
      <x:c r="J173" s="141" t="n">
        <x:f>COUNTIF('02_종목반응'!$B$6:$B$166,A173)</x:f>
        <x:v>5</x:v>
      </x:c>
      <x:c r="K173" s="111" t="str">
        <x:v>폭행 영상 → 성접대·메신저 의혹 → SNS·포털 폭증 → YG 급락 → 타 엔터주 전염</x:v>
      </x:c>
      <x:c r="L173" s="111" t="str">
        <x:v>S140</x:v>
      </x:c>
    </x:row>
    <x:row r="174" ht="42" customHeight="1">
      <x:c r="A174" s="111" t="str">
        <x:v>TR2018-08</x:v>
      </x:c>
      <x:c r="B174" s="141" t="n">
        <x:v>2018</x:v>
      </x:c>
      <x:c r="C174" s="153" t="str">
        <x:v>식품·음료</x:v>
      </x:c>
      <x:c r="D174" s="153" t="str">
        <x:v>디저트·베이커리</x:v>
      </x:c>
      <x:c r="E174" s="111" t="str">
        <x:v>마카롱 대란</x:v>
      </x:c>
      <x:c r="F174" s="111" t="str">
        <x:v>화려한 색과 두꺼운 필링이 사진 중심 디저트 소비를 자극했다.</x:v>
      </x:c>
      <x:c r="G174" s="111" t="str">
        <x:v>인스타그램·블로그</x:v>
      </x:c>
      <x:c r="H174" s="111" t="str">
        <x:v>연말 검색·플랫폼 결산 또는 동시기 보도에서 확산이 확인됨</x:v>
      </x:c>
      <x:c r="I174" s="141" t="str">
        <x:f>IF(J174&gt;0,"주가 반응 기록 있음","주가 미확인·연결 전")</x:f>
        <x:v>주가 미확인·연결 전</x:v>
      </x:c>
      <x:c r="J174" s="141" t="n">
        <x:f>COUNTIF('02_종목반응'!$B$6:$B$166,A174)</x:f>
        <x:v>0</x:v>
      </x:c>
      <x:c r="K174" s="111" t="str">
        <x:v>첫 노출 → 후기·인증 → 검색·품절 → 모방 제품 → 재구매 또는 소멸</x:v>
      </x:c>
      <x:c r="L174" s="111" t="str">
        <x:v>S222;S223;S224;S237</x:v>
      </x:c>
    </x:row>
    <x:row r="175" ht="42" customHeight="1">
      <x:c r="A175" s="111" t="str">
        <x:v>TR2018-09</x:v>
      </x:c>
      <x:c r="B175" s="141" t="n">
        <x:v>2018</x:v>
      </x:c>
      <x:c r="C175" s="153" t="str">
        <x:v>식품·음료</x:v>
      </x:c>
      <x:c r="D175" s="153" t="str">
        <x:v>디저트·베이커리</x:v>
      </x:c>
      <x:c r="E175" s="111" t="str">
        <x:v>소떡소떡</x:v>
      </x:c>
      <x:c r="F175" s="111" t="str">
        <x:v>예능 노출 뒤 익숙한 소시지·떡 조합을 직접 먹어보려는 방문이 늘었다.</x:v>
      </x:c>
      <x:c r="G175" s="111" t="str">
        <x:v>TV 예능·휴게소·SNS</x:v>
      </x:c>
      <x:c r="H175" s="111" t="str">
        <x:v>연말 검색·플랫폼 결산 또는 동시기 보도에서 확산이 확인됨</x:v>
      </x:c>
      <x:c r="I175" s="141" t="str">
        <x:f>IF(J175&gt;0,"주가 반응 기록 있음","주가 미확인·연결 전")</x:f>
        <x:v>주가 미확인·연결 전</x:v>
      </x:c>
      <x:c r="J175" s="141" t="n">
        <x:f>COUNTIF('02_종목반응'!$B$6:$B$166,A175)</x:f>
        <x:v>0</x:v>
      </x:c>
      <x:c r="K175" s="111" t="str">
        <x:v>첫 노출 → 후기·인증 → 검색·품절 → 모방 제품 → 재구매 또는 소멸</x:v>
      </x:c>
      <x:c r="L175" s="111" t="str">
        <x:v>S222;S223;S224;S237</x:v>
      </x:c>
    </x:row>
    <x:row r="176" ht="42" customHeight="1">
      <x:c r="A176" s="111" t="str">
        <x:v>TR2018-04</x:v>
      </x:c>
      <x:c r="B176" s="141" t="n">
        <x:v>2018</x:v>
      </x:c>
      <x:c r="C176" s="153" t="str">
        <x:v>식품·음료</x:v>
      </x:c>
      <x:c r="D176" s="153" t="str">
        <x:v>식품 유행 일반</x:v>
      </x:c>
      <x:c r="E176" s="111" t="str">
        <x:v>먹스타그램</x:v>
      </x:c>
      <x:c r="F176" s="111" t="str">
        <x:v>먹기 전 사진과 해시태그가 음식 선택·매장 탐색에 영향을 줬다.</x:v>
      </x:c>
      <x:c r="G176" s="111" t="str">
        <x:v>인스타그램</x:v>
      </x:c>
      <x:c r="H176" s="111" t="str">
        <x:v>연말 검색·플랫폼 결산 또는 동시기 보도에서 확산이 확인됨</x:v>
      </x:c>
      <x:c r="I176" s="141" t="str">
        <x:f>IF(J176&gt;0,"주가 반응 기록 있음","주가 미확인·연결 전")</x:f>
        <x:v>주가 미확인·연결 전</x:v>
      </x:c>
      <x:c r="J176" s="141" t="n">
        <x:f>COUNTIF('02_종목반응'!$B$6:$B$166,A176)</x:f>
        <x:v>0</x:v>
      </x:c>
      <x:c r="K176" s="111" t="str">
        <x:v>첫 노출 → 후기·인증 → 검색·품절 → 모방 제품 → 재구매 또는 소멸</x:v>
      </x:c>
      <x:c r="L176" s="111" t="str">
        <x:v>S222;S223;S224;S237</x:v>
      </x:c>
    </x:row>
    <x:row r="177" ht="42" customHeight="1">
      <x:c r="A177" s="111" t="str">
        <x:v>TR2018-03</x:v>
      </x:c>
      <x:c r="B177" s="141" t="n">
        <x:v>2018</x:v>
      </x:c>
      <x:c r="C177" s="153" t="str">
        <x:v>콘텐츠·엔터</x:v>
      </x:c>
      <x:c r="D177" s="153" t="str">
        <x:v>드라마·OTT</x:v>
      </x:c>
      <x:c r="E177" s="111" t="str">
        <x:v>나의 아저씨</x:v>
      </x:c>
      <x:c r="F177" s="111" t="str">
        <x:v>삶의 피로와 위로를 담은 대사가 캡처·회고 콘텐츠로 퍼졌다.</x:v>
      </x:c>
      <x:c r="G177" s="111" t="str">
        <x:v>TV·커뮤니티·SNS</x:v>
      </x:c>
      <x:c r="H177" s="111" t="str">
        <x:v>연말 검색·플랫폼 결산 또는 동시기 보도에서 확산이 확인됨</x:v>
      </x:c>
      <x:c r="I177" s="141" t="str">
        <x:f>IF(J177&gt;0,"주가 반응 기록 있음","주가 미확인·연결 전")</x:f>
        <x:v>주가 미확인·연결 전</x:v>
      </x:c>
      <x:c r="J177" s="141" t="n">
        <x:f>COUNTIF('02_종목반응'!$B$6:$B$166,A177)</x:f>
        <x:v>0</x:v>
      </x:c>
      <x:c r="K177" s="111" t="str">
        <x:v>공개·방영 → 클립·검색 증가 → 팬덤·패러디 → 소비 확장 → 후속 관심</x:v>
      </x:c>
      <x:c r="L177" s="111" t="str">
        <x:v>S222;S223;S224;S237</x:v>
      </x:c>
    </x:row>
    <x:row r="178" ht="42" customHeight="1">
      <x:c r="A178" s="111" t="str">
        <x:v>TR2018-02</x:v>
      </x:c>
      <x:c r="B178" s="141" t="n">
        <x:v>2018</x:v>
      </x:c>
      <x:c r="C178" s="153" t="str">
        <x:v>콘텐츠·엔터</x:v>
      </x:c>
      <x:c r="D178" s="153" t="str">
        <x:v>드라마·OTT</x:v>
      </x:c>
      <x:c r="E178" s="111" t="str">
        <x:v>미스터 션샤인</x:v>
      </x:c>
      <x:c r="F178" s="111" t="str">
        <x:v>시대극 미장센과 대사·촬영지가 검색과 패러디를 낳았다.</x:v>
      </x:c>
      <x:c r="G178" s="111" t="str">
        <x:v>TV·포털·SNS</x:v>
      </x:c>
      <x:c r="H178" s="111" t="str">
        <x:v>연말 검색·플랫폼 결산 또는 동시기 보도에서 확산이 확인됨</x:v>
      </x:c>
      <x:c r="I178" s="141" t="str">
        <x:f>IF(J178&gt;0,"주가 반응 기록 있음","주가 미확인·연결 전")</x:f>
        <x:v>주가 미확인·연결 전</x:v>
      </x:c>
      <x:c r="J178" s="141" t="n">
        <x:f>COUNTIF('02_종목반응'!$B$6:$B$166,A178)</x:f>
        <x:v>0</x:v>
      </x:c>
      <x:c r="K178" s="111" t="str">
        <x:v>공개·방영 → 클립·검색 증가 → 팬덤·패러디 → 소비 확장 → 후속 관심</x:v>
      </x:c>
      <x:c r="L178" s="111" t="str">
        <x:v>S222;S223;S224;S237</x:v>
      </x:c>
    </x:row>
    <x:row r="179" ht="42" customHeight="1">
      <x:c r="A179" s="111" t="str">
        <x:v>TR2018-01</x:v>
      </x:c>
      <x:c r="B179" s="141" t="n">
        <x:v>2018</x:v>
      </x:c>
      <x:c r="C179" s="153" t="str">
        <x:v>콘텐츠·엔터</x:v>
      </x:c>
      <x:c r="D179" s="153" t="str">
        <x:v>음악·댄스</x:v>
      </x:c>
      <x:c r="E179" s="111" t="str">
        <x:v>BTS 글로벌 팬덤 확산</x:v>
      </x:c>
      <x:c r="F179" s="111" t="str">
        <x:v>뮤직비디오·자막·팬 번역과 조직적 스트리밍이 국경을 넘는 확산을 만들었다.</x:v>
      </x:c>
      <x:c r="G179" s="111" t="str">
        <x:v>유튜브·트위터·팬커뮤니티</x:v>
      </x:c>
      <x:c r="H179" s="111" t="str">
        <x:v>연말 검색·플랫폼 결산 또는 동시기 보도에서 확산이 확인됨</x:v>
      </x:c>
      <x:c r="I179" s="141" t="str">
        <x:f>IF(J179&gt;0,"주가 반응 기록 있음","주가 미확인·연결 전")</x:f>
        <x:v>주가 미확인·연결 전</x:v>
      </x:c>
      <x:c r="J179" s="141" t="n">
        <x:f>COUNTIF('02_종목반응'!$B$6:$B$166,A179)</x:f>
        <x:v>0</x:v>
      </x:c>
      <x:c r="K179" s="111" t="str">
        <x:v>공개·방영 → 클립·검색 증가 → 팬덤·패러디 → 소비 확장 → 후속 관심</x:v>
      </x:c>
      <x:c r="L179" s="111" t="str">
        <x:v>S222;S223;S224;S237</x:v>
      </x:c>
    </x:row>
    <x:row r="180" ht="42" customHeight="1">
      <x:c r="A180" s="111" t="str">
        <x:v>TR2018-05</x:v>
      </x:c>
      <x:c r="B180" s="141" t="n">
        <x:v>2018</x:v>
      </x:c>
      <x:c r="C180" s="153" t="str">
        <x:v>콘텐츠·엔터</x:v>
      </x:c>
      <x:c r="D180" s="153" t="str">
        <x:v>팬덤·공연</x:v>
      </x:c>
      <x:c r="E180" s="111" t="str">
        <x:v>슬라임 ASMR</x:v>
      </x:c>
      <x:c r="F180" s="111" t="str">
        <x:v>늘리고 누르는 소리와 질감이 시각·청각적 만족을 주며 제작 영상이 늘었다.</x:v>
      </x:c>
      <x:c r="G180" s="111" t="str">
        <x:v>유튜브·인스타그램</x:v>
      </x:c>
      <x:c r="H180" s="111" t="str">
        <x:v>연말 검색·플랫폼 결산 또는 동시기 보도에서 확산이 확인됨</x:v>
      </x:c>
      <x:c r="I180" s="141" t="str">
        <x:f>IF(J180&gt;0,"주가 반응 기록 있음","주가 미확인·연결 전")</x:f>
        <x:v>주가 미확인·연결 전</x:v>
      </x:c>
      <x:c r="J180" s="141" t="n">
        <x:f>COUNTIF('02_종목반응'!$B$6:$B$166,A180)</x:f>
        <x:v>0</x:v>
      </x:c>
      <x:c r="K180" s="111" t="str">
        <x:v>발화 → 검색·공유 증가 → 일상 언급·모방 → 관련 소비 탐색 → 관심 둔화</x:v>
      </x:c>
      <x:c r="L180" s="111" t="str">
        <x:v>S222;S223;S224;S237</x:v>
      </x:c>
    </x:row>
    <x:row r="181" ht="42" customHeight="1">
      <x:c r="A181" s="111" t="str">
        <x:v>TR2018-06</x:v>
      </x:c>
      <x:c r="B181" s="141" t="n">
        <x:v>2018</x:v>
      </x:c>
      <x:c r="C181" s="153" t="str">
        <x:v>패션·뷰티</x:v>
      </x:c>
      <x:c r="D181" s="153" t="str">
        <x:v>액세서리·웨어러블</x:v>
      </x:c>
      <x:c r="E181" s="111" t="str">
        <x:v>에어팟</x:v>
      </x:c>
      <x:c r="F181" s="111" t="str">
        <x:v>무선 편의와 눈에 띄는 디자인이 전자기기를 패션 상징으로 만들었다.</x:v>
      </x:c>
      <x:c r="G181" s="111" t="str">
        <x:v>인스타그램·유튜브·IT 커뮤니티</x:v>
      </x:c>
      <x:c r="H181" s="111" t="str">
        <x:v>연말 검색·플랫폼 결산 또는 동시기 보도에서 확산이 확인됨</x:v>
      </x:c>
      <x:c r="I181" s="141" t="str">
        <x:f>IF(J181&gt;0,"주가 반응 기록 있음","주가 미확인·연결 전")</x:f>
        <x:v>주가 미확인·연결 전</x:v>
      </x:c>
      <x:c r="J181" s="141" t="n">
        <x:f>COUNTIF('02_종목반응'!$B$6:$B$166,A181)</x:f>
        <x:v>0</x:v>
      </x:c>
      <x:c r="K181" s="111" t="str">
        <x:v>첫 노출 → 후기·인증 → 검색·품절 → 모방 제품 → 재구매 또는 소멸</x:v>
      </x:c>
      <x:c r="L181" s="111" t="str">
        <x:v>S222;S223;S224;S237</x:v>
      </x:c>
    </x:row>
    <x:row r="182" ht="42" customHeight="1">
      <x:c r="A182" s="111" t="str">
        <x:v>TR2018-14</x:v>
      </x:c>
      <x:c r="B182" s="141" t="n">
        <x:v>2018</x:v>
      </x:c>
      <x:c r="C182" s="153" t="str">
        <x:v>패션·뷰티</x:v>
      </x:c>
      <x:c r="D182" s="153" t="str">
        <x:v>패션·스타일</x:v>
      </x:c>
      <x:c r="E182" s="111" t="str">
        <x:v>뉴트로</x:v>
      </x:c>
      <x:c r="F182" s="111" t="str">
        <x:v>옛 디자인을 새롭게 경험하는 방식이 젊은 층의 공간·패션 소비와 맞물렸다.</x:v>
      </x:c>
      <x:c r="G182" s="111" t="str">
        <x:v>인스타그램·상권·브랜드</x:v>
      </x:c>
      <x:c r="H182" s="111" t="str">
        <x:v>연말 검색·플랫폼 결산 또는 동시기 보도에서 확산이 확인됨</x:v>
      </x:c>
      <x:c r="I182" s="141" t="str">
        <x:f>IF(J182&gt;0,"주가 반응 기록 있음","주가 미확인·연결 전")</x:f>
        <x:v>주가 미확인·연결 전</x:v>
      </x:c>
      <x:c r="J182" s="141" t="n">
        <x:f>COUNTIF('02_종목반응'!$B$6:$B$166,A182)</x:f>
        <x:v>0</x:v>
      </x:c>
      <x:c r="K182" s="111" t="str">
        <x:v>발화 → 검색·공유 증가 → 일상 언급·모방 → 관련 소비 탐색 → 관심 둔화</x:v>
      </x:c>
      <x:c r="L182" s="111" t="str">
        <x:v>S222;S223;S224;S237</x:v>
      </x:c>
    </x:row>
    <x:row r="183" ht="42" customHeight="1">
      <x:c r="A183" s="111" t="str">
        <x:v>TR2018-07</x:v>
      </x:c>
      <x:c r="B183" s="141" t="n">
        <x:v>2018</x:v>
      </x:c>
      <x:c r="C183" s="153" t="str">
        <x:v>패션·뷰티</x:v>
      </x:c>
      <x:c r="D183" s="153" t="str">
        <x:v>패션·스타일</x:v>
      </x:c>
      <x:c r="E183" s="111" t="str">
        <x:v>움직이는 토끼모자</x:v>
      </x:c>
      <x:c r="F183" s="111" t="str">
        <x:v>귀가 움직이는 장난감형 모자가 영상과 단체 착용에 적합했다.</x:v>
      </x:c>
      <x:c r="G183" s="111" t="str">
        <x:v>인스타그램·거리·온라인몰</x:v>
      </x:c>
      <x:c r="H183" s="111" t="str">
        <x:v>연말 검색·플랫폼 결산 또는 동시기 보도에서 확산이 확인됨</x:v>
      </x:c>
      <x:c r="I183" s="141" t="str">
        <x:f>IF(J183&gt;0,"주가 반응 기록 있음","주가 미확인·연결 전")</x:f>
        <x:v>주가 미확인·연결 전</x:v>
      </x:c>
      <x:c r="J183" s="141" t="n">
        <x:f>COUNTIF('02_종목반응'!$B$6:$B$166,A183)</x:f>
        <x:v>0</x:v>
      </x:c>
      <x:c r="K183" s="111" t="str">
        <x:v>첫 노출 → 후기·인증 → 검색·품절 → 모방 제품 → 재구매 또는 소멸</x:v>
      </x:c>
      <x:c r="L183" s="111" t="str">
        <x:v>S222;S223;S224;S237</x:v>
      </x:c>
    </x:row>
    <x:row r="184" ht="42" customHeight="1">
      <x:c r="A184" s="111" t="str">
        <x:v>TR2018-11</x:v>
      </x:c>
      <x:c r="B184" s="141" t="n">
        <x:v>2018</x:v>
      </x:c>
      <x:c r="C184" s="153" t="str">
        <x:v>생활·소비</x:v>
      </x:c>
      <x:c r="D184" s="153" t="str">
        <x:v>유통·쇼핑</x:v>
      </x:c>
      <x:c r="E184" s="111" t="str">
        <x:v>소확행</x:v>
      </x:c>
      <x:c r="F184" s="111" t="str">
        <x:v>작지만 확실한 만족을 찾는 태도가 디저트·취미·여행 소비와 결합됐다.</x:v>
      </x:c>
      <x:c r="G184" s="111" t="str">
        <x:v>SNS·블로그·출판</x:v>
      </x:c>
      <x:c r="H184" s="111" t="str">
        <x:v>연말 검색·플랫폼 결산 또는 동시기 보도에서 확산이 확인됨</x:v>
      </x:c>
      <x:c r="I184" s="141" t="str">
        <x:f>IF(J184&gt;0,"주가 반응 기록 있음","주가 미확인·연결 전")</x:f>
        <x:v>주가 미확인·연결 전</x:v>
      </x:c>
      <x:c r="J184" s="141" t="n">
        <x:f>COUNTIF('02_종목반응'!$B$6:$B$166,A184)</x:f>
        <x:v>0</x:v>
      </x:c>
      <x:c r="K184" s="111" t="str">
        <x:v>발화 → 검색·공유 증가 → 일상 언급·모방 → 관련 소비 탐색 → 관심 둔화</x:v>
      </x:c>
      <x:c r="L184" s="111" t="str">
        <x:v>S222;S223;S224;S237</x:v>
      </x:c>
    </x:row>
    <x:row r="185" ht="42" customHeight="1">
      <x:c r="A185" s="111" t="str">
        <x:v>TR2018-13</x:v>
      </x:c>
      <x:c r="B185" s="141" t="n">
        <x:v>2018</x:v>
      </x:c>
      <x:c r="C185" s="153" t="str">
        <x:v>생활·소비</x:v>
      </x:c>
      <x:c r="D185" s="153" t="str">
        <x:v>자기관리·라이프스타일</x:v>
      </x:c>
      <x:c r="E185" s="111" t="str">
        <x:v>플렉스</x:v>
      </x:c>
      <x:c r="F185" s="111" t="str">
        <x:v>부와 소비를 과시한다는 힙합 표현이 일상적 보상 소비의 농담으로 번졌다.</x:v>
      </x:c>
      <x:c r="G185" s="111" t="str">
        <x:v>힙합·유튜브·SNS</x:v>
      </x:c>
      <x:c r="H185" s="111" t="str">
        <x:v>연말 검색·플랫폼 결산 또는 동시기 보도에서 확산이 확인됨</x:v>
      </x:c>
      <x:c r="I185" s="141" t="str">
        <x:f>IF(J185&gt;0,"주가 반응 기록 있음","주가 미확인·연결 전")</x:f>
        <x:v>주가 미확인·연결 전</x:v>
      </x:c>
      <x:c r="J185" s="141" t="n">
        <x:f>COUNTIF('02_종목반응'!$B$6:$B$166,A185)</x:f>
        <x:v>0</x:v>
      </x:c>
      <x:c r="K185" s="111" t="str">
        <x:v>발화 → 검색·공유 증가 → 일상 언급·모방 → 관련 소비 탐색 → 관심 둔화</x:v>
      </x:c>
      <x:c r="L185" s="111" t="str">
        <x:v>S222;S223;S224;S237</x:v>
      </x:c>
    </x:row>
    <x:row r="186" ht="42" customHeight="1">
      <x:c r="A186" s="111" t="str">
        <x:v>TR2018-12</x:v>
      </x:c>
      <x:c r="B186" s="141" t="n">
        <x:v>2018</x:v>
      </x:c>
      <x:c r="C186" s="153" t="str">
        <x:v>생활·소비</x:v>
      </x:c>
      <x:c r="D186" s="153" t="str">
        <x:v>자기관리·라이프스타일</x:v>
      </x:c>
      <x:c r="E186" s="111" t="str">
        <x:v>ASMR 대중화</x:v>
      </x:c>
      <x:c r="F186" s="111" t="str">
        <x:v>속삭임·소리 자극이 휴식과 수면 콘텐츠로 소비됐다.</x:v>
      </x:c>
      <x:c r="G186" s="111" t="str">
        <x:v>유튜브·이어폰</x:v>
      </x:c>
      <x:c r="H186" s="111" t="str">
        <x:v>연말 검색·플랫폼 결산 또는 동시기 보도에서 확산이 확인됨</x:v>
      </x:c>
      <x:c r="I186" s="141" t="str">
        <x:f>IF(J186&gt;0,"주가 반응 기록 있음","주가 미확인·연결 전")</x:f>
        <x:v>주가 미확인·연결 전</x:v>
      </x:c>
      <x:c r="J186" s="141" t="n">
        <x:f>COUNTIF('02_종목반응'!$B$6:$B$166,A186)</x:f>
        <x:v>0</x:v>
      </x:c>
      <x:c r="K186" s="111" t="str">
        <x:v>발화 → 검색·공유 증가 → 일상 언급·모방 → 관련 소비 탐색 → 관심 둔화</x:v>
      </x:c>
      <x:c r="L186" s="111" t="str">
        <x:v>S222;S223;S224;S237</x:v>
      </x:c>
    </x:row>
    <x:row r="187" ht="42" customHeight="1">
      <x:c r="A187" s="111" t="str">
        <x:v>TR2018-10</x:v>
      </x:c>
      <x:c r="B187" s="141" t="n">
        <x:v>2018</x:v>
      </x:c>
      <x:c r="C187" s="153" t="str">
        <x:v>사회·온라인문화</x:v>
      </x:c>
      <x:c r="D187" s="153" t="str">
        <x:v>밈·유행어</x:v>
      </x:c>
      <x:c r="E187" s="111" t="str">
        <x:v>인싸·핵인싸</x:v>
      </x:c>
      <x:c r="F187" s="111" t="str">
        <x:v>집단에서 잘 어울리는 사람을 구분하는 말이 자기소개와 패러디에 쓰였다.</x:v>
      </x:c>
      <x:c r="G187" s="111" t="str">
        <x:v>커뮤니티·유튜브·SNS</x:v>
      </x:c>
      <x:c r="H187" s="111" t="str">
        <x:v>연말 검색·플랫폼 결산 또는 동시기 보도에서 확산이 확인됨</x:v>
      </x:c>
      <x:c r="I187" s="141" t="str">
        <x:f>IF(J187&gt;0,"주가 반응 기록 있음","주가 미확인·연결 전")</x:f>
        <x:v>주가 미확인·연결 전</x:v>
      </x:c>
      <x:c r="J187" s="141" t="n">
        <x:f>COUNTIF('02_종목반응'!$B$6:$B$166,A187)</x:f>
        <x:v>0</x:v>
      </x:c>
      <x:c r="K187" s="111" t="str">
        <x:v>발화 → 검색·공유 증가 → 일상 언급·모방 → 관련 소비 탐색 → 관심 둔화</x:v>
      </x:c>
      <x:c r="L187" s="111" t="str">
        <x:v>S222;S223;S224;S237</x:v>
      </x:c>
    </x:row>
    <x:row r="188" ht="42" customHeight="1">
      <x:c r="A188" s="111" t="str">
        <x:v>TR2017-08</x:v>
      </x:c>
      <x:c r="B188" s="141" t="n">
        <x:v>2017</x:v>
      </x:c>
      <x:c r="C188" s="153" t="str">
        <x:v>식품·음료</x:v>
      </x:c>
      <x:c r="D188" s="153" t="str">
        <x:v>외식·프랜차이즈</x:v>
      </x:c>
      <x:c r="E188" s="111" t="str">
        <x:v>명랑핫도그</x:v>
      </x:c>
      <x:c r="F188" s="111" t="str">
        <x:v>저렴한 가격과 치즈가 늘어나는 단면이 줄 서기와 인증샷을 만들었다.</x:v>
      </x:c>
      <x:c r="G188" s="111" t="str">
        <x:v>SNS·상권·블로그</x:v>
      </x:c>
      <x:c r="H188" s="111" t="str">
        <x:v>연말 검색·플랫폼 결산 또는 동시기 보도에서 확산이 확인됨</x:v>
      </x:c>
      <x:c r="I188" s="141" t="str">
        <x:f>IF(J188&gt;0,"주가 반응 기록 있음","주가 미확인·연결 전")</x:f>
        <x:v>주가 미확인·연결 전</x:v>
      </x:c>
      <x:c r="J188" s="141" t="n">
        <x:f>COUNTIF('02_종목반응'!$B$6:$B$166,A188)</x:f>
        <x:v>0</x:v>
      </x:c>
      <x:c r="K188" s="111" t="str">
        <x:v>첫 노출 → 후기·인증 → 검색·품절 → 모방 제품 → 재구매 또는 소멸</x:v>
      </x:c>
      <x:c r="L188" s="111" t="str">
        <x:v>S219;S220;S221;S237</x:v>
      </x:c>
    </x:row>
    <x:row r="189" ht="42" customHeight="1">
      <x:c r="A189" s="111" t="str">
        <x:v>TR2017-01</x:v>
      </x:c>
      <x:c r="B189" s="141" t="n">
        <x:v>2017</x:v>
      </x:c>
      <x:c r="C189" s="153" t="str">
        <x:v>콘텐츠·엔터</x:v>
      </x:c>
      <x:c r="D189" s="153" t="str">
        <x:v>영화·애니메이션</x:v>
      </x:c>
      <x:c r="E189" s="111" t="str">
        <x:v>너의 이름은</x:v>
      </x:c>
      <x:c r="F189" s="111" t="str">
        <x:v>감성적인 장면·음악과 장소 찾기가 재관람·성지순례를 만들었다.</x:v>
      </x:c>
      <x:c r="G189" s="111" t="str">
        <x:v>극장·SNS·팬커뮤니티</x:v>
      </x:c>
      <x:c r="H189" s="111" t="str">
        <x:v>연말 검색·플랫폼 결산 또는 동시기 보도에서 확산이 확인됨</x:v>
      </x:c>
      <x:c r="I189" s="141" t="str">
        <x:f>IF(J189&gt;0,"주가 반응 기록 있음","주가 미확인·연결 전")</x:f>
        <x:v>주가 미확인·연결 전</x:v>
      </x:c>
      <x:c r="J189" s="141" t="n">
        <x:f>COUNTIF('02_종목반응'!$B$6:$B$166,A189)</x:f>
        <x:v>0</x:v>
      </x:c>
      <x:c r="K189" s="111" t="str">
        <x:v>공개·방영 → 클립·검색 증가 → 팬덤·패러디 → 소비 확장 → 후속 관심</x:v>
      </x:c>
      <x:c r="L189" s="111" t="str">
        <x:v>S219;S220;S221;S237</x:v>
      </x:c>
    </x:row>
    <x:row r="190" ht="42" customHeight="1">
      <x:c r="A190" s="111" t="str">
        <x:v>TR2017-03</x:v>
      </x:c>
      <x:c r="B190" s="141" t="n">
        <x:v>2017</x:v>
      </x:c>
      <x:c r="C190" s="153" t="str">
        <x:v>콘텐츠·엔터</x:v>
      </x:c>
      <x:c r="D190" s="153" t="str">
        <x:v>영화·애니메이션</x:v>
      </x:c>
      <x:c r="E190" s="111" t="str">
        <x:v>범죄도시</x:v>
      </x:c>
      <x:c r="F190" s="111" t="str">
        <x:v>강한 캐릭터와 대사가 짤·패러디·후속편 팬덤으로 이어졌다.</x:v>
      </x:c>
      <x:c r="G190" s="111" t="str">
        <x:v>극장·유튜브·커뮤니티</x:v>
      </x:c>
      <x:c r="H190" s="111" t="str">
        <x:v>연말 검색·플랫폼 결산 또는 동시기 보도에서 확산이 확인됨</x:v>
      </x:c>
      <x:c r="I190" s="141" t="str">
        <x:f>IF(J190&gt;0,"주가 반응 기록 있음","주가 미확인·연결 전")</x:f>
        <x:v>주가 미확인·연결 전</x:v>
      </x:c>
      <x:c r="J190" s="141" t="n">
        <x:f>COUNTIF('02_종목반응'!$B$6:$B$166,A190)</x:f>
        <x:v>0</x:v>
      </x:c>
      <x:c r="K190" s="111" t="str">
        <x:v>공개·방영 → 클립·검색 증가 → 팬덤·패러디 → 소비 확장 → 후속 관심</x:v>
      </x:c>
      <x:c r="L190" s="111" t="str">
        <x:v>S219;S220;S221;S237</x:v>
      </x:c>
    </x:row>
    <x:row r="191" ht="42" customHeight="1">
      <x:c r="A191" s="111" t="str">
        <x:v>TR2017-10</x:v>
      </x:c>
      <x:c r="B191" s="141" t="n">
        <x:v>2017</x:v>
      </x:c>
      <x:c r="C191" s="153" t="str">
        <x:v>콘텐츠·엔터</x:v>
      </x:c>
      <x:c r="D191" s="153" t="str">
        <x:v>음악·댄스</x:v>
      </x:c>
      <x:c r="E191" s="111" t="str">
        <x:v>워너원·프로듀스101</x:v>
      </x:c>
      <x:c r="F191" s="111" t="str">
        <x:v>국민 프로듀서 투표와 연습생 서사가 강한 참여형 팬덤을 만들었다.</x:v>
      </x:c>
      <x:c r="G191" s="111" t="str">
        <x:v>TV·SNS·팬커뮤니티</x:v>
      </x:c>
      <x:c r="H191" s="111" t="str">
        <x:v>연말 검색·플랫폼 결산 또는 동시기 보도에서 확산이 확인됨</x:v>
      </x:c>
      <x:c r="I191" s="141" t="str">
        <x:f>IF(J191&gt;0,"주가 반응 기록 있음","주가 미확인·연결 전")</x:f>
        <x:v>주가 미확인·연결 전</x:v>
      </x:c>
      <x:c r="J191" s="141" t="n">
        <x:f>COUNTIF('02_종목반응'!$B$6:$B$166,A191)</x:f>
        <x:v>0</x:v>
      </x:c>
      <x:c r="K191" s="111" t="str">
        <x:v>공개·방영 → 클립·검색 증가 → 팬덤·패러디 → 소비 확장 → 후속 관심</x:v>
      </x:c>
      <x:c r="L191" s="111" t="str">
        <x:v>S219;S220;S221;S237</x:v>
      </x:c>
    </x:row>
    <x:row r="192" ht="42" customHeight="1">
      <x:c r="A192" s="111" t="str">
        <x:v>TR2017-09</x:v>
      </x:c>
      <x:c r="B192" s="141" t="n">
        <x:v>2017</x:v>
      </x:c>
      <x:c r="C192" s="153" t="str">
        <x:v>디지털·플랫폼</x:v>
      </x:c>
      <x:c r="D192" s="153" t="str">
        <x:v>SNS·커뮤니티</x:v>
      </x:c>
      <x:c r="E192" s="111" t="str">
        <x:v>인스타그램 데일리 해시태그</x:v>
      </x:c>
      <x:c r="F192" s="111" t="str">
        <x:v>일상·패션·음식 사진에 공통 해시태그를 붙여 노출과 관계를 넓혔다.</x:v>
      </x:c>
      <x:c r="G192" s="111" t="str">
        <x:v>인스타그램</x:v>
      </x:c>
      <x:c r="H192" s="111" t="str">
        <x:v>연말 검색·플랫폼 결산 또는 동시기 보도에서 확산이 확인됨</x:v>
      </x:c>
      <x:c r="I192" s="141" t="str">
        <x:f>IF(J192&gt;0,"주가 반응 기록 있음","주가 미확인·연결 전")</x:f>
        <x:v>주가 미확인·연결 전</x:v>
      </x:c>
      <x:c r="J192" s="141" t="n">
        <x:f>COUNTIF('02_종목반응'!$B$6:$B$166,A192)</x:f>
        <x:v>0</x:v>
      </x:c>
      <x:c r="K192" s="111" t="str">
        <x:v>출시·발견 → 이용자 유입 → 공유·경쟁 → 대중화 → 후속 서비스</x:v>
      </x:c>
      <x:c r="L192" s="111" t="str">
        <x:v>S219;S220;S221;S237</x:v>
      </x:c>
    </x:row>
    <x:row r="193" ht="42" customHeight="1">
      <x:c r="A193" s="111" t="str">
        <x:v>TR2017-02</x:v>
      </x:c>
      <x:c r="B193" s="141" t="n">
        <x:v>2017</x:v>
      </x:c>
      <x:c r="C193" s="153" t="str">
        <x:v>게임·e스포츠</x:v>
      </x:c>
      <x:c r="D193" s="153" t="str">
        <x:v>모바일게임</x:v>
      </x:c>
      <x:c r="E193" s="111" t="str">
        <x:v>리니지M</x:v>
      </x:c>
      <x:c r="F193" s="111" t="str">
        <x:v>PC 원작의 추억과 대규모 경쟁이 모바일 과금·방송 화제를 만들었다.</x:v>
      </x:c>
      <x:c r="G193" s="111" t="str">
        <x:v>모바일·유튜브·커뮤니티</x:v>
      </x:c>
      <x:c r="H193" s="111" t="str">
        <x:v>연말 검색·플랫폼 결산 또는 동시기 보도에서 확산이 확인됨</x:v>
      </x:c>
      <x:c r="I193" s="141" t="str">
        <x:f>IF(J193&gt;0,"주가 반응 기록 있음","주가 미확인·연결 전")</x:f>
        <x:v>주가 미확인·연결 전</x:v>
      </x:c>
      <x:c r="J193" s="141" t="n">
        <x:f>COUNTIF('02_종목반응'!$B$6:$B$166,A193)</x:f>
        <x:v>0</x:v>
      </x:c>
      <x:c r="K193" s="111" t="str">
        <x:v>출시·발견 → 이용자 유입 → 공유·경쟁 → 대중화 → 후속 서비스</x:v>
      </x:c>
      <x:c r="L193" s="111" t="str">
        <x:v>S219;S220;S221;S237</x:v>
      </x:c>
    </x:row>
    <x:row r="194" ht="42" customHeight="1">
      <x:c r="A194" s="111" t="str">
        <x:v>TR2017-11</x:v>
      </x:c>
      <x:c r="B194" s="141" t="n">
        <x:v>2017</x:v>
      </x:c>
      <x:c r="C194" s="153" t="str">
        <x:v>게임·e스포츠</x:v>
      </x:c>
      <x:c r="D194" s="153" t="str">
        <x:v>e스포츠·스트리밍</x:v>
      </x:c>
      <x:c r="E194" s="111" t="str">
        <x:v>배틀그라운드</x:v>
      </x:c>
      <x:c r="F194" s="111" t="str">
        <x:v>생존 경쟁의 매 판 다른 장면이 방송 클립과 PC방 플레이를 키웠다.</x:v>
      </x:c>
      <x:c r="G194" s="111" t="str">
        <x:v>PC방·트위치·유튜브</x:v>
      </x:c>
      <x:c r="H194" s="111" t="str">
        <x:v>연말 검색·플랫폼 결산 또는 동시기 보도에서 확산이 확인됨</x:v>
      </x:c>
      <x:c r="I194" s="141" t="str">
        <x:f>IF(J194&gt;0,"주가 반응 기록 있음","주가 미확인·연결 전")</x:f>
        <x:v>주가 미확인·연결 전</x:v>
      </x:c>
      <x:c r="J194" s="141" t="n">
        <x:f>COUNTIF('02_종목반응'!$B$6:$B$166,A194)</x:f>
        <x:v>0</x:v>
      </x:c>
      <x:c r="K194" s="111" t="str">
        <x:v>출시·발견 → 이용자 유입 → 공유·경쟁 → 대중화 → 후속 서비스</x:v>
      </x:c>
      <x:c r="L194" s="111" t="str">
        <x:v>S219;S220;S221;S237</x:v>
      </x:c>
    </x:row>
    <x:row r="195" ht="42" customHeight="1">
      <x:c r="A195" s="111" t="str">
        <x:v>TR2017-13</x:v>
      </x:c>
      <x:c r="B195" s="141" t="n">
        <x:v>2017</x:v>
      </x:c>
      <x:c r="C195" s="153" t="str">
        <x:v>생활·소비</x:v>
      </x:c>
      <x:c r="D195" s="153" t="str">
        <x:v>여행·공간</x:v>
      </x:c>
      <x:c r="E195" s="111" t="str">
        <x:v>인생샷</x:v>
      </x:c>
      <x:c r="F195" s="111" t="str">
        <x:v>장소 방문의 결과를 가장 잘 나온 사진으로 남기려는 행동이 보편화됐다.</x:v>
      </x:c>
      <x:c r="G195" s="111" t="str">
        <x:v>인스타그램·여행 블로그</x:v>
      </x:c>
      <x:c r="H195" s="111" t="str">
        <x:v>연말 검색·플랫폼 결산 또는 동시기 보도에서 확산이 확인됨</x:v>
      </x:c>
      <x:c r="I195" s="141" t="str">
        <x:f>IF(J195&gt;0,"주가 반응 기록 있음","주가 미확인·연결 전")</x:f>
        <x:v>주가 미확인·연결 전</x:v>
      </x:c>
      <x:c r="J195" s="141" t="n">
        <x:f>COUNTIF('02_종목반응'!$B$6:$B$166,A195)</x:f>
        <x:v>0</x:v>
      </x:c>
      <x:c r="K195" s="111" t="str">
        <x:v>발화 → 검색·공유 증가 → 일상 언급·모방 → 관련 소비 탐색 → 관심 둔화</x:v>
      </x:c>
      <x:c r="L195" s="111" t="str">
        <x:v>S219;S220;S221;S237</x:v>
      </x:c>
    </x:row>
    <x:row r="196" ht="42" customHeight="1">
      <x:c r="A196" s="111" t="str">
        <x:v>TR2017-07</x:v>
      </x:c>
      <x:c r="B196" s="141" t="n">
        <x:v>2017</x:v>
      </x:c>
      <x:c r="C196" s="153" t="str">
        <x:v>생활·소비</x:v>
      </x:c>
      <x:c r="D196" s="153" t="str">
        <x:v>유통·쇼핑</x:v>
      </x:c>
      <x:c r="E196" s="111" t="str">
        <x:v>욜로</x:v>
      </x:c>
      <x:c r="F196" s="111" t="str">
        <x:v>현재의 경험에 돈과 시간을 쓰자는 태도가 여행·취미 소비와 결합됐다.</x:v>
      </x:c>
      <x:c r="G196" s="111" t="str">
        <x:v>방송·SNS·블로그</x:v>
      </x:c>
      <x:c r="H196" s="111" t="str">
        <x:v>연말 검색·플랫폼 결산 또는 동시기 보도에서 확산이 확인됨</x:v>
      </x:c>
      <x:c r="I196" s="141" t="str">
        <x:f>IF(J196&gt;0,"주가 반응 기록 있음","주가 미확인·연결 전")</x:f>
        <x:v>주가 미확인·연결 전</x:v>
      </x:c>
      <x:c r="J196" s="141" t="n">
        <x:f>COUNTIF('02_종목반응'!$B$6:$B$166,A196)</x:f>
        <x:v>0</x:v>
      </x:c>
      <x:c r="K196" s="111" t="str">
        <x:v>발화 → 검색·공유 증가 → 일상 언급·모방 → 관련 소비 탐색 → 관심 둔화</x:v>
      </x:c>
      <x:c r="L196" s="111" t="str">
        <x:v>S219;S220;S221;S237</x:v>
      </x:c>
    </x:row>
    <x:row r="197" ht="42" customHeight="1">
      <x:c r="A197" s="111" t="str">
        <x:v>TR2017-06</x:v>
      </x:c>
      <x:c r="B197" s="141" t="n">
        <x:v>2017</x:v>
      </x:c>
      <x:c r="C197" s="153" t="str">
        <x:v>생활·소비</x:v>
      </x:c>
      <x:c r="D197" s="153" t="str">
        <x:v>유통·쇼핑</x:v>
      </x:c>
      <x:c r="E197" s="111" t="str">
        <x:v>탕진잼</x:v>
      </x:c>
      <x:c r="F197" s="111" t="str">
        <x:v>작은 소비로 스트레스를 푸는 행동을 유머러스하게 부르는 말이 공감을 얻었다.</x:v>
      </x:c>
      <x:c r="G197" s="111" t="str">
        <x:v>SNS·온라인몰</x:v>
      </x:c>
      <x:c r="H197" s="111" t="str">
        <x:v>연말 검색·플랫폼 결산 또는 동시기 보도에서 확산이 확인됨</x:v>
      </x:c>
      <x:c r="I197" s="141" t="str">
        <x:f>IF(J197&gt;0,"주가 반응 기록 있음","주가 미확인·연결 전")</x:f>
        <x:v>주가 미확인·연결 전</x:v>
      </x:c>
      <x:c r="J197" s="141" t="n">
        <x:f>COUNTIF('02_종목반응'!$B$6:$B$166,A197)</x:f>
        <x:v>0</x:v>
      </x:c>
      <x:c r="K197" s="111" t="str">
        <x:v>발화 → 검색·공유 증가 → 일상 언급·모방 → 관련 소비 탐색 → 관심 둔화</x:v>
      </x:c>
      <x:c r="L197" s="111" t="str">
        <x:v>S219;S220;S221;S237</x:v>
      </x:c>
    </x:row>
    <x:row r="198" ht="42" customHeight="1">
      <x:c r="A198" s="111" t="str">
        <x:v>TR2017-12</x:v>
      </x:c>
      <x:c r="B198" s="141" t="n">
        <x:v>2017</x:v>
      </x:c>
      <x:c r="C198" s="153" t="str">
        <x:v>사회·온라인문화</x:v>
      </x:c>
      <x:c r="D198" s="153" t="str">
        <x:v>밈·유행어</x:v>
      </x:c>
      <x:c r="E198" s="111" t="str">
        <x:v>가즈아</x:v>
      </x:c>
      <x:c r="F198" s="111" t="str">
        <x:v>가격 상승을 외치는 짧은 구호가 투자 밖의 응원·과장 표현으로까지 퍼졌다.</x:v>
      </x:c>
      <x:c r="G198" s="111" t="str">
        <x:v>커뮤니티·SNS</x:v>
      </x:c>
      <x:c r="H198" s="111" t="str">
        <x:v>연말 검색·플랫폼 결산 또는 동시기 보도에서 확산이 확인됨</x:v>
      </x:c>
      <x:c r="I198" s="141" t="str">
        <x:f>IF(J198&gt;0,"주가 반응 기록 있음","주가 미확인·연결 전")</x:f>
        <x:v>주가 미확인·연결 전</x:v>
      </x:c>
      <x:c r="J198" s="141" t="n">
        <x:f>COUNTIF('02_종목반응'!$B$6:$B$166,A198)</x:f>
        <x:v>0</x:v>
      </x:c>
      <x:c r="K198" s="111" t="str">
        <x:v>발화 → 검색·공유 증가 → 일상 언급·모방 → 관련 소비 탐색 → 관심 둔화</x:v>
      </x:c>
      <x:c r="L198" s="111" t="str">
        <x:v>S219;S220;S221;S237</x:v>
      </x:c>
    </x:row>
    <x:row r="199" ht="42" customHeight="1">
      <x:c r="A199" s="111" t="str">
        <x:v>TR2017-04</x:v>
      </x:c>
      <x:c r="B199" s="141" t="n">
        <x:v>2017</x:v>
      </x:c>
      <x:c r="C199" s="153" t="str">
        <x:v>사회·온라인문화</x:v>
      </x:c>
      <x:c r="D199" s="153" t="str">
        <x:v>밈·유행어</x:v>
      </x:c>
      <x:c r="E199" s="111" t="str">
        <x:v>급식체</x:v>
      </x:c>
      <x:c r="F199" s="111" t="str">
        <x:v>학생·게임방송 표현이 과장된 말투와 자막으로 모방됐다.</x:v>
      </x:c>
      <x:c r="G199" s="111" t="str">
        <x:v>유튜브·게임방송·커뮤니티</x:v>
      </x:c>
      <x:c r="H199" s="111" t="str">
        <x:v>연말 검색·플랫폼 결산 또는 동시기 보도에서 확산이 확인됨</x:v>
      </x:c>
      <x:c r="I199" s="141" t="str">
        <x:f>IF(J199&gt;0,"주가 반응 기록 있음","주가 미확인·연결 전")</x:f>
        <x:v>주가 미확인·연결 전</x:v>
      </x:c>
      <x:c r="J199" s="141" t="n">
        <x:f>COUNTIF('02_종목반응'!$B$6:$B$166,A199)</x:f>
        <x:v>0</x:v>
      </x:c>
      <x:c r="K199" s="111" t="str">
        <x:v>발화 → 검색·공유 증가 → 일상 언급·모방 → 관련 소비 탐색 → 관심 둔화</x:v>
      </x:c>
      <x:c r="L199" s="111" t="str">
        <x:v>S219;S220;S221;S237</x:v>
      </x:c>
    </x:row>
    <x:row r="200" ht="42" customHeight="1">
      <x:c r="A200" s="111" t="str">
        <x:v>TR2017-05</x:v>
      </x:c>
      <x:c r="B200" s="141" t="n">
        <x:v>2017</x:v>
      </x:c>
      <x:c r="C200" s="153" t="str">
        <x:v>사회·온라인문화</x:v>
      </x:c>
      <x:c r="D200" s="153" t="str">
        <x:v>밈·유행어</x:v>
      </x:c>
      <x:c r="E200" s="111" t="str">
        <x:v>야민정음</x:v>
      </x:c>
      <x:c r="F200" s="111" t="str">
        <x:v>글자 모양이 비슷한 한글을 바꿔 읽는 놀이가 이미지·댓글에 퍼졌다.</x:v>
      </x:c>
      <x:c r="G200" s="111" t="str">
        <x:v>커뮤니티·SNS</x:v>
      </x:c>
      <x:c r="H200" s="111" t="str">
        <x:v>연말 검색·플랫폼 결산 또는 동시기 보도에서 확산이 확인됨</x:v>
      </x:c>
      <x:c r="I200" s="141" t="str">
        <x:f>IF(J200&gt;0,"주가 반응 기록 있음","주가 미확인·연결 전")</x:f>
        <x:v>주가 미확인·연결 전</x:v>
      </x:c>
      <x:c r="J200" s="141" t="n">
        <x:f>COUNTIF('02_종목반응'!$B$6:$B$166,A200)</x:f>
        <x:v>0</x:v>
      </x:c>
      <x:c r="K200" s="111" t="str">
        <x:v>발화 → 검색·공유 증가 → 일상 언급·모방 → 관련 소비 탐색 → 관심 둔화</x:v>
      </x:c>
      <x:c r="L200" s="111" t="str">
        <x:v>S219;S220;S221;S237</x:v>
      </x:c>
    </x:row>
    <x:row r="201" ht="42" customHeight="1">
      <x:c r="A201" s="111" t="str">
        <x:v>TR2016-09</x:v>
      </x:c>
      <x:c r="B201" s="141" t="n">
        <x:v>2016</x:v>
      </x:c>
      <x:c r="C201" s="153" t="str">
        <x:v>식품·음료</x:v>
      </x:c>
      <x:c r="D201" s="153" t="str">
        <x:v>디저트·베이커리</x:v>
      </x:c>
      <x:c r="E201" s="111" t="str">
        <x:v>대왕카스테라</x:v>
      </x:c>
      <x:c r="F201" s="111" t="str">
        <x:v>큰 빵을 자르는 영상과 저렴한 가격이 창업·구매 열풍을 만들었다.</x:v>
      </x:c>
      <x:c r="G201" s="111" t="str">
        <x:v>페이스북 영상·상권·블로그</x:v>
      </x:c>
      <x:c r="H201" s="111" t="str">
        <x:v>연말 검색·플랫폼 결산 또는 동시기 보도에서 확산이 확인됨</x:v>
      </x:c>
      <x:c r="I201" s="141" t="str">
        <x:f>IF(J201&gt;0,"주가 반응 기록 있음","주가 미확인·연결 전")</x:f>
        <x:v>주가 미확인·연결 전</x:v>
      </x:c>
      <x:c r="J201" s="141" t="n">
        <x:f>COUNTIF('02_종목반응'!$B$6:$B$166,A201)</x:f>
        <x:v>0</x:v>
      </x:c>
      <x:c r="K201" s="111" t="str">
        <x:v>첫 노출 → 후기·인증 → 검색·품절 → 모방 제품 → 재구매 또는 소멸</x:v>
      </x:c>
      <x:c r="L201" s="111" t="str">
        <x:v>S217;S218;S237</x:v>
      </x:c>
    </x:row>
    <x:row r="202" ht="42" customHeight="1">
      <x:c r="A202" s="111" t="str">
        <x:v>TR2016-10</x:v>
      </x:c>
      <x:c r="B202" s="141" t="n">
        <x:v>2016</x:v>
      </x:c>
      <x:c r="C202" s="153" t="str">
        <x:v>식품·음료</x:v>
      </x:c>
      <x:c r="D202" s="153" t="str">
        <x:v>식품 유행 일반</x:v>
      </x:c>
      <x:c r="E202" s="111" t="str">
        <x:v>바나나맛 파이</x:v>
      </x:c>
      <x:c r="F202" s="111" t="str">
        <x:v>익숙한 과자에 바나나 맛을 결합한 한정·신제품 경쟁이 퍼졌다.</x:v>
      </x:c>
      <x:c r="G202" s="111" t="str">
        <x:v>편의점·SNS·블로그</x:v>
      </x:c>
      <x:c r="H202" s="111" t="str">
        <x:v>연말 검색·플랫폼 결산 또는 동시기 보도에서 확산이 확인됨</x:v>
      </x:c>
      <x:c r="I202" s="141" t="str">
        <x:f>IF(J202&gt;0,"주가 반응 기록 있음","주가 미확인·연결 전")</x:f>
        <x:v>주가 미확인·연결 전</x:v>
      </x:c>
      <x:c r="J202" s="141" t="n">
        <x:f>COUNTIF('02_종목반응'!$B$6:$B$166,A202)</x:f>
        <x:v>0</x:v>
      </x:c>
      <x:c r="K202" s="111" t="str">
        <x:v>첫 노출 → 후기·인증 → 검색·품절 → 모방 제품 → 재구매 또는 소멸</x:v>
      </x:c>
      <x:c r="L202" s="111" t="str">
        <x:v>S217;S218;S237</x:v>
      </x:c>
    </x:row>
    <x:row r="203" ht="42" customHeight="1">
      <x:c r="A203" s="111" t="str">
        <x:v>EV0023</x:v>
      </x:c>
      <x:c r="B203" s="141" t="n">
        <x:v>2016</x:v>
      </x:c>
      <x:c r="C203" s="153" t="str">
        <x:v>식품·음료</x:v>
      </x:c>
      <x:c r="D203" s="153" t="str">
        <x:v>식품 유행 일반</x:v>
      </x:c>
      <x:c r="E203" s="111" t="str">
        <x:v>허니버터칩 후광</x:v>
      </x:c>
      <x:c r="F203" s="111" t="str">
        <x:v>허니버터칩 품절 열풍이 같은 맛·원료를 연상시키는 제품과 기업으로 관심을 전이시켰다.</x:v>
      </x:c>
      <x:c r="G203" s="111" t="str">
        <x:v>SNS·블로그·검색·오프라인 구매</x:v>
      </x:c>
      <x:c r="H203" s="111" t="str">
        <x:v>대표 방향 상승 | 가격·반응 상장 7일 만에 공모가의 4.5배 | 단일 핵심 출처</x:v>
      </x:c>
      <x:c r="I203" s="141" t="str">
        <x:f>IF(J203&gt;0,"주가 반응 기록 있음","주가 미확인·연결 전")</x:f>
        <x:v>주가 반응 기록 있음</x:v>
      </x:c>
      <x:c r="J203" s="141" t="n">
        <x:f>COUNTIF('02_종목반응'!$B$6:$B$166,A203)</x:f>
        <x:v>1</x:v>
      </x:c>
      <x:c r="K203" s="111" t="str">
        <x:v>제품 노출 → 후기·인증 확산 → 품절·검색 급증 → 관련 기업 주가 반응 → 재구매 검증</x:v>
      </x:c>
      <x:c r="L203" s="111" t="str">
        <x:v>S63</x:v>
      </x:c>
    </x:row>
    <x:row r="204" ht="42" customHeight="1">
      <x:c r="A204" s="111" t="str">
        <x:v>TR2016-13</x:v>
      </x:c>
      <x:c r="B204" s="141" t="n">
        <x:v>2016</x:v>
      </x:c>
      <x:c r="C204" s="153" t="str">
        <x:v>식품·음료</x:v>
      </x:c>
      <x:c r="D204" s="153" t="str">
        <x:v>외식·프랜차이즈</x:v>
      </x:c>
      <x:c r="E204" s="111" t="str">
        <x:v>혼밥·혼술</x:v>
      </x:c>
      <x:c r="F204" s="111" t="str">
        <x:v>1인 가구 증가와 개인 소비를 긍정적으로 부르는 언어가 결합됐다.</x:v>
      </x:c>
      <x:c r="G204" s="111" t="str">
        <x:v>방송·블로그·커뮤니티</x:v>
      </x:c>
      <x:c r="H204" s="111" t="str">
        <x:v>연말 검색·플랫폼 결산 또는 동시기 보도에서 확산이 확인됨</x:v>
      </x:c>
      <x:c r="I204" s="141" t="str">
        <x:f>IF(J204&gt;0,"주가 반응 기록 있음","주가 미확인·연결 전")</x:f>
        <x:v>주가 미확인·연결 전</x:v>
      </x:c>
      <x:c r="J204" s="141" t="n">
        <x:f>COUNTIF('02_종목반응'!$B$6:$B$166,A204)</x:f>
        <x:v>0</x:v>
      </x:c>
      <x:c r="K204" s="111" t="str">
        <x:v>발화 → 검색·공유 증가 → 일상 언급·모방 → 관련 소비 탐색 → 관심 둔화</x:v>
      </x:c>
      <x:c r="L204" s="111" t="str">
        <x:v>S217;S218;S237</x:v>
      </x:c>
    </x:row>
    <x:row r="205" ht="42" customHeight="1">
      <x:c r="A205" s="111" t="str">
        <x:v>TR2016-02</x:v>
      </x:c>
      <x:c r="B205" s="141" t="n">
        <x:v>2016</x:v>
      </x:c>
      <x:c r="C205" s="153" t="str">
        <x:v>콘텐츠·엔터</x:v>
      </x:c>
      <x:c r="D205" s="153" t="str">
        <x:v>드라마·OTT</x:v>
      </x:c>
      <x:c r="E205" s="111" t="str">
        <x:v>도깨비</x:v>
      </x:c>
      <x:c r="F205" s="111" t="str">
        <x:v>대사·의상·OST·촬영지가 짤과 따라 하기 소비로 이어졌다.</x:v>
      </x:c>
      <x:c r="G205" s="111" t="str">
        <x:v>TV·SNS·음원</x:v>
      </x:c>
      <x:c r="H205" s="111" t="str">
        <x:v>연말 검색·플랫폼 결산 또는 동시기 보도에서 확산이 확인됨</x:v>
      </x:c>
      <x:c r="I205" s="141" t="str">
        <x:f>IF(J205&gt;0,"주가 반응 기록 있음","주가 미확인·연결 전")</x:f>
        <x:v>주가 미확인·연결 전</x:v>
      </x:c>
      <x:c r="J205" s="141" t="n">
        <x:f>COUNTIF('02_종목반응'!$B$6:$B$166,A205)</x:f>
        <x:v>0</x:v>
      </x:c>
      <x:c r="K205" s="111" t="str">
        <x:v>공개·방영 → 클립·검색 증가 → 팬덤·패러디 → 소비 확장 → 후속 관심</x:v>
      </x:c>
      <x:c r="L205" s="111" t="str">
        <x:v>S217;S218;S237</x:v>
      </x:c>
    </x:row>
    <x:row r="206" ht="42" customHeight="1">
      <x:c r="A206" s="111" t="str">
        <x:v>TR2016-01</x:v>
      </x:c>
      <x:c r="B206" s="141" t="n">
        <x:v>2016</x:v>
      </x:c>
      <x:c r="C206" s="153" t="str">
        <x:v>콘텐츠·엔터</x:v>
      </x:c>
      <x:c r="D206" s="153" t="str">
        <x:v>드라마·OTT</x:v>
      </x:c>
      <x:c r="E206" s="111" t="str">
        <x:v>태양의 후예</x:v>
      </x:c>
      <x:c r="F206" s="111" t="str">
        <x:v>동시 방영과 배우·OST 팬덤이 국내외 검색과 촬영지 관심을 키웠다.</x:v>
      </x:c>
      <x:c r="G206" s="111" t="str">
        <x:v>TV·유튜브·해외 SNS</x:v>
      </x:c>
      <x:c r="H206" s="111" t="str">
        <x:v>연말 검색·플랫폼 결산 또는 동시기 보도에서 확산이 확인됨</x:v>
      </x:c>
      <x:c r="I206" s="141" t="str">
        <x:f>IF(J206&gt;0,"주가 반응 기록 있음","주가 미확인·연결 전")</x:f>
        <x:v>주가 미확인·연결 전</x:v>
      </x:c>
      <x:c r="J206" s="141" t="n">
        <x:f>COUNTIF('02_종목반응'!$B$6:$B$166,A206)</x:f>
        <x:v>0</x:v>
      </x:c>
      <x:c r="K206" s="111" t="str">
        <x:v>공개·방영 → 클립·검색 증가 → 팬덤·패러디 → 소비 확장 → 후속 관심</x:v>
      </x:c>
      <x:c r="L206" s="111" t="str">
        <x:v>S217;S218;S237</x:v>
      </x:c>
    </x:row>
    <x:row r="207" ht="42" customHeight="1">
      <x:c r="A207" s="111" t="str">
        <x:v>EV0022</x:v>
      </x:c>
      <x:c r="B207" s="141" t="n">
        <x:v>2016</x:v>
      </x:c>
      <x:c r="C207" s="153" t="str">
        <x:v>콘텐츠·엔터</x:v>
      </x:c>
      <x:c r="D207" s="153" t="str">
        <x:v>드라마·OTT</x:v>
      </x:c>
      <x:c r="E207" s="111" t="str">
        <x:v>태양의 후예 신드롬</x:v>
      </x:c>
      <x:c r="F207" s="111" t="str">
        <x:v>한중 동시방영과 송중기·송혜교 팬덤, 유행어·장면 공유가 SNS에서 폭발하며 시청률과 해외 판권 기대가 동반 확산됐다.</x:v>
      </x:c>
      <x:c r="G207" s="111" t="str">
        <x:v>SNS·커뮤니티·숏폼</x:v>
      </x:c>
      <x:c r="H207" s="111" t="str">
        <x:v>대표 방향 상승 | 가격·반응 첫 방송 뒤 약 3주간 NEW 48.34% 상승 | 단일 핵심 출처</x:v>
      </x:c>
      <x:c r="I207" s="141" t="str">
        <x:f>IF(J207&gt;0,"주가 반응 기록 있음","주가 미확인·연결 전")</x:f>
        <x:v>주가 반응 기록 있음</x:v>
      </x:c>
      <x:c r="J207" s="141" t="n">
        <x:f>COUNTIF('02_종목반응'!$B$6:$B$166,A207)</x:f>
        <x:v>1</x:v>
      </x:c>
      <x:c r="K207" s="111" t="str">
        <x:v>첫 방송 → 명대사·장면 확산 → 중국 조회수 급증 → 일본 수출 → NEW 급등</x:v>
      </x:c>
      <x:c r="L207" s="111" t="str">
        <x:v>S145</x:v>
      </x:c>
    </x:row>
    <x:row r="208" ht="42" customHeight="1">
      <x:c r="A208" s="111" t="str">
        <x:v>TR2016-03</x:v>
      </x:c>
      <x:c r="B208" s="141" t="n">
        <x:v>2016</x:v>
      </x:c>
      <x:c r="C208" s="153" t="str">
        <x:v>콘텐츠·엔터</x:v>
      </x:c>
      <x:c r="D208" s="153" t="str">
        <x:v>영화·애니메이션</x:v>
      </x:c>
      <x:c r="E208" s="111" t="str">
        <x:v>아가씨</x:v>
      </x:c>
      <x:c r="F208" s="111" t="str">
        <x:v>강한 미장센과 서사가 리뷰·해석·배우 검색을 모았다.</x:v>
      </x:c>
      <x:c r="G208" s="111" t="str">
        <x:v>극장·포털·커뮤니티</x:v>
      </x:c>
      <x:c r="H208" s="111" t="str">
        <x:v>연말 검색·플랫폼 결산 또는 동시기 보도에서 확산이 확인됨</x:v>
      </x:c>
      <x:c r="I208" s="141" t="str">
        <x:f>IF(J208&gt;0,"주가 반응 기록 있음","주가 미확인·연결 전")</x:f>
        <x:v>주가 미확인·연결 전</x:v>
      </x:c>
      <x:c r="J208" s="141" t="n">
        <x:f>COUNTIF('02_종목반응'!$B$6:$B$166,A208)</x:f>
        <x:v>0</x:v>
      </x:c>
      <x:c r="K208" s="111" t="str">
        <x:v>공개·방영 → 클립·검색 증가 → 팬덤·패러디 → 소비 확장 → 후속 관심</x:v>
      </x:c>
      <x:c r="L208" s="111" t="str">
        <x:v>S217;S218;S237</x:v>
      </x:c>
    </x:row>
    <x:row r="209" ht="42" customHeight="1">
      <x:c r="A209" s="111" t="str">
        <x:v>TR2016-08</x:v>
      </x:c>
      <x:c r="B209" s="141" t="n">
        <x:v>2016</x:v>
      </x:c>
      <x:c r="C209" s="153" t="str">
        <x:v>콘텐츠·엔터</x:v>
      </x:c>
      <x:c r="D209" s="153" t="str">
        <x:v>음악·댄스</x:v>
      </x:c>
      <x:c r="E209" s="111" t="str">
        <x:v>PPAP</x:v>
      </x:c>
      <x:c r="F209" s="111" t="str">
        <x:v>짧고 기묘한 노래와 동작이 언어 장벽 없이 복제됐다.</x:v>
      </x:c>
      <x:c r="G209" s="111" t="str">
        <x:v>유튜브·페이스북</x:v>
      </x:c>
      <x:c r="H209" s="111" t="str">
        <x:v>연말 검색·플랫폼 결산 또는 동시기 보도에서 확산이 확인됨</x:v>
      </x:c>
      <x:c r="I209" s="141" t="str">
        <x:f>IF(J209&gt;0,"주가 반응 기록 있음","주가 미확인·연결 전")</x:f>
        <x:v>주가 미확인·연결 전</x:v>
      </x:c>
      <x:c r="J209" s="141" t="n">
        <x:f>COUNTIF('02_종목반응'!$B$6:$B$166,A209)</x:f>
        <x:v>0</x:v>
      </x:c>
      <x:c r="K209" s="111" t="str">
        <x:v>발화 → 검색·공유 증가 → 일상 언급·모방 → 관련 소비 탐색 → 관심 둔화</x:v>
      </x:c>
      <x:c r="L209" s="111" t="str">
        <x:v>S217;S218;S237</x:v>
      </x:c>
    </x:row>
    <x:row r="210" ht="42" customHeight="1">
      <x:c r="A210" s="111" t="str">
        <x:v>TR2016-06</x:v>
      </x:c>
      <x:c r="B210" s="141" t="n">
        <x:v>2016</x:v>
      </x:c>
      <x:c r="C210" s="153" t="str">
        <x:v>디지털·플랫폼</x:v>
      </x:c>
      <x:c r="D210" s="153" t="str">
        <x:v>AI·생성형</x:v>
      </x:c>
      <x:c r="E210" s="111" t="str">
        <x:v>알파고 바둑</x:v>
      </x:c>
      <x:c r="F210" s="111" t="str">
        <x:v>인간 챔피언과 AI의 대결이 기술의 능력과 미래에 대한 대중 토론을 만들었다.</x:v>
      </x:c>
      <x:c r="G210" s="111" t="str">
        <x:v>TV·포털·커뮤니티</x:v>
      </x:c>
      <x:c r="H210" s="111" t="str">
        <x:v>연말 검색·플랫폼 결산 또는 동시기 보도에서 확산이 확인됨</x:v>
      </x:c>
      <x:c r="I210" s="141" t="str">
        <x:f>IF(J210&gt;0,"주가 반응 기록 있음","주가 미확인·연결 전")</x:f>
        <x:v>주가 미확인·연결 전</x:v>
      </x:c>
      <x:c r="J210" s="141" t="n">
        <x:f>COUNTIF('02_종목반응'!$B$6:$B$166,A210)</x:f>
        <x:v>0</x:v>
      </x:c>
      <x:c r="K210" s="111" t="str">
        <x:v>발화 → 검색·공유 증가 → 일상 언급·모방 → 관련 소비 탐색 → 관심 둔화</x:v>
      </x:c>
      <x:c r="L210" s="111" t="str">
        <x:v>S217;S218;S237</x:v>
      </x:c>
    </x:row>
    <x:row r="211" ht="42" customHeight="1">
      <x:c r="A211" s="111" t="str">
        <x:v>TR2016-07</x:v>
      </x:c>
      <x:c r="B211" s="141" t="n">
        <x:v>2016</x:v>
      </x:c>
      <x:c r="C211" s="153" t="str">
        <x:v>디지털·플랫폼</x:v>
      </x:c>
      <x:c r="D211" s="153" t="str">
        <x:v>SNS·커뮤니티</x:v>
      </x:c>
      <x:c r="E211" s="111" t="str">
        <x:v>마네킹 챌린지</x:v>
      </x:c>
      <x:c r="F211" s="111" t="str">
        <x:v>여럿이 정지한 장면을 한 번에 촬영하는 규칙이 단체 참여에 적합했다.</x:v>
      </x:c>
      <x:c r="G211" s="111" t="str">
        <x:v>유튜브·인스타그램·트위터</x:v>
      </x:c>
      <x:c r="H211" s="111" t="str">
        <x:v>연말 검색·플랫폼 결산 또는 동시기 보도에서 확산이 확인됨</x:v>
      </x:c>
      <x:c r="I211" s="141" t="str">
        <x:f>IF(J211&gt;0,"주가 반응 기록 있음","주가 미확인·연결 전")</x:f>
        <x:v>주가 미확인·연결 전</x:v>
      </x:c>
      <x:c r="J211" s="141" t="n">
        <x:f>COUNTIF('02_종목반응'!$B$6:$B$166,A211)</x:f>
        <x:v>0</x:v>
      </x:c>
      <x:c r="K211" s="111" t="str">
        <x:v>원본 게시 → 따라 하기 → 해시태그 확산 → 변형·패러디 → 관심 둔화</x:v>
      </x:c>
      <x:c r="L211" s="111" t="str">
        <x:v>S217;S218;S237</x:v>
      </x:c>
    </x:row>
    <x:row r="212" ht="42" customHeight="1">
      <x:c r="A212" s="111" t="str">
        <x:v>TR2016-05</x:v>
      </x:c>
      <x:c r="B212" s="141" t="n">
        <x:v>2016</x:v>
      </x:c>
      <x:c r="C212" s="153" t="str">
        <x:v>게임·e스포츠</x:v>
      </x:c>
      <x:c r="D212" s="153" t="str">
        <x:v>모바일게임</x:v>
      </x:c>
      <x:c r="E212" s="111" t="str">
        <x:v>포켓몬고</x:v>
      </x:c>
      <x:c r="F212" s="111" t="str">
        <x:v>증강현실 수집과 장소 방문이 현실 이동·인증샷을 결합했다.</x:v>
      </x:c>
      <x:c r="G212" s="111" t="str">
        <x:v>모바일·지도·SNS</x:v>
      </x:c>
      <x:c r="H212" s="111" t="str">
        <x:v>연말 검색·플랫폼 결산 또는 동시기 보도에서 확산이 확인됨</x:v>
      </x:c>
      <x:c r="I212" s="141" t="str">
        <x:f>IF(J212&gt;0,"주가 반응 기록 있음","주가 미확인·연결 전")</x:f>
        <x:v>주가 미확인·연결 전</x:v>
      </x:c>
      <x:c r="J212" s="141" t="n">
        <x:f>COUNTIF('02_종목반응'!$B$6:$B$166,A212)</x:f>
        <x:v>0</x:v>
      </x:c>
      <x:c r="K212" s="111" t="str">
        <x:v>출시·발견 → 이용자 유입 → 공유·경쟁 → 대중화 → 후속 서비스</x:v>
      </x:c>
      <x:c r="L212" s="111" t="str">
        <x:v>S217;S218;S237</x:v>
      </x:c>
    </x:row>
    <x:row r="213" ht="42" customHeight="1">
      <x:c r="A213" s="111" t="str">
        <x:v>TR2016-04</x:v>
      </x:c>
      <x:c r="B213" s="141" t="n">
        <x:v>2016</x:v>
      </x:c>
      <x:c r="C213" s="153" t="str">
        <x:v>게임·e스포츠</x:v>
      </x:c>
      <x:c r="D213" s="153" t="str">
        <x:v>e스포츠·스트리밍</x:v>
      </x:c>
      <x:c r="E213" s="111" t="str">
        <x:v>오버워치</x:v>
      </x:c>
      <x:c r="F213" s="111" t="str">
        <x:v>팀 기반 영웅 플레이와 방송 클립이 PC방 점유율 경쟁을 만들었다.</x:v>
      </x:c>
      <x:c r="G213" s="111" t="str">
        <x:v>PC방·유튜브·트위치</x:v>
      </x:c>
      <x:c r="H213" s="111" t="str">
        <x:v>연말 검색·플랫폼 결산 또는 동시기 보도에서 확산이 확인됨</x:v>
      </x:c>
      <x:c r="I213" s="141" t="str">
        <x:f>IF(J213&gt;0,"주가 반응 기록 있음","주가 미확인·연결 전")</x:f>
        <x:v>주가 미확인·연결 전</x:v>
      </x:c>
      <x:c r="J213" s="141" t="n">
        <x:f>COUNTIF('02_종목반응'!$B$6:$B$166,A213)</x:f>
        <x:v>0</x:v>
      </x:c>
      <x:c r="K213" s="111" t="str">
        <x:v>출시·발견 → 이용자 유입 → 공유·경쟁 → 대중화 → 후속 서비스</x:v>
      </x:c>
      <x:c r="L213" s="111" t="str">
        <x:v>S217;S218;S237</x:v>
      </x:c>
    </x:row>
    <x:row r="214" ht="42" customHeight="1">
      <x:c r="A214" s="111" t="str">
        <x:v>TR2016-12</x:v>
      </x:c>
      <x:c r="B214" s="141" t="n">
        <x:v>2016</x:v>
      </x:c>
      <x:c r="C214" s="153" t="str">
        <x:v>패션·뷰티</x:v>
      </x:c>
      <x:c r="D214" s="153" t="str">
        <x:v>뷰티·화장품</x:v>
      </x:c>
      <x:c r="E214" s="111" t="str">
        <x:v>스냅챗 강아지 필터</x:v>
      </x:c>
      <x:c r="F214" s="111" t="str">
        <x:v>얼굴 추적 귀·혀 효과가 즉시 알아볼 수 있는 셀카 밈이 됐다.</x:v>
      </x:c>
      <x:c r="G214" s="111" t="str">
        <x:v>스냅챗·인스타그램</x:v>
      </x:c>
      <x:c r="H214" s="111" t="str">
        <x:v>연말 검색·플랫폼 결산 또는 동시기 보도에서 확산이 확인됨</x:v>
      </x:c>
      <x:c r="I214" s="141" t="str">
        <x:f>IF(J214&gt;0,"주가 반응 기록 있음","주가 미확인·연결 전")</x:f>
        <x:v>주가 미확인·연결 전</x:v>
      </x:c>
      <x:c r="J214" s="141" t="n">
        <x:f>COUNTIF('02_종목반응'!$B$6:$B$166,A214)</x:f>
        <x:v>0</x:v>
      </x:c>
      <x:c r="K214" s="111" t="str">
        <x:v>발화 → 검색·공유 증가 → 일상 언급·모방 → 관련 소비 탐색 → 관심 둔화</x:v>
      </x:c>
      <x:c r="L214" s="111" t="str">
        <x:v>S217;S218;S237</x:v>
      </x:c>
    </x:row>
    <x:row r="215" ht="42" customHeight="1">
      <x:c r="A215" s="111" t="str">
        <x:v>TR2016-11</x:v>
      </x:c>
      <x:c r="B215" s="141" t="n">
        <x:v>2016</x:v>
      </x:c>
      <x:c r="C215" s="153" t="str">
        <x:v>패션·뷰티</x:v>
      </x:c>
      <x:c r="D215" s="153" t="str">
        <x:v>뷰티·화장품</x:v>
      </x:c>
      <x:c r="E215" s="111" t="str">
        <x:v>초커 목걸이</x:v>
      </x:c>
      <x:c r="F215" s="111" t="str">
        <x:v>1990년대 복고 액세서리가 셀럽 스타일을 통해 재유행했다.</x:v>
      </x:c>
      <x:c r="G215" s="111" t="str">
        <x:v>인스타그램·아이돌 무대</x:v>
      </x:c>
      <x:c r="H215" s="111" t="str">
        <x:v>연말 검색·플랫폼 결산 또는 동시기 보도에서 확산이 확인됨</x:v>
      </x:c>
      <x:c r="I215" s="141" t="str">
        <x:f>IF(J215&gt;0,"주가 반응 기록 있음","주가 미확인·연결 전")</x:f>
        <x:v>주가 미확인·연결 전</x:v>
      </x:c>
      <x:c r="J215" s="141" t="n">
        <x:f>COUNTIF('02_종목반응'!$B$6:$B$166,A215)</x:f>
        <x:v>0</x:v>
      </x:c>
      <x:c r="K215" s="111" t="str">
        <x:v>첫 노출 → 후기·인증 → 검색·품절 → 모방 제품 → 재구매 또는 소멸</x:v>
      </x:c>
      <x:c r="L215" s="111" t="str">
        <x:v>S217;S218;S237</x:v>
      </x:c>
    </x:row>
    <x:row r="216" ht="42" customHeight="1">
      <x:c r="A216" s="111" t="str">
        <x:v>EV0021</x:v>
      </x:c>
      <x:c r="B216" s="141" t="n">
        <x:v>2016</x:v>
      </x:c>
      <x:c r="C216" s="153" t="str">
        <x:v>금융·시장현상</x:v>
      </x:c>
      <x:c r="D216" s="153" t="str">
        <x:v>품절주·수급</x:v>
      </x:c>
      <x:c r="E216" s="111" t="str">
        <x:v>코데즈컴바인 품절주 광풍</x:v>
      </x:c>
      <x:c r="F216" s="111" t="str">
        <x:v>유통주식이 0.7%에 불과한 종목의 이유 없는 급등이 포털 실시간 뉴스와 커뮤니티 호기심을 자극해 추종매매가 몰렸다.</x:v>
      </x:c>
      <x:c r="G216" s="111" t="str">
        <x:v>SNS·블로그·검색·오프라인 구매</x:v>
      </x:c>
      <x:c r="H216" s="111" t="str">
        <x:v>대표 방향 급등→급락 | 가격·반응 2만5천원대에서 15만1천원까지 약 6배 뒤 급락 | 복수 출처 교차확인</x:v>
      </x:c>
      <x:c r="I216" s="141" t="str">
        <x:f>IF(J216&gt;0,"주가 반응 기록 있음","주가 미확인·연결 전")</x:f>
        <x:v>주가 반응 기록 있음</x:v>
      </x:c>
      <x:c r="J216" s="141" t="n">
        <x:f>COUNTIF('02_종목반응'!$B$6:$B$166,A216)</x:f>
        <x:v>1</x:v>
      </x:c>
      <x:c r="K216" s="111" t="str">
        <x:v>저유통 구조 → 9일 급등 → 코스닥 시총 2위 → 거래정지·조사 → 급락·해프닝 결론</x:v>
      </x:c>
      <x:c r="L216" s="111" t="str">
        <x:v>S162;S163</x:v>
      </x:c>
    </x:row>
    <x:row r="217" ht="42" customHeight="1">
      <x:c r="A217" s="111" t="str">
        <x:v>TR2015-09</x:v>
      </x:c>
      <x:c r="B217" s="141" t="n">
        <x:v>2015</x:v>
      </x:c>
      <x:c r="C217" s="153" t="str">
        <x:v>식품·음료</x:v>
      </x:c>
      <x:c r="D217" s="153" t="str">
        <x:v>간편식·스낵</x:v>
      </x:c>
      <x:c r="E217" s="111" t="str">
        <x:v>굵은 면발 라면</x:v>
      </x:c>
      <x:c r="F217" s="111" t="str">
        <x:v>기존 라면과 다른 식감 경쟁이 비교 시식과 구매를 만들었다.</x:v>
      </x:c>
      <x:c r="G217" s="111" t="str">
        <x:v>TV 광고·마트·블로그</x:v>
      </x:c>
      <x:c r="H217" s="111" t="str">
        <x:v>연말 검색·플랫폼 결산 또는 동시기 보도에서 확산이 확인됨</x:v>
      </x:c>
      <x:c r="I217" s="141" t="str">
        <x:f>IF(J217&gt;0,"주가 반응 기록 있음","주가 미확인·연결 전")</x:f>
        <x:v>주가 미확인·연결 전</x:v>
      </x:c>
      <x:c r="J217" s="141" t="n">
        <x:f>COUNTIF('02_종목반응'!$B$6:$B$166,A217)</x:f>
        <x:v>0</x:v>
      </x:c>
      <x:c r="K217" s="111" t="str">
        <x:v>첫 노출 → 후기·인증 → 검색·품절 → 모방 제품 → 재구매 또는 소멸</x:v>
      </x:c>
      <x:c r="L217" s="111" t="str">
        <x:v>S215;S216;S237</x:v>
      </x:c>
    </x:row>
    <x:row r="218" ht="42" customHeight="1">
      <x:c r="A218" s="111" t="str">
        <x:v>TR2015-12</x:v>
      </x:c>
      <x:c r="B218" s="141" t="n">
        <x:v>2015</x:v>
      </x:c>
      <x:c r="C218" s="153" t="str">
        <x:v>식품·음료</x:v>
      </x:c>
      <x:c r="D218" s="153" t="str">
        <x:v>레시피·홈카페</x:v>
      </x:c>
      <x:c r="E218" s="111" t="str">
        <x:v>집밥 백선생 레시피</x:v>
      </x:c>
      <x:c r="F218" s="111" t="str">
        <x:v>쉽고 저렴한 집밥 조리법이 검색과 따라 만들기를 늘렸다.</x:v>
      </x:c>
      <x:c r="G218" s="111" t="str">
        <x:v>TV·블로그·유튜브</x:v>
      </x:c>
      <x:c r="H218" s="111" t="str">
        <x:v>연말 검색·플랫폼 결산 또는 동시기 보도에서 확산이 확인됨</x:v>
      </x:c>
      <x:c r="I218" s="141" t="str">
        <x:f>IF(J218&gt;0,"주가 반응 기록 있음","주가 미확인·연결 전")</x:f>
        <x:v>주가 미확인·연결 전</x:v>
      </x:c>
      <x:c r="J218" s="141" t="n">
        <x:f>COUNTIF('02_종목반응'!$B$6:$B$166,A218)</x:f>
        <x:v>0</x:v>
      </x:c>
      <x:c r="K218" s="111" t="str">
        <x:v>공개·방영 → 클립·검색 증가 → 팬덤·패러디 → 소비 확장 → 후속 관심</x:v>
      </x:c>
      <x:c r="L218" s="111" t="str">
        <x:v>S215;S216;S237</x:v>
      </x:c>
    </x:row>
    <x:row r="219" ht="42" customHeight="1">
      <x:c r="A219" s="111" t="str">
        <x:v>TR2015-04</x:v>
      </x:c>
      <x:c r="B219" s="141" t="n">
        <x:v>2015</x:v>
      </x:c>
      <x:c r="C219" s="153" t="str">
        <x:v>식품·음료</x:v>
      </x:c>
      <x:c r="D219" s="153" t="str">
        <x:v>레시피·홈카페</x:v>
      </x:c>
      <x:c r="E219" s="111" t="str">
        <x:v>쿡방·냉장고를 부탁해</x:v>
      </x:c>
      <x:c r="F219" s="111" t="str">
        <x:v>짧은 조리 대결과 따라 하기 쉬운 레시피가 집밥 관심을 키웠다.</x:v>
      </x:c>
      <x:c r="G219" s="111" t="str">
        <x:v>TV·블로그·SNS</x:v>
      </x:c>
      <x:c r="H219" s="111" t="str">
        <x:v>연말 검색·플랫폼 결산 또는 동시기 보도에서 확산이 확인됨</x:v>
      </x:c>
      <x:c r="I219" s="141" t="str">
        <x:f>IF(J219&gt;0,"주가 반응 기록 있음","주가 미확인·연결 전")</x:f>
        <x:v>주가 미확인·연결 전</x:v>
      </x:c>
      <x:c r="J219" s="141" t="n">
        <x:f>COUNTIF('02_종목반응'!$B$6:$B$166,A219)</x:f>
        <x:v>0</x:v>
      </x:c>
      <x:c r="K219" s="111" t="str">
        <x:v>공개·방영 → 클립·검색 증가 → 팬덤·패러디 → 소비 확장 → 후속 관심</x:v>
      </x:c>
      <x:c r="L219" s="111" t="str">
        <x:v>S215;S216;S237</x:v>
      </x:c>
    </x:row>
    <x:row r="220" ht="42" customHeight="1">
      <x:c r="A220" s="111" t="str">
        <x:v>TR2015-08</x:v>
      </x:c>
      <x:c r="B220" s="141" t="n">
        <x:v>2015</x:v>
      </x:c>
      <x:c r="C220" s="153" t="str">
        <x:v>식품·음료</x:v>
      </x:c>
      <x:c r="D220" s="153" t="str">
        <x:v>외식·프랜차이즈</x:v>
      </x:c>
      <x:c r="E220" s="111" t="str">
        <x:v>시카고피자</x:v>
      </x:c>
      <x:c r="F220" s="111" t="str">
        <x:v>두꺼운 치즈 단면이 사진과 먹방에서 강한 시각 효과를 냈다.</x:v>
      </x:c>
      <x:c r="G220" s="111" t="str">
        <x:v>인스타그램·블로그</x:v>
      </x:c>
      <x:c r="H220" s="111" t="str">
        <x:v>연말 검색·플랫폼 결산 또는 동시기 보도에서 확산이 확인됨</x:v>
      </x:c>
      <x:c r="I220" s="141" t="str">
        <x:f>IF(J220&gt;0,"주가 반응 기록 있음","주가 미확인·연결 전")</x:f>
        <x:v>주가 미확인·연결 전</x:v>
      </x:c>
      <x:c r="J220" s="141" t="n">
        <x:f>COUNTIF('02_종목반응'!$B$6:$B$166,A220)</x:f>
        <x:v>0</x:v>
      </x:c>
      <x:c r="K220" s="111" t="str">
        <x:v>첫 노출 → 후기·인증 → 검색·품절 → 모방 제품 → 재구매 또는 소멸</x:v>
      </x:c>
      <x:c r="L220" s="111" t="str">
        <x:v>S215;S216;S237</x:v>
      </x:c>
    </x:row>
    <x:row r="221" ht="42" customHeight="1">
      <x:c r="A221" s="111" t="str">
        <x:v>TR2015-07</x:v>
      </x:c>
      <x:c r="B221" s="141" t="n">
        <x:v>2015</x:v>
      </x:c>
      <x:c r="C221" s="153" t="str">
        <x:v>식품·음료</x:v>
      </x:c>
      <x:c r="D221" s="153" t="str">
        <x:v>외식·프랜차이즈</x:v>
      </x:c>
      <x:c r="E221" s="111" t="str">
        <x:v>양꼬치 대중화</x:v>
      </x:c>
      <x:c r="F221" s="111" t="str">
        <x:v>색다른 향신료와 맥주 조합이 회식·맛집 콘텐츠로 확산됐다.</x:v>
      </x:c>
      <x:c r="G221" s="111" t="str">
        <x:v>블로그·방송·상권</x:v>
      </x:c>
      <x:c r="H221" s="111" t="str">
        <x:v>연말 검색·플랫폼 결산 또는 동시기 보도에서 확산이 확인됨</x:v>
      </x:c>
      <x:c r="I221" s="141" t="str">
        <x:f>IF(J221&gt;0,"주가 반응 기록 있음","주가 미확인·연결 전")</x:f>
        <x:v>주가 미확인·연결 전</x:v>
      </x:c>
      <x:c r="J221" s="141" t="n">
        <x:f>COUNTIF('02_종목반응'!$B$6:$B$166,A221)</x:f>
        <x:v>0</x:v>
      </x:c>
      <x:c r="K221" s="111" t="str">
        <x:v>첫 노출 → 후기·인증 → 검색·품절 → 모방 제품 → 재구매 또는 소멸</x:v>
      </x:c>
      <x:c r="L221" s="111" t="str">
        <x:v>S215;S216;S237</x:v>
      </x:c>
    </x:row>
    <x:row r="222" ht="42" customHeight="1">
      <x:c r="A222" s="111" t="str">
        <x:v>TR2015-06</x:v>
      </x:c>
      <x:c r="B222" s="141" t="n">
        <x:v>2015</x:v>
      </x:c>
      <x:c r="C222" s="153" t="str">
        <x:v>식품·음료</x:v>
      </x:c>
      <x:c r="D222" s="153" t="str">
        <x:v>외식·프랜차이즈</x:v>
      </x:c>
      <x:c r="E222" s="111" t="str">
        <x:v>쥬씨 생과일주스</x:v>
      </x:c>
      <x:c r="F222" s="111" t="str">
        <x:v>큰 용량과 낮은 가격이 가성비 후기로 빠르게 퍼졌다.</x:v>
      </x:c>
      <x:c r="G222" s="111" t="str">
        <x:v>상권·블로그·SNS</x:v>
      </x:c>
      <x:c r="H222" s="111" t="str">
        <x:v>연말 검색·플랫폼 결산 또는 동시기 보도에서 확산이 확인됨</x:v>
      </x:c>
      <x:c r="I222" s="141" t="str">
        <x:f>IF(J222&gt;0,"주가 반응 기록 있음","주가 미확인·연결 전")</x:f>
        <x:v>주가 미확인·연결 전</x:v>
      </x:c>
      <x:c r="J222" s="141" t="n">
        <x:f>COUNTIF('02_종목반응'!$B$6:$B$166,A222)</x:f>
        <x:v>0</x:v>
      </x:c>
      <x:c r="K222" s="111" t="str">
        <x:v>첫 노출 → 후기·인증 → 검색·품절 → 모방 제품 → 재구매 또는 소멸</x:v>
      </x:c>
      <x:c r="L222" s="111" t="str">
        <x:v>S215;S216;S237</x:v>
      </x:c>
    </x:row>
    <x:row r="223" ht="42" customHeight="1">
      <x:c r="A223" s="111" t="str">
        <x:v>TR2015-05</x:v>
      </x:c>
      <x:c r="B223" s="141" t="n">
        <x:v>2015</x:v>
      </x:c>
      <x:c r="C223" s="153" t="str">
        <x:v>식품·음료</x:v>
      </x:c>
      <x:c r="D223" s="153" t="str">
        <x:v>음료·주류</x:v>
      </x:c>
      <x:c r="E223" s="111" t="str">
        <x:v>과일소주</x:v>
      </x:c>
      <x:c r="F223" s="111" t="str">
        <x:v>달콤한 맛과 색상이 젊은 층의 인증·체험 소비를 자극했다.</x:v>
      </x:c>
      <x:c r="G223" s="111" t="str">
        <x:v>SNS·주점·편의점</x:v>
      </x:c>
      <x:c r="H223" s="111" t="str">
        <x:v>연말 검색·플랫폼 결산 또는 동시기 보도에서 확산이 확인됨</x:v>
      </x:c>
      <x:c r="I223" s="141" t="str">
        <x:f>IF(J223&gt;0,"주가 반응 기록 있음","주가 미확인·연결 전")</x:f>
        <x:v>주가 미확인·연결 전</x:v>
      </x:c>
      <x:c r="J223" s="141" t="n">
        <x:f>COUNTIF('02_종목반응'!$B$6:$B$166,A223)</x:f>
        <x:v>0</x:v>
      </x:c>
      <x:c r="K223" s="111" t="str">
        <x:v>첫 노출 → 후기·인증 → 검색·품절 → 모방 제품 → 재구매 또는 소멸</x:v>
      </x:c>
      <x:c r="L223" s="111" t="str">
        <x:v>S215;S216;S237</x:v>
      </x:c>
    </x:row>
    <x:row r="224" ht="42" customHeight="1">
      <x:c r="A224" s="111" t="str">
        <x:v>TR2015-01</x:v>
      </x:c>
      <x:c r="B224" s="141" t="n">
        <x:v>2015</x:v>
      </x:c>
      <x:c r="C224" s="153" t="str">
        <x:v>콘텐츠·엔터</x:v>
      </x:c>
      <x:c r="D224" s="153" t="str">
        <x:v>드라마·OTT</x:v>
      </x:c>
      <x:c r="E224" s="111" t="str">
        <x:v>응답하라 1988</x:v>
      </x:c>
      <x:c r="F224" s="111" t="str">
        <x:v>가족·골목·복고 소품이 세대 공감과 등장인물 팬덤을 만들었다.</x:v>
      </x:c>
      <x:c r="G224" s="111" t="str">
        <x:v>TV·포털·SNS</x:v>
      </x:c>
      <x:c r="H224" s="111" t="str">
        <x:v>연말 검색·플랫폼 결산 또는 동시기 보도에서 확산이 확인됨</x:v>
      </x:c>
      <x:c r="I224" s="141" t="str">
        <x:f>IF(J224&gt;0,"주가 반응 기록 있음","주가 미확인·연결 전")</x:f>
        <x:v>주가 미확인·연결 전</x:v>
      </x:c>
      <x:c r="J224" s="141" t="n">
        <x:f>COUNTIF('02_종목반응'!$B$6:$B$166,A224)</x:f>
        <x:v>0</x:v>
      </x:c>
      <x:c r="K224" s="111" t="str">
        <x:v>공개·방영 → 클립·검색 증가 → 팬덤·패러디 → 소비 확장 → 후속 관심</x:v>
      </x:c>
      <x:c r="L224" s="111" t="str">
        <x:v>S215;S216;S237</x:v>
      </x:c>
    </x:row>
    <x:row r="225" ht="42" customHeight="1">
      <x:c r="A225" s="111" t="str">
        <x:v>TR2015-02</x:v>
      </x:c>
      <x:c r="B225" s="141" t="n">
        <x:v>2015</x:v>
      </x:c>
      <x:c r="C225" s="153" t="str">
        <x:v>콘텐츠·엔터</x:v>
      </x:c>
      <x:c r="D225" s="153" t="str">
        <x:v>음악·댄스</x:v>
      </x:c>
      <x:c r="E225" s="111" t="str">
        <x:v>복면가왕</x:v>
      </x:c>
      <x:c r="F225" s="111" t="str">
        <x:v>정체 추리와 가창 클립이 방송 밖 토론과 재생을 이어갔다.</x:v>
      </x:c>
      <x:c r="G225" s="111" t="str">
        <x:v>TV·유튜브·포털</x:v>
      </x:c>
      <x:c r="H225" s="111" t="str">
        <x:v>연말 검색·플랫폼 결산 또는 동시기 보도에서 확산이 확인됨</x:v>
      </x:c>
      <x:c r="I225" s="141" t="str">
        <x:f>IF(J225&gt;0,"주가 반응 기록 있음","주가 미확인·연결 전")</x:f>
        <x:v>주가 미확인·연결 전</x:v>
      </x:c>
      <x:c r="J225" s="141" t="n">
        <x:f>COUNTIF('02_종목반응'!$B$6:$B$166,A225)</x:f>
        <x:v>0</x:v>
      </x:c>
      <x:c r="K225" s="111" t="str">
        <x:v>공개·방영 → 클립·검색 증가 → 팬덤·패러디 → 소비 확장 → 후속 관심</x:v>
      </x:c>
      <x:c r="L225" s="111" t="str">
        <x:v>S215;S216;S237</x:v>
      </x:c>
    </x:row>
    <x:row r="226" ht="42" customHeight="1">
      <x:c r="A226" s="111" t="str">
        <x:v>TR2015-03</x:v>
      </x:c>
      <x:c r="B226" s="141" t="n">
        <x:v>2015</x:v>
      </x:c>
      <x:c r="C226" s="153" t="str">
        <x:v>콘텐츠·엔터</x:v>
      </x:c>
      <x:c r="D226" s="153" t="str">
        <x:v>음악·댄스</x:v>
      </x:c>
      <x:c r="E226" s="111" t="str">
        <x:v>전해라·백세인생</x:v>
      </x:c>
      <x:c r="F226" s="111" t="str">
        <x:v>반복되는 “전해라” 구절이 짤·문자·광고 문구로 변형됐다.</x:v>
      </x:c>
      <x:c r="G226" s="111" t="str">
        <x:v>TV·유튜브·메신저</x:v>
      </x:c>
      <x:c r="H226" s="111" t="str">
        <x:v>연말 검색·플랫폼 결산 또는 동시기 보도에서 확산이 확인됨</x:v>
      </x:c>
      <x:c r="I226" s="141" t="str">
        <x:f>IF(J226&gt;0,"주가 반응 기록 있음","주가 미확인·연결 전")</x:f>
        <x:v>주가 미확인·연결 전</x:v>
      </x:c>
      <x:c r="J226" s="141" t="n">
        <x:f>COUNTIF('02_종목반응'!$B$6:$B$166,A226)</x:f>
        <x:v>0</x:v>
      </x:c>
      <x:c r="K226" s="111" t="str">
        <x:v>발화 → 검색·공유 증가 → 일상 언급·모방 → 관련 소비 탐색 → 관심 둔화</x:v>
      </x:c>
      <x:c r="L226" s="111" t="str">
        <x:v>S215;S216;S237</x:v>
      </x:c>
    </x:row>
    <x:row r="227" ht="42" customHeight="1">
      <x:c r="A227" s="111" t="str">
        <x:v>TR2015-10</x:v>
      </x:c>
      <x:c r="B227" s="141" t="n">
        <x:v>2015</x:v>
      </x:c>
      <x:c r="C227" s="153" t="str">
        <x:v>디지털·플랫폼</x:v>
      </x:c>
      <x:c r="D227" s="153" t="str">
        <x:v>모바일·플랫폼</x:v>
      </x:c>
      <x:c r="E227" s="111" t="str">
        <x:v>카카오택시</x:v>
      </x:c>
      <x:c r="F227" s="111" t="str">
        <x:v>전화 없이 호출하고 기사 위치를 확인하는 편의가 빠른 이용 습관을 만들었다.</x:v>
      </x:c>
      <x:c r="G227" s="111" t="str">
        <x:v>모바일 앱·카카오톡</x:v>
      </x:c>
      <x:c r="H227" s="111" t="str">
        <x:v>연말 검색·플랫폼 결산 또는 동시기 보도에서 확산이 확인됨</x:v>
      </x:c>
      <x:c r="I227" s="141" t="str">
        <x:f>IF(J227&gt;0,"주가 반응 기록 있음","주가 미확인·연결 전")</x:f>
        <x:v>주가 미확인·연결 전</x:v>
      </x:c>
      <x:c r="J227" s="141" t="n">
        <x:f>COUNTIF('02_종목반응'!$B$6:$B$166,A227)</x:f>
        <x:v>0</x:v>
      </x:c>
      <x:c r="K227" s="111" t="str">
        <x:v>출시·발견 → 이용자 유입 → 공유·경쟁 → 대중화 → 후속 서비스</x:v>
      </x:c>
      <x:c r="L227" s="111" t="str">
        <x:v>S215;S216;S237</x:v>
      </x:c>
    </x:row>
    <x:row r="228" ht="42" customHeight="1">
      <x:c r="A228" s="111" t="str">
        <x:v>TR2015-11</x:v>
      </x:c>
      <x:c r="B228" s="141" t="n">
        <x:v>2015</x:v>
      </x:c>
      <x:c r="C228" s="153" t="str">
        <x:v>패션·뷰티</x:v>
      </x:c>
      <x:c r="D228" s="153" t="str">
        <x:v>뷰티·화장품</x:v>
      </x:c>
      <x:c r="E228" s="111" t="str">
        <x:v>SNOW 셀카 필터</x:v>
      </x:c>
      <x:c r="F228" s="111" t="str">
        <x:v>얼굴 인식 스티커와 보정이 셀카 놀이와 공유를 촉진했다.</x:v>
      </x:c>
      <x:c r="G228" s="111" t="str">
        <x:v>SNOW·인스타그램</x:v>
      </x:c>
      <x:c r="H228" s="111" t="str">
        <x:v>연말 검색·플랫폼 결산 또는 동시기 보도에서 확산이 확인됨</x:v>
      </x:c>
      <x:c r="I228" s="141" t="str">
        <x:f>IF(J228&gt;0,"주가 반응 기록 있음","주가 미확인·연결 전")</x:f>
        <x:v>주가 미확인·연결 전</x:v>
      </x:c>
      <x:c r="J228" s="141" t="n">
        <x:f>COUNTIF('02_종목반응'!$B$6:$B$166,A228)</x:f>
        <x:v>0</x:v>
      </x:c>
      <x:c r="K228" s="111" t="str">
        <x:v>출시·발견 → 이용자 유입 → 공유·경쟁 → 대중화 → 후속 서비스</x:v>
      </x:c>
      <x:c r="L228" s="111" t="str">
        <x:v>S215;S216;S237</x:v>
      </x:c>
    </x:row>
    <x:row r="229" ht="42" customHeight="1">
      <x:c r="A229" s="111" t="str">
        <x:v>EV0017</x:v>
      </x:c>
      <x:c r="B229" s="141" t="n">
        <x:v>2015</x:v>
      </x:c>
      <x:c r="C229" s="153" t="str">
        <x:v>생활·소비</x:v>
      </x:c>
      <x:c r="D229" s="153" t="str">
        <x:v>유통·쇼핑</x:v>
      </x:c>
      <x:c r="E229" s="111" t="str">
        <x:v>가짜 백수오 파동</x:v>
      </x:c>
      <x:c r="F229" s="111" t="str">
        <x:v>건강식품 신뢰를 뒤흔든 원료 진위 논란이 소비자 불안과 분노를 동시에 키웠다.</x:v>
      </x:c>
      <x:c r="G229" s="111" t="str">
        <x:v>포털·SNS·커뮤니티</x:v>
      </x:c>
      <x:c r="H229" s="111" t="str">
        <x:v>대표 방향 하락 | 가격·반응 발표 후 연속 급락 | 단일 핵심 출처</x:v>
      </x:c>
      <x:c r="I229" s="141" t="str">
        <x:f>IF(J229&gt;0,"주가 반응 기록 있음","주가 미확인·연결 전")</x:f>
        <x:v>주가 반응 기록 있음</x:v>
      </x:c>
      <x:c r="J229" s="141" t="n">
        <x:f>COUNTIF('02_종목반응'!$B$6:$B$166,A229)</x:f>
        <x:v>1</x:v>
      </x:c>
      <x:c r="K229" s="111" t="str">
        <x:v>발화 → 포털·SNS 확산 → 관련주 묶기 → 주가 반응 → 기사·공시로 검증</x:v>
      </x:c>
      <x:c r="L229" s="111" t="str">
        <x:v>S105</x:v>
      </x:c>
    </x:row>
    <x:row r="230" ht="42" customHeight="1">
      <x:c r="A230" s="111" t="str">
        <x:v>EV0018</x:v>
      </x:c>
      <x:c r="B230" s="141" t="n">
        <x:v>2015</x:v>
      </x:c>
      <x:c r="C230" s="153" t="str">
        <x:v>스포츠·건강</x:v>
      </x:c>
      <x:c r="D230" s="153" t="str">
        <x:v>건강·방역</x:v>
      </x:c>
      <x:c r="E230" s="111" t="str">
        <x:v>메르스 공포·마스크 사재기</x:v>
      </x:c>
      <x:c r="F230" s="111" t="str">
        <x:v>확진자 동선과 병원 명단이 메신저·SNS에서 급속히 공유되고 마스크 품절·여행 취소가 일상 행동으로 번졌다.</x:v>
      </x:c>
      <x:c r="G230" s="111" t="str">
        <x:v>포털·커뮤니티·언론</x:v>
      </x:c>
      <x:c r="H230" s="111" t="str">
        <x:v>대표 방향 혼합·급등락 | 가격·반응 케이엠 48.53%·오공 43.65% 상승, 하나투어 15.27% 하락 | 복수 출처 교차확인</x:v>
      </x:c>
      <x:c r="I230" s="141" t="str">
        <x:f>IF(J230&gt;0,"주가 반응 기록 있음","주가 미확인·연결 전")</x:f>
        <x:v>주가 반응 기록 있음</x:v>
      </x:c>
      <x:c r="J230" s="141" t="n">
        <x:f>COUNTIF('02_종목반응'!$B$6:$B$166,A230)</x:f>
        <x:v>7</x:v>
      </x:c>
      <x:c r="K230" s="111" t="str">
        <x:v>첫 확진 → 동선 루머·공포 → 마스크 품절 → 방역주 급등·여행주 급락 → 종식</x:v>
      </x:c>
      <x:c r="L230" s="111" t="str">
        <x:v>S146;S147</x:v>
      </x:c>
    </x:row>
    <x:row r="231" ht="42" customHeight="1">
      <x:c r="A231" s="111" t="str">
        <x:v>TR2014-02</x:v>
      </x:c>
      <x:c r="B231" s="141" t="n">
        <x:v>2014</x:v>
      </x:c>
      <x:c r="C231" s="153" t="str">
        <x:v>식품·음료</x:v>
      </x:c>
      <x:c r="D231" s="153" t="str">
        <x:v>식품 유행 일반</x:v>
      </x:c>
      <x:c r="E231" s="111" t="str">
        <x:v>별에서 온 그대 치맥</x:v>
      </x:c>
      <x:c r="F231" s="111" t="str">
        <x:v>드라마 속 치킨과 맥주 장면이 국내외 시청자의 재현 소비를 자극했다.</x:v>
      </x:c>
      <x:c r="G231" s="111" t="str">
        <x:v>TV·SNS·해외 팬덤</x:v>
      </x:c>
      <x:c r="H231" s="111" t="str">
        <x:v>연말 검색·플랫폼 결산 또는 동시기 보도에서 확산이 확인됨</x:v>
      </x:c>
      <x:c r="I231" s="141" t="str">
        <x:f>IF(J231&gt;0,"주가 반응 기록 있음","주가 미확인·연결 전")</x:f>
        <x:v>주가 미확인·연결 전</x:v>
      </x:c>
      <x:c r="J231" s="141" t="n">
        <x:f>COUNTIF('02_종목반응'!$B$6:$B$166,A231)</x:f>
        <x:v>0</x:v>
      </x:c>
      <x:c r="K231" s="111" t="str">
        <x:v>공개·방영 → 클립·검색 증가 → 팬덤·패러디 → 소비 확장 → 후속 관심</x:v>
      </x:c>
      <x:c r="L231" s="111" t="str">
        <x:v>S213;S214;S237</x:v>
      </x:c>
    </x:row>
    <x:row r="232" ht="42" customHeight="1">
      <x:c r="A232" s="111" t="str">
        <x:v>EV0014</x:v>
      </x:c>
      <x:c r="B232" s="141" t="n">
        <x:v>2014</x:v>
      </x:c>
      <x:c r="C232" s="153" t="str">
        <x:v>식품·음료</x:v>
      </x:c>
      <x:c r="D232" s="153" t="str">
        <x:v>식품 유행 일반</x:v>
      </x:c>
      <x:c r="E232" s="111" t="str">
        <x:v>불닭볶음면 챌린지</x:v>
      </x:c>
      <x:c r="F232" s="111" t="str">
        <x:v>극단적인 매운맛 도전이 짧은 영상과 리액션 콘텐츠에 적합해 글로벌 챌린지로 반복됐다.</x:v>
      </x:c>
      <x:c r="G232" s="111" t="str">
        <x:v>SNS·커뮤니티·숏폼</x:v>
      </x:c>
      <x:c r="H232" s="111" t="str">
        <x:v>대표 방향 상승 | 가격·반응 2024년 주가 254% 상승 | 단일 핵심 출처</x:v>
      </x:c>
      <x:c r="I232" s="141" t="str">
        <x:f>IF(J232&gt;0,"주가 반응 기록 있음","주가 미확인·연결 전")</x:f>
        <x:v>주가 반응 기록 있음</x:v>
      </x:c>
      <x:c r="J232" s="141" t="n">
        <x:f>COUNTIF('02_종목반응'!$B$6:$B$166,A232)</x:f>
        <x:v>1</x:v>
      </x:c>
      <x:c r="K232" s="111" t="str">
        <x:v>제품 노출 → 후기·인증 확산 → 품절·검색 급증 → 관련 기업 주가 반응 → 재구매 검증</x:v>
      </x:c>
      <x:c r="L232" s="111" t="str">
        <x:v>S53</x:v>
      </x:c>
    </x:row>
    <x:row r="233" ht="42" customHeight="1">
      <x:c r="A233" s="111" t="str">
        <x:v>TR2014-11</x:v>
      </x:c>
      <x:c r="B233" s="141" t="n">
        <x:v>2014</x:v>
      </x:c>
      <x:c r="C233" s="153" t="str">
        <x:v>식품·음료</x:v>
      </x:c>
      <x:c r="D233" s="153" t="str">
        <x:v>식품 유행 일반</x:v>
      </x:c>
      <x:c r="E233" s="111" t="str">
        <x:v>비락식혜 으리 광고</x:v>
      </x:c>
      <x:c r="F233" s="111" t="str">
        <x:v>의리 말장난과 빠른 편집이 광고 자체를 공유하는 현상을 만들었다.</x:v>
      </x:c>
      <x:c r="G233" s="111" t="str">
        <x:v>TV 광고·유튜브</x:v>
      </x:c>
      <x:c r="H233" s="111" t="str">
        <x:v>연말 검색·플랫폼 결산 또는 동시기 보도에서 확산이 확인됨</x:v>
      </x:c>
      <x:c r="I233" s="141" t="str">
        <x:f>IF(J233&gt;0,"주가 반응 기록 있음","주가 미확인·연결 전")</x:f>
        <x:v>주가 미확인·연결 전</x:v>
      </x:c>
      <x:c r="J233" s="141" t="n">
        <x:f>COUNTIF('02_종목반응'!$B$6:$B$166,A233)</x:f>
        <x:v>0</x:v>
      </x:c>
      <x:c r="K233" s="111" t="str">
        <x:v>발화 → 검색·공유 증가 → 일상 언급·모방 → 관련 소비 탐색 → 관심 둔화</x:v>
      </x:c>
      <x:c r="L233" s="111" t="str">
        <x:v>S213;S214;S237</x:v>
      </x:c>
    </x:row>
    <x:row r="234" ht="42" customHeight="1">
      <x:c r="A234" s="111" t="str">
        <x:v>EV0016</x:v>
      </x:c>
      <x:c r="B234" s="141" t="n">
        <x:v>2014</x:v>
      </x:c>
      <x:c r="C234" s="153" t="str">
        <x:v>식품·음료</x:v>
      </x:c>
      <x:c r="D234" s="153" t="str">
        <x:v>식품 유행 일반</x:v>
      </x:c>
      <x:c r="E234" s="111" t="str">
        <x:v>허니버터칩 품절</x:v>
      </x:c>
      <x:c r="F234" s="111" t="str">
        <x:v>‘단짠’이라는 새로운 맛, 초기 공급 부족, SNS 품절 인증과 웃돈 거래가 희소성 경쟁을 키웠다.</x:v>
      </x:c>
      <x:c r="G234" s="111" t="str">
        <x:v>SNS·블로그·검색·오프라인 구매</x:v>
      </x:c>
      <x:c r="H234" s="111" t="str">
        <x:v>대표 방향 상승 | 가격·반응 2014-11-21 전일 대비 9.7%, 전년 동기 대비 26.6% 상승 | 단일 핵심 출처</x:v>
      </x:c>
      <x:c r="I234" s="141" t="str">
        <x:f>IF(J234&gt;0,"주가 반응 기록 있음","주가 미확인·연결 전")</x:f>
        <x:v>주가 반응 기록 있음</x:v>
      </x:c>
      <x:c r="J234" s="141" t="n">
        <x:f>COUNTIF('02_종목반응'!$B$6:$B$166,A234)</x:f>
        <x:v>1</x:v>
      </x:c>
      <x:c r="K234" s="111" t="str">
        <x:v>제품 노출 → 후기·인증 확산 → 품절·검색 급증 → 관련 기업 주가 반응 → 재구매 검증</x:v>
      </x:c>
      <x:c r="L234" s="111" t="str">
        <x:v>S62</x:v>
      </x:c>
    </x:row>
    <x:row r="235" ht="42" customHeight="1">
      <x:c r="A235" s="111" t="str">
        <x:v>TR2014-04</x:v>
      </x:c>
      <x:c r="B235" s="141" t="n">
        <x:v>2014</x:v>
      </x:c>
      <x:c r="C235" s="153" t="str">
        <x:v>식품·음료</x:v>
      </x:c>
      <x:c r="D235" s="153" t="str">
        <x:v>외식·프랜차이즈</x:v>
      </x:c>
      <x:c r="E235" s="111" t="str">
        <x:v>치즈등갈비</x:v>
      </x:c>
      <x:c r="F235" s="111" t="str">
        <x:v>늘어나는 치즈 비주얼이 사진과 먹방에 잘 담겨 유사 매장이 늘었다.</x:v>
      </x:c>
      <x:c r="G235" s="111" t="str">
        <x:v>블로그·인스타그램</x:v>
      </x:c>
      <x:c r="H235" s="111" t="str">
        <x:v>연말 검색·플랫폼 결산 또는 동시기 보도에서 확산이 확인됨</x:v>
      </x:c>
      <x:c r="I235" s="141" t="str">
        <x:f>IF(J235&gt;0,"주가 반응 기록 있음","주가 미확인·연결 전")</x:f>
        <x:v>주가 미확인·연결 전</x:v>
      </x:c>
      <x:c r="J235" s="141" t="n">
        <x:f>COUNTIF('02_종목반응'!$B$6:$B$166,A235)</x:f>
        <x:v>0</x:v>
      </x:c>
      <x:c r="K235" s="111" t="str">
        <x:v>첫 노출 → 후기·인증 → 검색·품절 → 모방 제품 → 재구매 또는 소멸</x:v>
      </x:c>
      <x:c r="L235" s="111" t="str">
        <x:v>S213;S214;S237</x:v>
      </x:c>
    </x:row>
    <x:row r="236" ht="42" customHeight="1">
      <x:c r="A236" s="111" t="str">
        <x:v>TR2014-07</x:v>
      </x:c>
      <x:c r="B236" s="141" t="n">
        <x:v>2014</x:v>
      </x:c>
      <x:c r="C236" s="153" t="str">
        <x:v>콘텐츠·엔터</x:v>
      </x:c>
      <x:c r="D236" s="153" t="str">
        <x:v>드라마·OTT</x:v>
      </x:c>
      <x:c r="E236" s="111" t="str">
        <x:v>미생</x:v>
      </x:c>
      <x:c r="F236" s="111" t="str">
        <x:v>직장인의 현실적인 대사와 상황이 공감 캡처로 퍼졌다.</x:v>
      </x:c>
      <x:c r="G236" s="111" t="str">
        <x:v>TV·웹툰·직장인 커뮤니티</x:v>
      </x:c>
      <x:c r="H236" s="111" t="str">
        <x:v>연말 검색·플랫폼 결산 또는 동시기 보도에서 확산이 확인됨</x:v>
      </x:c>
      <x:c r="I236" s="141" t="str">
        <x:f>IF(J236&gt;0,"주가 반응 기록 있음","주가 미확인·연결 전")</x:f>
        <x:v>주가 미확인·연결 전</x:v>
      </x:c>
      <x:c r="J236" s="141" t="n">
        <x:f>COUNTIF('02_종목반응'!$B$6:$B$166,A236)</x:f>
        <x:v>0</x:v>
      </x:c>
      <x:c r="K236" s="111" t="str">
        <x:v>공개·방영 → 클립·검색 증가 → 팬덤·패러디 → 소비 확장 → 후속 관심</x:v>
      </x:c>
      <x:c r="L236" s="111" t="str">
        <x:v>S213;S214;S237</x:v>
      </x:c>
    </x:row>
    <x:row r="237" ht="42" customHeight="1">
      <x:c r="A237" s="111" t="str">
        <x:v>TR2014-01</x:v>
      </x:c>
      <x:c r="B237" s="141" t="n">
        <x:v>2014</x:v>
      </x:c>
      <x:c r="C237" s="153" t="str">
        <x:v>콘텐츠·엔터</x:v>
      </x:c>
      <x:c r="D237" s="153" t="str">
        <x:v>영화·애니메이션</x:v>
      </x:c>
      <x:c r="E237" s="111" t="str">
        <x:v>겨울왕국 렛잇고</x:v>
      </x:c>
      <x:c r="F237" s="111" t="str">
        <x:v>OST와 캐릭터가 커버 영상·아동 상품·재관람을 동시에 만들었다.</x:v>
      </x:c>
      <x:c r="G237" s="111" t="str">
        <x:v>극장·유튜브·SNS</x:v>
      </x:c>
      <x:c r="H237" s="111" t="str">
        <x:v>연말 검색·플랫폼 결산 또는 동시기 보도에서 확산이 확인됨</x:v>
      </x:c>
      <x:c r="I237" s="141" t="str">
        <x:f>IF(J237&gt;0,"주가 반응 기록 있음","주가 미확인·연결 전")</x:f>
        <x:v>주가 미확인·연결 전</x:v>
      </x:c>
      <x:c r="J237" s="141" t="n">
        <x:f>COUNTIF('02_종목반응'!$B$6:$B$166,A237)</x:f>
        <x:v>0</x:v>
      </x:c>
      <x:c r="K237" s="111" t="str">
        <x:v>공개·방영 → 클립·검색 증가 → 팬덤·패러디 → 소비 확장 → 후속 관심</x:v>
      </x:c>
      <x:c r="L237" s="111" t="str">
        <x:v>S213;S214;S237</x:v>
      </x:c>
    </x:row>
    <x:row r="238" ht="42" customHeight="1">
      <x:c r="A238" s="111" t="str">
        <x:v>TR2014-08</x:v>
      </x:c>
      <x:c r="B238" s="141" t="n">
        <x:v>2014</x:v>
      </x:c>
      <x:c r="C238" s="153" t="str">
        <x:v>콘텐츠·엔터</x:v>
      </x:c>
      <x:c r="D238" s="153" t="str">
        <x:v>음악·댄스</x:v>
      </x:c>
      <x:c r="E238" s="111" t="str">
        <x:v>토토가 1990년대 복고</x:v>
      </x:c>
      <x:c r="F238" s="111" t="str">
        <x:v>과거 가수의 재등장이 세대 향수와 음원 역주행을 만들었다.</x:v>
      </x:c>
      <x:c r="G238" s="111" t="str">
        <x:v>TV·음원·SNS</x:v>
      </x:c>
      <x:c r="H238" s="111" t="str">
        <x:v>연말 검색·플랫폼 결산 또는 동시기 보도에서 확산이 확인됨</x:v>
      </x:c>
      <x:c r="I238" s="141" t="str">
        <x:f>IF(J238&gt;0,"주가 반응 기록 있음","주가 미확인·연결 전")</x:f>
        <x:v>주가 미확인·연결 전</x:v>
      </x:c>
      <x:c r="J238" s="141" t="n">
        <x:f>COUNTIF('02_종목반응'!$B$6:$B$166,A238)</x:f>
        <x:v>0</x:v>
      </x:c>
      <x:c r="K238" s="111" t="str">
        <x:v>공개·방영 → 클립·검색 증가 → 팬덤·패러디 → 소비 확장 → 후속 관심</x:v>
      </x:c>
      <x:c r="L238" s="111" t="str">
        <x:v>S213;S214;S237</x:v>
      </x:c>
    </x:row>
    <x:row r="239" ht="42" customHeight="1">
      <x:c r="A239" s="111" t="str">
        <x:v>TR2014-05</x:v>
      </x:c>
      <x:c r="B239" s="141" t="n">
        <x:v>2014</x:v>
      </x:c>
      <x:c r="C239" s="153" t="str">
        <x:v>디지털·플랫폼</x:v>
      </x:c>
      <x:c r="D239" s="153" t="str">
        <x:v>모바일·플랫폼</x:v>
      </x:c>
      <x:c r="E239" s="111" t="str">
        <x:v>셀카봉</x:v>
      </x:c>
      <x:c r="F239" s="111" t="str">
        <x:v>혼자 넓은 구도를 찍는 도구가 여행 인증샷 수요와 맞물렸다.</x:v>
      </x:c>
      <x:c r="G239" s="111" t="str">
        <x:v>SNS·관광지·온라인몰</x:v>
      </x:c>
      <x:c r="H239" s="111" t="str">
        <x:v>연말 검색·플랫폼 결산 또는 동시기 보도에서 확산이 확인됨</x:v>
      </x:c>
      <x:c r="I239" s="141" t="str">
        <x:f>IF(J239&gt;0,"주가 반응 기록 있음","주가 미확인·연결 전")</x:f>
        <x:v>주가 미확인·연결 전</x:v>
      </x:c>
      <x:c r="J239" s="141" t="n">
        <x:f>COUNTIF('02_종목반응'!$B$6:$B$166,A239)</x:f>
        <x:v>0</x:v>
      </x:c>
      <x:c r="K239" s="111" t="str">
        <x:v>첫 노출 → 후기·인증 → 검색·품절 → 모방 제품 → 재구매 또는 소멸</x:v>
      </x:c>
      <x:c r="L239" s="111" t="str">
        <x:v>S213;S214;S237</x:v>
      </x:c>
    </x:row>
    <x:row r="240" ht="42" customHeight="1">
      <x:c r="A240" s="111" t="str">
        <x:v>TR2014-03</x:v>
      </x:c>
      <x:c r="B240" s="141" t="n">
        <x:v>2014</x:v>
      </x:c>
      <x:c r="C240" s="153" t="str">
        <x:v>디지털·플랫폼</x:v>
      </x:c>
      <x:c r="D240" s="153" t="str">
        <x:v>SNS·커뮤니티</x:v>
      </x:c>
      <x:c r="E240" s="111" t="str">
        <x:v>아이스버킷챌린지</x:v>
      </x:c>
      <x:c r="F240" s="111" t="str">
        <x:v>지목·기부·얼음물 영상을 결합해 참여가 연쇄적으로 이어졌다.</x:v>
      </x:c>
      <x:c r="G240" s="111" t="str">
        <x:v>페이스북·유튜브·인스타그램</x:v>
      </x:c>
      <x:c r="H240" s="111" t="str">
        <x:v>연말 검색·플랫폼 결산 또는 동시기 보도에서 확산이 확인됨</x:v>
      </x:c>
      <x:c r="I240" s="141" t="str">
        <x:f>IF(J240&gt;0,"주가 반응 기록 있음","주가 미확인·연결 전")</x:f>
        <x:v>주가 미확인·연결 전</x:v>
      </x:c>
      <x:c r="J240" s="141" t="n">
        <x:f>COUNTIF('02_종목반응'!$B$6:$B$166,A240)</x:f>
        <x:v>0</x:v>
      </x:c>
      <x:c r="K240" s="111" t="str">
        <x:v>원본 게시 → 따라 하기 → 해시태그 확산 → 변형·패러디 → 관심 둔화</x:v>
      </x:c>
      <x:c r="L240" s="111" t="str">
        <x:v>S213;S214;S237</x:v>
      </x:c>
    </x:row>
    <x:row r="241" ht="42" customHeight="1">
      <x:c r="A241" s="111" t="str">
        <x:v>TR2014-09</x:v>
      </x:c>
      <x:c r="B241" s="141" t="n">
        <x:v>2014</x:v>
      </x:c>
      <x:c r="C241" s="153" t="str">
        <x:v>디지털·플랫폼</x:v>
      </x:c>
      <x:c r="D241" s="153" t="str">
        <x:v>SNS·커뮤니티</x:v>
      </x:c>
      <x:c r="E241" s="111" t="str">
        <x:v>SNS 인증샷 문화</x:v>
      </x:c>
      <x:c r="F241" s="111" t="str">
        <x:v>먹거리·여행·제품 경험을 사진으로 증명하고 공유하는 행동이 보편화됐다.</x:v>
      </x:c>
      <x:c r="G241" s="111" t="str">
        <x:v>인스타그램·페이스북</x:v>
      </x:c>
      <x:c r="H241" s="111" t="str">
        <x:v>연말 검색·플랫폼 결산 또는 동시기 보도에서 확산이 확인됨</x:v>
      </x:c>
      <x:c r="I241" s="141" t="str">
        <x:f>IF(J241&gt;0,"주가 반응 기록 있음","주가 미확인·연결 전")</x:f>
        <x:v>주가 미확인·연결 전</x:v>
      </x:c>
      <x:c r="J241" s="141" t="n">
        <x:f>COUNTIF('02_종목반응'!$B$6:$B$166,A241)</x:f>
        <x:v>0</x:v>
      </x:c>
      <x:c r="K241" s="111" t="str">
        <x:v>발화 → 검색·공유 증가 → 일상 언급·모방 → 관련 소비 탐색 → 관심 둔화</x:v>
      </x:c>
      <x:c r="L241" s="111" t="str">
        <x:v>S213;S214;S237</x:v>
      </x:c>
    </x:row>
    <x:row r="242" ht="42" customHeight="1">
      <x:c r="A242" s="111" t="str">
        <x:v>EV0015</x:v>
      </x:c>
      <x:c r="B242" s="141" t="n">
        <x:v>2014</x:v>
      </x:c>
      <x:c r="C242" s="153" t="str">
        <x:v>스포츠·건강</x:v>
      </x:c>
      <x:c r="D242" s="153" t="str">
        <x:v>건강·방역</x:v>
      </x:c>
      <x:c r="E242" s="111" t="str">
        <x:v>에볼라 공포·백신 기대</x:v>
      </x:c>
      <x:c r="F242" s="111" t="str">
        <x:v>서아프리카 확산 영상과 높은 치명률 보도가 전 세계 공포를 키웠고 국내에서도 백신·보호복 관련주 찾기가 확산됐다.</x:v>
      </x:c>
      <x:c r="G242" s="111" t="str">
        <x:v>포털·커뮤니티·언론</x:v>
      </x:c>
      <x:c r="H242" s="111" t="str">
        <x:v>대표 방향 상승 | 가격·반응 진원생명과학 이틀째 급등·당일 11.53% | 단일 핵심 출처</x:v>
      </x:c>
      <x:c r="I242" s="141" t="str">
        <x:f>IF(J242&gt;0,"주가 반응 기록 있음","주가 미확인·연결 전")</x:f>
        <x:v>주가 반응 기록 있음</x:v>
      </x:c>
      <x:c r="J242" s="141" t="n">
        <x:f>COUNTIF('02_종목반응'!$B$6:$B$166,A242)</x:f>
        <x:v>1</x:v>
      </x:c>
      <x:c r="K242" s="111" t="str">
        <x:v>해외 확산 → 공포 뉴스 → 관련주 탐색 → 백신 생산 계약 → 진원생명과학 급등</x:v>
      </x:c>
      <x:c r="L242" s="111" t="str">
        <x:v>S157</x:v>
      </x:c>
    </x:row>
    <x:row r="243" ht="42" customHeight="1">
      <x:c r="A243" s="111" t="str">
        <x:v>TR2014-06</x:v>
      </x:c>
      <x:c r="B243" s="141" t="n">
        <x:v>2014</x:v>
      </x:c>
      <x:c r="C243" s="153" t="str">
        <x:v>사회·온라인문화</x:v>
      </x:c>
      <x:c r="D243" s="153" t="str">
        <x:v>밈·유행어</x:v>
      </x:c>
      <x:c r="E243" s="111" t="str">
        <x:v>김보성 의리 밈</x:v>
      </x:c>
      <x:c r="F243" s="111" t="str">
        <x:v>과장된 구호와 캐릭터가 광고·댓글·패러디에 반복 사용됐다.</x:v>
      </x:c>
      <x:c r="G243" s="111" t="str">
        <x:v>TV 광고·유튜브·커뮤니티</x:v>
      </x:c>
      <x:c r="H243" s="111" t="str">
        <x:v>연말 검색·플랫폼 결산 또는 동시기 보도에서 확산이 확인됨</x:v>
      </x:c>
      <x:c r="I243" s="141" t="str">
        <x:f>IF(J243&gt;0,"주가 반응 기록 있음","주가 미확인·연결 전")</x:f>
        <x:v>주가 미확인·연결 전</x:v>
      </x:c>
      <x:c r="J243" s="141" t="n">
        <x:f>COUNTIF('02_종목반응'!$B$6:$B$166,A243)</x:f>
        <x:v>0</x:v>
      </x:c>
      <x:c r="K243" s="111" t="str">
        <x:v>발화 → 검색·공유 증가 → 일상 언급·모방 → 관련 소비 탐색 → 관심 둔화</x:v>
      </x:c>
      <x:c r="L243" s="111" t="str">
        <x:v>S213;S214;S237</x:v>
      </x:c>
    </x:row>
    <x:row r="244" ht="42" customHeight="1">
      <x:c r="A244" s="111" t="str">
        <x:v>TR2014-10</x:v>
      </x:c>
      <x:c r="B244" s="141" t="n">
        <x:v>2014</x:v>
      </x:c>
      <x:c r="C244" s="153" t="str">
        <x:v>사회·온라인문화</x:v>
      </x:c>
      <x:c r="D244" s="153" t="str">
        <x:v>밈·유행어</x:v>
      </x:c>
      <x:c r="E244" s="111" t="str">
        <x:v>썸·썸남썸녀</x:v>
      </x:c>
      <x:c r="F244" s="111" t="str">
        <x:v>관계가 시작되기 전 애매한 상태를 설명하는 단어가 노래와 일상 대화에 퍼졌다.</x:v>
      </x:c>
      <x:c r="G244" s="111" t="str">
        <x:v>음원·SNS·메신저</x:v>
      </x:c>
      <x:c r="H244" s="111" t="str">
        <x:v>연말 검색·플랫폼 결산 또는 동시기 보도에서 확산이 확인됨</x:v>
      </x:c>
      <x:c r="I244" s="141" t="str">
        <x:f>IF(J244&gt;0,"주가 반응 기록 있음","주가 미확인·연결 전")</x:f>
        <x:v>주가 미확인·연결 전</x:v>
      </x:c>
      <x:c r="J244" s="141" t="n">
        <x:f>COUNTIF('02_종목반응'!$B$6:$B$166,A244)</x:f>
        <x:v>0</x:v>
      </x:c>
      <x:c r="K244" s="111" t="str">
        <x:v>발화 → 검색·공유 증가 → 일상 언급·모방 → 관련 소비 탐색 → 관심 둔화</x:v>
      </x:c>
      <x:c r="L244" s="111" t="str">
        <x:v>S213;S214;S237</x:v>
      </x:c>
    </x:row>
    <x:row r="245" ht="42" customHeight="1">
      <x:c r="A245" s="111" t="str">
        <x:v>TR2013-08</x:v>
      </x:c>
      <x:c r="B245" s="141" t="n">
        <x:v>2013</x:v>
      </x:c>
      <x:c r="C245" s="153" t="str">
        <x:v>식품·음료</x:v>
      </x:c>
      <x:c r="D245" s="153" t="str">
        <x:v>디저트·베이커리</x:v>
      </x:c>
      <x:c r="E245" s="111" t="str">
        <x:v>벌집아이스크림</x:v>
      </x:c>
      <x:c r="F245" s="111" t="str">
        <x:v>벌집 토핑의 독특한 모양이 사진 공유와 유사 매장 확산을 만들었다.</x:v>
      </x:c>
      <x:c r="G245" s="111" t="str">
        <x:v>블로그·SNS</x:v>
      </x:c>
      <x:c r="H245" s="111" t="str">
        <x:v>연말 검색·플랫폼 결산 또는 동시기 보도에서 확산이 확인됨</x:v>
      </x:c>
      <x:c r="I245" s="141" t="str">
        <x:f>IF(J245&gt;0,"주가 반응 기록 있음","주가 미확인·연결 전")</x:f>
        <x:v>주가 미확인·연결 전</x:v>
      </x:c>
      <x:c r="J245" s="141" t="n">
        <x:f>COUNTIF('02_종목반응'!$B$6:$B$166,A245)</x:f>
        <x:v>0</x:v>
      </x:c>
      <x:c r="K245" s="111" t="str">
        <x:v>첫 노출 → 후기·인증 → 검색·품절 → 모방 제품 → 재구매 또는 소멸</x:v>
      </x:c>
      <x:c r="L245" s="111" t="str">
        <x:v>S211;S212;S237</x:v>
      </x:c>
    </x:row>
    <x:row r="246" ht="42" customHeight="1">
      <x:c r="A246" s="111" t="str">
        <x:v>TR2013-07</x:v>
      </x:c>
      <x:c r="B246" s="141" t="n">
        <x:v>2013</x:v>
      </x:c>
      <x:c r="C246" s="153" t="str">
        <x:v>식품·음료</x:v>
      </x:c>
      <x:c r="D246" s="153" t="str">
        <x:v>디저트·베이커리</x:v>
      </x:c>
      <x:c r="E246" s="111" t="str">
        <x:v>설빙 인절미빙수</x:v>
      </x:c>
      <x:c r="F246" s="111" t="str">
        <x:v>콩가루·인절미 비주얼과 대형 빙수 인증샷이 매장 방문을 자극했다.</x:v>
      </x:c>
      <x:c r="G246" s="111" t="str">
        <x:v>블로그·인스타그램</x:v>
      </x:c>
      <x:c r="H246" s="111" t="str">
        <x:v>연말 검색·플랫폼 결산 또는 동시기 보도에서 확산이 확인됨</x:v>
      </x:c>
      <x:c r="I246" s="141" t="str">
        <x:f>IF(J246&gt;0,"주가 반응 기록 있음","주가 미확인·연결 전")</x:f>
        <x:v>주가 미확인·연결 전</x:v>
      </x:c>
      <x:c r="J246" s="141" t="n">
        <x:f>COUNTIF('02_종목반응'!$B$6:$B$166,A246)</x:f>
        <x:v>0</x:v>
      </x:c>
      <x:c r="K246" s="111" t="str">
        <x:v>첫 노출 → 후기·인증 → 검색·품절 → 모방 제품 → 재구매 또는 소멸</x:v>
      </x:c>
      <x:c r="L246" s="111" t="str">
        <x:v>S211;S212;S237</x:v>
      </x:c>
    </x:row>
    <x:row r="247" ht="42" customHeight="1">
      <x:c r="A247" s="111" t="str">
        <x:v>TR2013-06</x:v>
      </x:c>
      <x:c r="B247" s="141" t="n">
        <x:v>2013</x:v>
      </x:c>
      <x:c r="C247" s="153" t="str">
        <x:v>식품·음료</x:v>
      </x:c>
      <x:c r="D247" s="153" t="str">
        <x:v>식품 유행 일반</x:v>
      </x:c>
      <x:c r="E247" s="111" t="str">
        <x:v>먹방 용어 확산</x:v>
      </x:c>
      <x:c r="F247" s="111" t="str">
        <x:v>먹는 모습을 실시간으로 보고 채팅하는 형식이 독립 콘텐츠 장르가 됐다.</x:v>
      </x:c>
      <x:c r="G247" s="111" t="str">
        <x:v>아프리카TV·유튜브·커뮤니티</x:v>
      </x:c>
      <x:c r="H247" s="111" t="str">
        <x:v>연말 검색·플랫폼 결산 또는 동시기 보도에서 확산이 확인됨</x:v>
      </x:c>
      <x:c r="I247" s="141" t="str">
        <x:f>IF(J247&gt;0,"주가 반응 기록 있음","주가 미확인·연결 전")</x:f>
        <x:v>주가 미확인·연결 전</x:v>
      </x:c>
      <x:c r="J247" s="141" t="n">
        <x:f>COUNTIF('02_종목반응'!$B$6:$B$166,A247)</x:f>
        <x:v>0</x:v>
      </x:c>
      <x:c r="K247" s="111" t="str">
        <x:v>첫 노출 → 후기·인증 → 검색·품절 → 모방 제품 → 재구매 또는 소멸</x:v>
      </x:c>
      <x:c r="L247" s="111" t="str">
        <x:v>S211;S212;S237</x:v>
      </x:c>
    </x:row>
    <x:row r="248" ht="42" customHeight="1">
      <x:c r="A248" s="111" t="str">
        <x:v>TR2013-09</x:v>
      </x:c>
      <x:c r="B248" s="141" t="n">
        <x:v>2013</x:v>
      </x:c>
      <x:c r="C248" s="153" t="str">
        <x:v>콘텐츠·엔터</x:v>
      </x:c>
      <x:c r="D248" s="153" t="str">
        <x:v>드라마·OTT</x:v>
      </x:c>
      <x:c r="E248" s="111" t="str">
        <x:v>응답하라 1994</x:v>
      </x:c>
      <x:c r="F248" s="111" t="str">
        <x:v>1990년대 향수와 남편 찾기 서사가 세대 토론을 만들었다.</x:v>
      </x:c>
      <x:c r="G248" s="111" t="str">
        <x:v>TV·포털·커뮤니티</x:v>
      </x:c>
      <x:c r="H248" s="111" t="str">
        <x:v>연말 검색·플랫폼 결산 또는 동시기 보도에서 확산이 확인됨</x:v>
      </x:c>
      <x:c r="I248" s="141" t="str">
        <x:f>IF(J248&gt;0,"주가 반응 기록 있음","주가 미확인·연결 전")</x:f>
        <x:v>주가 미확인·연결 전</x:v>
      </x:c>
      <x:c r="J248" s="141" t="n">
        <x:f>COUNTIF('02_종목반응'!$B$6:$B$166,A248)</x:f>
        <x:v>0</x:v>
      </x:c>
      <x:c r="K248" s="111" t="str">
        <x:v>공개·방영 → 클립·검색 증가 → 팬덤·패러디 → 소비 확장 → 후속 관심</x:v>
      </x:c>
      <x:c r="L248" s="111" t="str">
        <x:v>S211;S212;S237</x:v>
      </x:c>
    </x:row>
    <x:row r="249" ht="42" customHeight="1">
      <x:c r="A249" s="111" t="str">
        <x:v>TR2013-05</x:v>
      </x:c>
      <x:c r="B249" s="141" t="n">
        <x:v>2013</x:v>
      </x:c>
      <x:c r="C249" s="153" t="str">
        <x:v>콘텐츠·엔터</x:v>
      </x:c>
      <x:c r="D249" s="153" t="str">
        <x:v>웹툰·도서</x:v>
      </x:c>
      <x:c r="E249" s="111" t="str">
        <x:v>모바일 웹툰</x:v>
      </x:c>
      <x:c r="F249" s="111" t="str">
        <x:v>세로 스크롤과 매일 연재가 출퇴근 중 콘텐츠 소비를 늘렸다.</x:v>
      </x:c>
      <x:c r="G249" s="111" t="str">
        <x:v>네이버웹툰·다음웹툰</x:v>
      </x:c>
      <x:c r="H249" s="111" t="str">
        <x:v>연말 검색·플랫폼 결산 또는 동시기 보도에서 확산이 확인됨</x:v>
      </x:c>
      <x:c r="I249" s="141" t="str">
        <x:f>IF(J249&gt;0,"주가 반응 기록 있음","주가 미확인·연결 전")</x:f>
        <x:v>주가 미확인·연결 전</x:v>
      </x:c>
      <x:c r="J249" s="141" t="n">
        <x:f>COUNTIF('02_종목반응'!$B$6:$B$166,A249)</x:f>
        <x:v>0</x:v>
      </x:c>
      <x:c r="K249" s="111" t="str">
        <x:v>출시·발견 → 이용자 유입 → 공유·경쟁 → 대중화 → 후속 서비스</x:v>
      </x:c>
      <x:c r="L249" s="111" t="str">
        <x:v>S211;S212;S237</x:v>
      </x:c>
    </x:row>
    <x:row r="250" ht="42" customHeight="1">
      <x:c r="A250" s="111" t="str">
        <x:v>TR2013-10</x:v>
      </x:c>
      <x:c r="B250" s="141" t="n">
        <x:v>2013</x:v>
      </x:c>
      <x:c r="C250" s="153" t="str">
        <x:v>콘텐츠·엔터</x:v>
      </x:c>
      <x:c r="D250" s="153" t="str">
        <x:v>음악·댄스</x:v>
      </x:c>
      <x:c r="E250" s="111" t="str">
        <x:v>빠빠빠 직렬5기통춤</x:v>
      </x:c>
      <x:c r="F250" s="111" t="str">
        <x:v>헬멧 의상과 단순 점프 안무가 패러디 영상에 적합했다.</x:v>
      </x:c>
      <x:c r="G250" s="111" t="str">
        <x:v>유튜브·TV·커뮤니티</x:v>
      </x:c>
      <x:c r="H250" s="111" t="str">
        <x:v>연말 검색·플랫폼 결산 또는 동시기 보도에서 확산이 확인됨</x:v>
      </x:c>
      <x:c r="I250" s="141" t="str">
        <x:f>IF(J250&gt;0,"주가 반응 기록 있음","주가 미확인·연결 전")</x:f>
        <x:v>주가 미확인·연결 전</x:v>
      </x:c>
      <x:c r="J250" s="141" t="n">
        <x:f>COUNTIF('02_종목반응'!$B$6:$B$166,A250)</x:f>
        <x:v>0</x:v>
      </x:c>
      <x:c r="K250" s="111" t="str">
        <x:v>발화 → 검색·공유 증가 → 일상 언급·모방 → 관련 소비 탐색 → 관심 둔화</x:v>
      </x:c>
      <x:c r="L250" s="111" t="str">
        <x:v>S211;S212;S237</x:v>
      </x:c>
    </x:row>
    <x:row r="251" ht="42" customHeight="1">
      <x:c r="A251" s="111" t="str">
        <x:v>TR2013-04</x:v>
      </x:c>
      <x:c r="B251" s="141" t="n">
        <x:v>2013</x:v>
      </x:c>
      <x:c r="C251" s="153" t="str">
        <x:v>디지털·플랫폼</x:v>
      </x:c>
      <x:c r="D251" s="153" t="str">
        <x:v>SNS·커뮤니티</x:v>
      </x:c>
      <x:c r="E251" s="111" t="str">
        <x:v>네이버 밴드</x:v>
      </x:c>
      <x:c r="F251" s="111" t="str">
        <x:v>학교·동호회·가족 단위의 폐쇄형 소통 수요를 충족했다.</x:v>
      </x:c>
      <x:c r="G251" s="111" t="str">
        <x:v>네이버 밴드·모바일</x:v>
      </x:c>
      <x:c r="H251" s="111" t="str">
        <x:v>연말 검색·플랫폼 결산 또는 동시기 보도에서 확산이 확인됨</x:v>
      </x:c>
      <x:c r="I251" s="141" t="str">
        <x:f>IF(J251&gt;0,"주가 반응 기록 있음","주가 미확인·연결 전")</x:f>
        <x:v>주가 미확인·연결 전</x:v>
      </x:c>
      <x:c r="J251" s="141" t="n">
        <x:f>COUNTIF('02_종목반응'!$B$6:$B$166,A251)</x:f>
        <x:v>0</x:v>
      </x:c>
      <x:c r="K251" s="111" t="str">
        <x:v>출시·발견 → 이용자 유입 → 공유·경쟁 → 대중화 → 후속 서비스</x:v>
      </x:c>
      <x:c r="L251" s="111" t="str">
        <x:v>S211;S212;S237</x:v>
      </x:c>
    </x:row>
    <x:row r="252" ht="42" customHeight="1">
      <x:c r="A252" s="111" t="str">
        <x:v>TR2013-01</x:v>
      </x:c>
      <x:c r="B252" s="141" t="n">
        <x:v>2013</x:v>
      </x:c>
      <x:c r="C252" s="153" t="str">
        <x:v>게임·e스포츠</x:v>
      </x:c>
      <x:c r="D252" s="153" t="str">
        <x:v>모바일게임</x:v>
      </x:c>
      <x:c r="E252" s="111" t="str">
        <x:v>다함께 차차차</x:v>
      </x:c>
      <x:c r="F252" s="111" t="str">
        <x:v>간단한 레이싱과 친구 점수 경쟁이 메신저 기반 설치를 끌었다.</x:v>
      </x:c>
      <x:c r="G252" s="111" t="str">
        <x:v>카카오톡 게임하기</x:v>
      </x:c>
      <x:c r="H252" s="111" t="str">
        <x:v>연말 검색·플랫폼 결산 또는 동시기 보도에서 확산이 확인됨</x:v>
      </x:c>
      <x:c r="I252" s="141" t="str">
        <x:f>IF(J252&gt;0,"주가 반응 기록 있음","주가 미확인·연결 전")</x:f>
        <x:v>주가 미확인·연결 전</x:v>
      </x:c>
      <x:c r="J252" s="141" t="n">
        <x:f>COUNTIF('02_종목반응'!$B$6:$B$166,A252)</x:f>
        <x:v>0</x:v>
      </x:c>
      <x:c r="K252" s="111" t="str">
        <x:v>출시·발견 → 이용자 유입 → 공유·경쟁 → 대중화 → 후속 서비스</x:v>
      </x:c>
      <x:c r="L252" s="111" t="str">
        <x:v>S211;S212;S237</x:v>
      </x:c>
    </x:row>
    <x:row r="253" ht="42" customHeight="1">
      <x:c r="A253" s="111" t="str">
        <x:v>TR2013-03</x:v>
      </x:c>
      <x:c r="B253" s="141" t="n">
        <x:v>2013</x:v>
      </x:c>
      <x:c r="C253" s="153" t="str">
        <x:v>게임·e스포츠</x:v>
      </x:c>
      <x:c r="D253" s="153" t="str">
        <x:v>모바일게임</x:v>
      </x:c>
      <x:c r="E253" s="111" t="str">
        <x:v>모바일게임 국민 여가화</x:v>
      </x:c>
      <x:c r="F253" s="111" t="str">
        <x:v>스마트폰 보급과 메신저 유통이 게임 이용층을 전 연령대로 넓혔다.</x:v>
      </x:c>
      <x:c r="G253" s="111" t="str">
        <x:v>카카오톡·앱스토어</x:v>
      </x:c>
      <x:c r="H253" s="111" t="str">
        <x:v>연말 검색·플랫폼 결산 또는 동시기 보도에서 확산이 확인됨</x:v>
      </x:c>
      <x:c r="I253" s="141" t="str">
        <x:f>IF(J253&gt;0,"주가 반응 기록 있음","주가 미확인·연결 전")</x:f>
        <x:v>주가 미확인·연결 전</x:v>
      </x:c>
      <x:c r="J253" s="141" t="n">
        <x:f>COUNTIF('02_종목반응'!$B$6:$B$166,A253)</x:f>
        <x:v>0</x:v>
      </x:c>
      <x:c r="K253" s="111" t="str">
        <x:v>출시·발견 → 이용자 유입 → 공유·경쟁 → 대중화 → 후속 서비스</x:v>
      </x:c>
      <x:c r="L253" s="111" t="str">
        <x:v>S211;S212;S237</x:v>
      </x:c>
    </x:row>
    <x:row r="254" ht="42" customHeight="1">
      <x:c r="A254" s="111" t="str">
        <x:v>TR2013-02</x:v>
      </x:c>
      <x:c r="B254" s="141" t="n">
        <x:v>2013</x:v>
      </x:c>
      <x:c r="C254" s="153" t="str">
        <x:v>게임·e스포츠</x:v>
      </x:c>
      <x:c r="D254" s="153" t="str">
        <x:v>모바일게임</x:v>
      </x:c>
      <x:c r="E254" s="111" t="str">
        <x:v>캔디팡</x:v>
      </x:c>
      <x:c r="F254" s="111" t="str">
        <x:v>퍼즐 규칙과 친구 초대 보상이 짧은 시간 반복 플레이를 만들었다.</x:v>
      </x:c>
      <x:c r="G254" s="111" t="str">
        <x:v>카카오톡 게임하기</x:v>
      </x:c>
      <x:c r="H254" s="111" t="str">
        <x:v>연말 검색·플랫폼 결산 또는 동시기 보도에서 확산이 확인됨</x:v>
      </x:c>
      <x:c r="I254" s="141" t="str">
        <x:f>IF(J254&gt;0,"주가 반응 기록 있음","주가 미확인·연결 전")</x:f>
        <x:v>주가 미확인·연결 전</x:v>
      </x:c>
      <x:c r="J254" s="141" t="n">
        <x:f>COUNTIF('02_종목반응'!$B$6:$B$166,A254)</x:f>
        <x:v>0</x:v>
      </x:c>
      <x:c r="K254" s="111" t="str">
        <x:v>출시·발견 → 이용자 유입 → 공유·경쟁 → 대중화 → 후속 서비스</x:v>
      </x:c>
      <x:c r="L254" s="111" t="str">
        <x:v>S211;S212;S237</x:v>
      </x:c>
    </x:row>
    <x:row r="255" ht="42" customHeight="1">
      <x:c r="A255" s="111" t="str">
        <x:v>TR2013-11</x:v>
      </x:c>
      <x:c r="B255" s="141" t="n">
        <x:v>2013</x:v>
      </x:c>
      <x:c r="C255" s="153" t="str">
        <x:v>패션·뷰티</x:v>
      </x:c>
      <x:c r="D255" s="153" t="str">
        <x:v>뷰티·화장품</x:v>
      </x:c>
      <x:c r="E255" s="111" t="str">
        <x:v>포토샵 없는 셀카앱</x:v>
      </x:c>
      <x:c r="F255" s="111" t="str">
        <x:v>모바일 필터와 보정 기능이 사진 공유 전 편집 습관을 만들었다.</x:v>
      </x:c>
      <x:c r="G255" s="111" t="str">
        <x:v>스마트폰 앱·SNS</x:v>
      </x:c>
      <x:c r="H255" s="111" t="str">
        <x:v>연말 검색·플랫폼 결산 또는 동시기 보도에서 확산이 확인됨</x:v>
      </x:c>
      <x:c r="I255" s="141" t="str">
        <x:f>IF(J255&gt;0,"주가 반응 기록 있음","주가 미확인·연결 전")</x:f>
        <x:v>주가 미확인·연결 전</x:v>
      </x:c>
      <x:c r="J255" s="141" t="n">
        <x:f>COUNTIF('02_종목반응'!$B$6:$B$166,A255)</x:f>
        <x:v>0</x:v>
      </x:c>
      <x:c r="K255" s="111" t="str">
        <x:v>출시·발견 → 이용자 유입 → 공유·경쟁 → 대중화 → 후속 서비스</x:v>
      </x:c>
      <x:c r="L255" s="111" t="str">
        <x:v>S211;S212;S237</x:v>
      </x:c>
    </x:row>
    <x:row r="256" ht="42" customHeight="1">
      <x:c r="A256" s="111" t="str">
        <x:v>EV0013</x:v>
      </x:c>
      <x:c r="B256" s="141" t="n">
        <x:v>2013</x:v>
      </x:c>
      <x:c r="C256" s="153" t="str">
        <x:v>스포츠·건강</x:v>
      </x:c>
      <x:c r="D256" s="153" t="str">
        <x:v>운동·피트니스</x:v>
      </x:c>
      <x:c r="E256" s="111" t="str">
        <x:v>남양유업 갑질 녹취·불매운동</x:v>
      </x:c>
      <x:c r="F256" s="111" t="str">
        <x:v>대리점주 폭언 녹취가 온라인에서 공유되며 ‘갑질’의 상징이 됐고 소비자 불매로 번졌다.</x:v>
      </x:c>
      <x:c r="G256" s="111" t="str">
        <x:v>포털·SNS·커뮤니티</x:v>
      </x:c>
      <x:c r="H256" s="111" t="str">
        <x:v>대표 방향 하락 | 가격·반응 논란 후 1주일 15% 하락 | 단일 핵심 출처</x:v>
      </x:c>
      <x:c r="I256" s="141" t="str">
        <x:f>IF(J256&gt;0,"주가 반응 기록 있음","주가 미확인·연결 전")</x:f>
        <x:v>주가 반응 기록 있음</x:v>
      </x:c>
      <x:c r="J256" s="141" t="n">
        <x:f>COUNTIF('02_종목반응'!$B$6:$B$166,A256)</x:f>
        <x:v>1</x:v>
      </x:c>
      <x:c r="K256" s="111" t="str">
        <x:v>발화 → 포털·SNS 확산 → 관련주 묶기 → 주가 반응 → 기사·공시로 검증</x:v>
      </x:c>
      <x:c r="L256" s="111" t="str">
        <x:v>S104</x:v>
      </x:c>
    </x:row>
    <x:row r="257" ht="42" customHeight="1">
      <x:c r="A257" s="111" t="str">
        <x:v>TR2012-09</x:v>
      </x:c>
      <x:c r="B257" s="141" t="n">
        <x:v>2012</x:v>
      </x:c>
      <x:c r="C257" s="153" t="str">
        <x:v>식품·음료</x:v>
      </x:c>
      <x:c r="D257" s="153" t="str">
        <x:v>외식·프랜차이즈</x:v>
      </x:c>
      <x:c r="E257" s="111" t="str">
        <x:v>컵 닭강정</x:v>
      </x:c>
      <x:c r="F257" s="111" t="str">
        <x:v>작은 컵에 담아 걷고 먹는 간편함이 번화가 간식으로 퍼졌다.</x:v>
      </x:c>
      <x:c r="G257" s="111" t="str">
        <x:v>블로그·상권</x:v>
      </x:c>
      <x:c r="H257" s="111" t="str">
        <x:v>연말 검색·플랫폼 결산 또는 동시기 보도에서 확산이 확인됨</x:v>
      </x:c>
      <x:c r="I257" s="141" t="str">
        <x:f>IF(J257&gt;0,"주가 반응 기록 있음","주가 미확인·연결 전")</x:f>
        <x:v>주가 미확인·연결 전</x:v>
      </x:c>
      <x:c r="J257" s="141" t="n">
        <x:f>COUNTIF('02_종목반응'!$B$6:$B$166,A257)</x:f>
        <x:v>0</x:v>
      </x:c>
      <x:c r="K257" s="111" t="str">
        <x:v>첫 노출 → 후기·인증 → 검색·품절 → 모방 제품 → 재구매 또는 소멸</x:v>
      </x:c>
      <x:c r="L257" s="111" t="str">
        <x:v>S209;S210;S237</x:v>
      </x:c>
    </x:row>
    <x:row r="258" ht="42" customHeight="1">
      <x:c r="A258" s="111" t="str">
        <x:v>TR2012-05</x:v>
      </x:c>
      <x:c r="B258" s="141" t="n">
        <x:v>2012</x:v>
      </x:c>
      <x:c r="C258" s="153" t="str">
        <x:v>콘텐츠·엔터</x:v>
      </x:c>
      <x:c r="D258" s="153" t="str">
        <x:v>음악·댄스</x:v>
      </x:c>
      <x:c r="E258" s="111" t="str">
        <x:v>벚꽃엔딩</x:v>
      </x:c>
      <x:c r="F258" s="111" t="str">
        <x:v>봄 풍경과 어울리는 가사가 매년 계절 재생을 부르는 패턴을 만들었다.</x:v>
      </x:c>
      <x:c r="G258" s="111" t="str">
        <x:v>음원·유튜브·SNS</x:v>
      </x:c>
      <x:c r="H258" s="111" t="str">
        <x:v>연말 검색·플랫폼 결산 또는 동시기 보도에서 확산이 확인됨</x:v>
      </x:c>
      <x:c r="I258" s="141" t="str">
        <x:f>IF(J258&gt;0,"주가 반응 기록 있음","주가 미확인·연결 전")</x:f>
        <x:v>주가 미확인·연결 전</x:v>
      </x:c>
      <x:c r="J258" s="141" t="n">
        <x:f>COUNTIF('02_종목반응'!$B$6:$B$166,A258)</x:f>
        <x:v>0</x:v>
      </x:c>
      <x:c r="K258" s="111" t="str">
        <x:v>공개·방영 → 클립·검색 증가 → 팬덤·패러디 → 소비 확장 → 후속 관심</x:v>
      </x:c>
      <x:c r="L258" s="111" t="str">
        <x:v>S209;S210;S237</x:v>
      </x:c>
    </x:row>
    <x:row r="259" ht="42" customHeight="1">
      <x:c r="A259" s="111" t="str">
        <x:v>EV0011</x:v>
      </x:c>
      <x:c r="B259" s="141" t="n">
        <x:v>2012</x:v>
      </x:c>
      <x:c r="C259" s="153" t="str">
        <x:v>콘텐츠·엔터</x:v>
      </x:c>
      <x:c r="D259" s="153" t="str">
        <x:v>팬덤·공연</x:v>
      </x:c>
      <x:c r="E259" s="111" t="str">
        <x:v>싸이 강남스타일</x:v>
      </x:c>
      <x:c r="F259" s="111" t="str">
        <x:v>따라 하기 쉬운 말춤과 유머러스한 뮤직비디오가 유튜브 추천·패러디를 타고 세계적으로 확산됐다.</x:v>
      </x:c>
      <x:c r="G259" s="111" t="str">
        <x:v>방송·OTT·유튜브·팬커뮤니티</x:v>
      </x:c>
      <x:c r="H259" s="111" t="str">
        <x:v>대표 방향 상승 | 가격·반응 9월 초 대비 약 50%, 이후 4일 연속 상한가 | 복수 출처 교차확인</x:v>
      </x:c>
      <x:c r="I259" s="141" t="str">
        <x:f>IF(J259&gt;0,"주가 반응 기록 있음","주가 미확인·연결 전")</x:f>
        <x:v>주가 반응 기록 있음</x:v>
      </x:c>
      <x:c r="J259" s="141" t="n">
        <x:f>COUNTIF('02_종목반응'!$B$6:$B$166,A259)</x:f>
        <x:v>1</x:v>
      </x:c>
      <x:c r="K259" s="111" t="str">
        <x:v>공개·방영 → 조회수·팬덤 확산 → 관련 기업 탐색 → 주가 반응 → 흥행 지속성 검증</x:v>
      </x:c>
      <x:c r="L259" s="111" t="str">
        <x:v>S31;S32</x:v>
      </x:c>
    </x:row>
    <x:row r="260" ht="42" customHeight="1">
      <x:c r="A260" s="111" t="str">
        <x:v>TR2012-08</x:v>
      </x:c>
      <x:c r="B260" s="141" t="n">
        <x:v>2012</x:v>
      </x:c>
      <x:c r="C260" s="153" t="str">
        <x:v>디지털·플랫폼</x:v>
      </x:c>
      <x:c r="D260" s="153" t="str">
        <x:v>IT기기·통신</x:v>
      </x:c>
      <x:c r="E260" s="111" t="str">
        <x:v>LTE 속도 경쟁</x:v>
      </x:c>
      <x:c r="F260" s="111" t="str">
        <x:v>고속 모바일 데이터 경험이 단말·통신사 비교 콘텐츠를 키웠다.</x:v>
      </x:c>
      <x:c r="G260" s="111" t="str">
        <x:v>광고·IT 커뮤니티</x:v>
      </x:c>
      <x:c r="H260" s="111" t="str">
        <x:v>연말 검색·플랫폼 결산 또는 동시기 보도에서 확산이 확인됨</x:v>
      </x:c>
      <x:c r="I260" s="141" t="str">
        <x:f>IF(J260&gt;0,"주가 반응 기록 있음","주가 미확인·연결 전")</x:f>
        <x:v>주가 미확인·연결 전</x:v>
      </x:c>
      <x:c r="J260" s="141" t="n">
        <x:f>COUNTIF('02_종목반응'!$B$6:$B$166,A260)</x:f>
        <x:v>0</x:v>
      </x:c>
      <x:c r="K260" s="111" t="str">
        <x:v>발화 → 검색·공유 증가 → 일상 언급·모방 → 관련 소비 탐색 → 관심 둔화</x:v>
      </x:c>
      <x:c r="L260" s="111" t="str">
        <x:v>S209;S210;S237</x:v>
      </x:c>
    </x:row>
    <x:row r="261" ht="42" customHeight="1">
      <x:c r="A261" s="111" t="str">
        <x:v>TR2012-10</x:v>
      </x:c>
      <x:c r="B261" s="141" t="n">
        <x:v>2012</x:v>
      </x:c>
      <x:c r="C261" s="153" t="str">
        <x:v>디지털·플랫폼</x:v>
      </x:c>
      <x:c r="D261" s="153" t="str">
        <x:v>SNS·커뮤니티</x:v>
      </x:c>
      <x:c r="E261" s="111" t="str">
        <x:v>카카오스토리</x:v>
      </x:c>
      <x:c r="F261" s="111" t="str">
        <x:v>휴대폰 사진과 지인 관계를 결합해 일상 공유가 쉬워졌다.</x:v>
      </x:c>
      <x:c r="G261" s="111" t="str">
        <x:v>카카오스토리·모바일</x:v>
      </x:c>
      <x:c r="H261" s="111" t="str">
        <x:v>연말 검색·플랫폼 결산 또는 동시기 보도에서 확산이 확인됨</x:v>
      </x:c>
      <x:c r="I261" s="141" t="str">
        <x:f>IF(J261&gt;0,"주가 반응 기록 있음","주가 미확인·연결 전")</x:f>
        <x:v>주가 미확인·연결 전</x:v>
      </x:c>
      <x:c r="J261" s="141" t="n">
        <x:f>COUNTIF('02_종목반응'!$B$6:$B$166,A261)</x:f>
        <x:v>0</x:v>
      </x:c>
      <x:c r="K261" s="111" t="str">
        <x:v>출시·발견 → 이용자 유입 → 공유·경쟁 → 대중화 → 후속 서비스</x:v>
      </x:c>
      <x:c r="L261" s="111" t="str">
        <x:v>S209;S210;S237</x:v>
      </x:c>
    </x:row>
    <x:row r="262" ht="42" customHeight="1">
      <x:c r="A262" s="111" t="str">
        <x:v>TR2012-02</x:v>
      </x:c>
      <x:c r="B262" s="141" t="n">
        <x:v>2012</x:v>
      </x:c>
      <x:c r="C262" s="153" t="str">
        <x:v>게임·e스포츠</x:v>
      </x:c>
      <x:c r="D262" s="153" t="str">
        <x:v>모바일게임</x:v>
      </x:c>
      <x:c r="E262" s="111" t="str">
        <x:v>드래곤플라이트</x:v>
      </x:c>
      <x:c r="F262" s="111" t="str">
        <x:v>짧은 플레이와 친구 점수 경쟁이 입소문 설치를 만들었다.</x:v>
      </x:c>
      <x:c r="G262" s="111" t="str">
        <x:v>카카오톡·모바일</x:v>
      </x:c>
      <x:c r="H262" s="111" t="str">
        <x:v>연말 검색·플랫폼 결산 또는 동시기 보도에서 확산이 확인됨</x:v>
      </x:c>
      <x:c r="I262" s="141" t="str">
        <x:f>IF(J262&gt;0,"주가 반응 기록 있음","주가 미확인·연결 전")</x:f>
        <x:v>주가 미확인·연결 전</x:v>
      </x:c>
      <x:c r="J262" s="141" t="n">
        <x:f>COUNTIF('02_종목반응'!$B$6:$B$166,A262)</x:f>
        <x:v>0</x:v>
      </x:c>
      <x:c r="K262" s="111" t="str">
        <x:v>출시·발견 → 이용자 유입 → 공유·경쟁 → 대중화 → 후속 서비스</x:v>
      </x:c>
      <x:c r="L262" s="111" t="str">
        <x:v>S209;S210;S237</x:v>
      </x:c>
    </x:row>
    <x:row r="263" ht="42" customHeight="1">
      <x:c r="A263" s="111" t="str">
        <x:v>TR2012-07</x:v>
      </x:c>
      <x:c r="B263" s="141" t="n">
        <x:v>2012</x:v>
      </x:c>
      <x:c r="C263" s="153" t="str">
        <x:v>게임·e스포츠</x:v>
      </x:c>
      <x:c r="D263" s="153" t="str">
        <x:v>모바일게임</x:v>
      </x:c>
      <x:c r="E263" s="111" t="str">
        <x:v>룰더스카이</x:v>
      </x:c>
      <x:c r="F263" s="111" t="str">
        <x:v>농장형 꾸미기와 친구 방문이 장시간 소셜 플레이를 만들었다.</x:v>
      </x:c>
      <x:c r="G263" s="111" t="str">
        <x:v>모바일·SNS</x:v>
      </x:c>
      <x:c r="H263" s="111" t="str">
        <x:v>연말 검색·플랫폼 결산 또는 동시기 보도에서 확산이 확인됨</x:v>
      </x:c>
      <x:c r="I263" s="141" t="str">
        <x:f>IF(J263&gt;0,"주가 반응 기록 있음","주가 미확인·연결 전")</x:f>
        <x:v>주가 미확인·연결 전</x:v>
      </x:c>
      <x:c r="J263" s="141" t="n">
        <x:f>COUNTIF('02_종목반응'!$B$6:$B$166,A263)</x:f>
        <x:v>0</x:v>
      </x:c>
      <x:c r="K263" s="111" t="str">
        <x:v>출시·발견 → 이용자 유입 → 공유·경쟁 → 대중화 → 후속 서비스</x:v>
      </x:c>
      <x:c r="L263" s="111" t="str">
        <x:v>S209;S210;S237</x:v>
      </x:c>
    </x:row>
    <x:row r="264" ht="42" customHeight="1">
      <x:c r="A264" s="111" t="str">
        <x:v>TR2012-01</x:v>
      </x:c>
      <x:c r="B264" s="141" t="n">
        <x:v>2012</x:v>
      </x:c>
      <x:c r="C264" s="153" t="str">
        <x:v>게임·e스포츠</x:v>
      </x:c>
      <x:c r="D264" s="153" t="str">
        <x:v>모바일게임</x:v>
      </x:c>
      <x:c r="E264" s="111" t="str">
        <x:v>애니팡</x:v>
      </x:c>
      <x:c r="F264" s="111" t="str">
        <x:v>친구 순위와 하트 요청이 경쟁과 초대 메시지를 반복시켰다.</x:v>
      </x:c>
      <x:c r="G264" s="111" t="str">
        <x:v>카카오톡 게임하기</x:v>
      </x:c>
      <x:c r="H264" s="111" t="str">
        <x:v>연말 검색·플랫폼 결산 또는 동시기 보도에서 확산이 확인됨</x:v>
      </x:c>
      <x:c r="I264" s="141" t="str">
        <x:f>IF(J264&gt;0,"주가 반응 기록 있음","주가 미확인·연결 전")</x:f>
        <x:v>주가 미확인·연결 전</x:v>
      </x:c>
      <x:c r="J264" s="141" t="n">
        <x:f>COUNTIF('02_종목반응'!$B$6:$B$166,A264)</x:f>
        <x:v>0</x:v>
      </x:c>
      <x:c r="K264" s="111" t="str">
        <x:v>출시·발견 → 이용자 유입 → 공유·경쟁 → 대중화 → 후속 서비스</x:v>
      </x:c>
      <x:c r="L264" s="111" t="str">
        <x:v>S209;S210;S237</x:v>
      </x:c>
    </x:row>
    <x:row r="265" ht="42" customHeight="1">
      <x:c r="A265" s="111" t="str">
        <x:v>TR2012-03</x:v>
      </x:c>
      <x:c r="B265" s="141" t="n">
        <x:v>2012</x:v>
      </x:c>
      <x:c r="C265" s="153" t="str">
        <x:v>게임·e스포츠</x:v>
      </x:c>
      <x:c r="D265" s="153" t="str">
        <x:v>모바일게임</x:v>
      </x:c>
      <x:c r="E265" s="111" t="str">
        <x:v>카카오톡 게임하기</x:v>
      </x:c>
      <x:c r="F265" s="111" t="str">
        <x:v>메신저 친구 관계가 게임 초대·순위 경쟁으로 연결됐다.</x:v>
      </x:c>
      <x:c r="G265" s="111" t="str">
        <x:v>카카오톡·앱스토어</x:v>
      </x:c>
      <x:c r="H265" s="111" t="str">
        <x:v>연말 검색·플랫폼 결산 또는 동시기 보도에서 확산이 확인됨</x:v>
      </x:c>
      <x:c r="I265" s="141" t="str">
        <x:f>IF(J265&gt;0,"주가 반응 기록 있음","주가 미확인·연결 전")</x:f>
        <x:v>주가 미확인·연결 전</x:v>
      </x:c>
      <x:c r="J265" s="141" t="n">
        <x:f>COUNTIF('02_종목반응'!$B$6:$B$166,A265)</x:f>
        <x:v>0</x:v>
      </x:c>
      <x:c r="K265" s="111" t="str">
        <x:v>출시·발견 → 이용자 유입 → 공유·경쟁 → 대중화 → 후속 서비스</x:v>
      </x:c>
      <x:c r="L265" s="111" t="str">
        <x:v>S209;S210;S237</x:v>
      </x:c>
    </x:row>
    <x:row r="266" ht="42" customHeight="1">
      <x:c r="A266" s="111" t="str">
        <x:v>TR2012-06</x:v>
      </x:c>
      <x:c r="B266" s="141" t="n">
        <x:v>2012</x:v>
      </x:c>
      <x:c r="C266" s="153" t="str">
        <x:v>패션·뷰티</x:v>
      </x:c>
      <x:c r="D266" s="153" t="str">
        <x:v>패션·스타일</x:v>
      </x:c>
      <x:c r="E266" s="111" t="str">
        <x:v>패션왕 웹툰</x:v>
      </x:c>
      <x:c r="F266" s="111" t="str">
        <x:v>과장된 패션과 대사가 캡처·유행어·패러디로 번졌다.</x:v>
      </x:c>
      <x:c r="G266" s="111" t="str">
        <x:v>네이버웹툰·커뮤니티</x:v>
      </x:c>
      <x:c r="H266" s="111" t="str">
        <x:v>연말 검색·플랫폼 결산 또는 동시기 보도에서 확산이 확인됨</x:v>
      </x:c>
      <x:c r="I266" s="141" t="str">
        <x:f>IF(J266&gt;0,"주가 반응 기록 있음","주가 미확인·연결 전")</x:f>
        <x:v>주가 미확인·연결 전</x:v>
      </x:c>
      <x:c r="J266" s="141" t="n">
        <x:f>COUNTIF('02_종목반응'!$B$6:$B$166,A266)</x:f>
        <x:v>0</x:v>
      </x:c>
      <x:c r="K266" s="111" t="str">
        <x:v>공개·방영 → 클립·검색 증가 → 팬덤·패러디 → 소비 확장 → 후속 관심</x:v>
      </x:c>
      <x:c r="L266" s="111" t="str">
        <x:v>S209;S210;S237</x:v>
      </x:c>
    </x:row>
    <x:row r="267" ht="42" customHeight="1">
      <x:c r="A267" s="111" t="str">
        <x:v>TR2012-04</x:v>
      </x:c>
      <x:c r="B267" s="141" t="n">
        <x:v>2012</x:v>
      </x:c>
      <x:c r="C267" s="153" t="str">
        <x:v>사회·온라인문화</x:v>
      </x:c>
      <x:c r="D267" s="153" t="str">
        <x:v>밈·유행어</x:v>
      </x:c>
      <x:c r="E267" s="111" t="str">
        <x:v>귀요미송·1더하기1은귀요미</x:v>
      </x:c>
      <x:c r="F267" s="111" t="str">
        <x:v>손동작과 짧은 구호가 누구나 복제할 수 있는 영상 밈이 됐다.</x:v>
      </x:c>
      <x:c r="G267" s="111" t="str">
        <x:v>유튜브·커뮤니티</x:v>
      </x:c>
      <x:c r="H267" s="111" t="str">
        <x:v>연말 검색·플랫폼 결산 또는 동시기 보도에서 확산이 확인됨</x:v>
      </x:c>
      <x:c r="I267" s="141" t="str">
        <x:f>IF(J267&gt;0,"주가 반응 기록 있음","주가 미확인·연결 전")</x:f>
        <x:v>주가 미확인·연결 전</x:v>
      </x:c>
      <x:c r="J267" s="141" t="n">
        <x:f>COUNTIF('02_종목반응'!$B$6:$B$166,A267)</x:f>
        <x:v>0</x:v>
      </x:c>
      <x:c r="K267" s="111" t="str">
        <x:v>발화 → 검색·공유 증가 → 일상 언급·모방 → 관련 소비 탐색 → 관심 둔화</x:v>
      </x:c>
      <x:c r="L267" s="111" t="str">
        <x:v>S209;S210;S237</x:v>
      </x:c>
    </x:row>
    <x:row r="268" ht="42" customHeight="1">
      <x:c r="A268" s="111" t="str">
        <x:v>TR2011-08</x:v>
      </x:c>
      <x:c r="B268" s="141" t="n">
        <x:v>2011</x:v>
      </x:c>
      <x:c r="C268" s="153" t="str">
        <x:v>식품·음료</x:v>
      </x:c>
      <x:c r="D268" s="153" t="str">
        <x:v>식품 유행 일반</x:v>
      </x:c>
      <x:c r="E268" s="111" t="str">
        <x:v>꼬꼬면</x:v>
      </x:c>
      <x:c r="F268" s="111" t="str">
        <x:v>예능에서 탄생한 하얀 국물 라면이 출시 직후 품절과 시식 후기를 만들었다.</x:v>
      </x:c>
      <x:c r="G268" s="111" t="str">
        <x:v>TV 예능·마트·커뮤니티</x:v>
      </x:c>
      <x:c r="H268" s="111" t="str">
        <x:v>연말 검색·플랫폼 결산 또는 동시기 보도에서 확산이 확인됨</x:v>
      </x:c>
      <x:c r="I268" s="141" t="str">
        <x:f>IF(J268&gt;0,"주가 반응 기록 있음","주가 미확인·연결 전")</x:f>
        <x:v>주가 미확인·연결 전</x:v>
      </x:c>
      <x:c r="J268" s="141" t="n">
        <x:f>COUNTIF('02_종목반응'!$B$6:$B$166,A268)</x:f>
        <x:v>0</x:v>
      </x:c>
      <x:c r="K268" s="111" t="str">
        <x:v>첫 노출 → 후기·인증 → 검색·품절 → 모방 제품 → 재구매 또는 소멸</x:v>
      </x:c>
      <x:c r="L268" s="111" t="str">
        <x:v>S207;S208;S237</x:v>
      </x:c>
    </x:row>
    <x:row r="269" ht="42" customHeight="1">
      <x:c r="A269" s="111" t="str">
        <x:v>TR2011-07</x:v>
      </x:c>
      <x:c r="B269" s="141" t="n">
        <x:v>2011</x:v>
      </x:c>
      <x:c r="C269" s="153" t="str">
        <x:v>식품·음료</x:v>
      </x:c>
      <x:c r="D269" s="153" t="str">
        <x:v>외식·프랜차이즈</x:v>
      </x:c>
      <x:c r="E269" s="111" t="str">
        <x:v>버블티</x:v>
      </x:c>
      <x:c r="F269" s="111" t="str">
        <x:v>쫄깃한 펄 식감과 테이크아웃 사진이 젊은 소비층을 끌었다.</x:v>
      </x:c>
      <x:c r="G269" s="111" t="str">
        <x:v>블로그·상권·커뮤니티</x:v>
      </x:c>
      <x:c r="H269" s="111" t="str">
        <x:v>연말 검색·플랫폼 결산 또는 동시기 보도에서 확산이 확인됨</x:v>
      </x:c>
      <x:c r="I269" s="141" t="str">
        <x:f>IF(J269&gt;0,"주가 반응 기록 있음","주가 미확인·연결 전")</x:f>
        <x:v>주가 미확인·연결 전</x:v>
      </x:c>
      <x:c r="J269" s="141" t="n">
        <x:f>COUNTIF('02_종목반응'!$B$6:$B$166,A269)</x:f>
        <x:v>0</x:v>
      </x:c>
      <x:c r="K269" s="111" t="str">
        <x:v>첫 노출 → 후기·인증 → 검색·품절 → 모방 제품 → 재구매 또는 소멸</x:v>
      </x:c>
      <x:c r="L269" s="111" t="str">
        <x:v>S207;S208;S237</x:v>
      </x:c>
    </x:row>
    <x:row r="270" ht="42" customHeight="1">
      <x:c r="A270" s="111" t="str">
        <x:v>TR2011-03</x:v>
      </x:c>
      <x:c r="B270" s="141" t="n">
        <x:v>2011</x:v>
      </x:c>
      <x:c r="C270" s="153" t="str">
        <x:v>콘텐츠·엔터</x:v>
      </x:c>
      <x:c r="D270" s="153" t="str">
        <x:v>드라마·OTT</x:v>
      </x:c>
      <x:c r="E270" s="111" t="str">
        <x:v>드림하이</x:v>
      </x:c>
      <x:c r="F270" s="111" t="str">
        <x:v>아이돌 출연진과 성장 서사가 무대 클립과 팬덤 소비를 모았다.</x:v>
      </x:c>
      <x:c r="G270" s="111" t="str">
        <x:v>TV·유튜브·팬카페</x:v>
      </x:c>
      <x:c r="H270" s="111" t="str">
        <x:v>연말 검색·플랫폼 결산 또는 동시기 보도에서 확산이 확인됨</x:v>
      </x:c>
      <x:c r="I270" s="141" t="str">
        <x:f>IF(J270&gt;0,"주가 반응 기록 있음","주가 미확인·연결 전")</x:f>
        <x:v>주가 미확인·연결 전</x:v>
      </x:c>
      <x:c r="J270" s="141" t="n">
        <x:f>COUNTIF('02_종목반응'!$B$6:$B$166,A270)</x:f>
        <x:v>0</x:v>
      </x:c>
      <x:c r="K270" s="111" t="str">
        <x:v>공개·방영 → 클립·검색 증가 → 팬덤·패러디 → 소비 확장 → 후속 관심</x:v>
      </x:c>
      <x:c r="L270" s="111" t="str">
        <x:v>S207;S208;S237</x:v>
      </x:c>
    </x:row>
    <x:row r="271" ht="42" customHeight="1">
      <x:c r="A271" s="111" t="str">
        <x:v>TR2011-02</x:v>
      </x:c>
      <x:c r="B271" s="141" t="n">
        <x:v>2011</x:v>
      </x:c>
      <x:c r="C271" s="153" t="str">
        <x:v>콘텐츠·엔터</x:v>
      </x:c>
      <x:c r="D271" s="153" t="str">
        <x:v>드라마·OTT</x:v>
      </x:c>
      <x:c r="E271" s="111" t="str">
        <x:v>시크릿가든 현빈앓이</x:v>
      </x:c>
      <x:c r="F271" s="111" t="str">
        <x:v>대사·의상·OST가 캐릭터 팬덤과 패러디로 이어졌다.</x:v>
      </x:c>
      <x:c r="G271" s="111" t="str">
        <x:v>TV·포털·팬카페</x:v>
      </x:c>
      <x:c r="H271" s="111" t="str">
        <x:v>연말 검색·플랫폼 결산 또는 동시기 보도에서 확산이 확인됨</x:v>
      </x:c>
      <x:c r="I271" s="141" t="str">
        <x:f>IF(J271&gt;0,"주가 반응 기록 있음","주가 미확인·연결 전")</x:f>
        <x:v>주가 미확인·연결 전</x:v>
      </x:c>
      <x:c r="J271" s="141" t="n">
        <x:f>COUNTIF('02_종목반응'!$B$6:$B$166,A271)</x:f>
        <x:v>0</x:v>
      </x:c>
      <x:c r="K271" s="111" t="str">
        <x:v>공개·방영 → 클립·검색 증가 → 팬덤·패러디 → 소비 확장 → 후속 관심</x:v>
      </x:c>
      <x:c r="L271" s="111" t="str">
        <x:v>S207;S208;S237</x:v>
      </x:c>
    </x:row>
    <x:row r="272" ht="42" customHeight="1">
      <x:c r="A272" s="111" t="str">
        <x:v>TR2011-01</x:v>
      </x:c>
      <x:c r="B272" s="141" t="n">
        <x:v>2011</x:v>
      </x:c>
      <x:c r="C272" s="153" t="str">
        <x:v>콘텐츠·엔터</x:v>
      </x:c>
      <x:c r="D272" s="153" t="str">
        <x:v>음악·댄스</x:v>
      </x:c>
      <x:c r="E272" s="111" t="str">
        <x:v>나는 가수다</x:v>
      </x:c>
      <x:c r="F272" s="111" t="str">
        <x:v>가창 경연과 순위 공개가 무대 영상 재생과 실시간 토론을 만들었다.</x:v>
      </x:c>
      <x:c r="G272" s="111" t="str">
        <x:v>TV·포털·커뮤니티</x:v>
      </x:c>
      <x:c r="H272" s="111" t="str">
        <x:v>연말 검색·플랫폼 결산 또는 동시기 보도에서 확산이 확인됨</x:v>
      </x:c>
      <x:c r="I272" s="141" t="str">
        <x:f>IF(J272&gt;0,"주가 반응 기록 있음","주가 미확인·연결 전")</x:f>
        <x:v>주가 미확인·연결 전</x:v>
      </x:c>
      <x:c r="J272" s="141" t="n">
        <x:f>COUNTIF('02_종목반응'!$B$6:$B$166,A272)</x:f>
        <x:v>0</x:v>
      </x:c>
      <x:c r="K272" s="111" t="str">
        <x:v>공개·방영 → 클립·검색 증가 → 팬덤·패러디 → 소비 확장 → 후속 관심</x:v>
      </x:c>
      <x:c r="L272" s="111" t="str">
        <x:v>S207;S208;S237</x:v>
      </x:c>
    </x:row>
    <x:row r="273" ht="42" customHeight="1">
      <x:c r="A273" s="111" t="str">
        <x:v>TR2011-09</x:v>
      </x:c>
      <x:c r="B273" s="141" t="n">
        <x:v>2011</x:v>
      </x:c>
      <x:c r="C273" s="153" t="str">
        <x:v>콘텐츠·엔터</x:v>
      </x:c>
      <x:c r="D273" s="153" t="str">
        <x:v>음악·댄스</x:v>
      </x:c>
      <x:c r="E273" s="111" t="str">
        <x:v>셔플댄스</x:v>
      </x:c>
      <x:c r="F273" s="111" t="str">
        <x:v>반복 가능한 발동작과 음악 영상이 따라 하기 콘텐츠에 적합했다.</x:v>
      </x:c>
      <x:c r="G273" s="111" t="str">
        <x:v>유튜브·클럽·커뮤니티</x:v>
      </x:c>
      <x:c r="H273" s="111" t="str">
        <x:v>연말 검색·플랫폼 결산 또는 동시기 보도에서 확산이 확인됨</x:v>
      </x:c>
      <x:c r="I273" s="141" t="str">
        <x:f>IF(J273&gt;0,"주가 반응 기록 있음","주가 미확인·연결 전")</x:f>
        <x:v>주가 미확인·연결 전</x:v>
      </x:c>
      <x:c r="J273" s="141" t="n">
        <x:f>COUNTIF('02_종목반응'!$B$6:$B$166,A273)</x:f>
        <x:v>0</x:v>
      </x:c>
      <x:c r="K273" s="111" t="str">
        <x:v>원본 게시 → 따라 하기 → 해시태그 확산 → 변형·패러디 → 관심 둔화</x:v>
      </x:c>
      <x:c r="L273" s="111" t="str">
        <x:v>S207;S208;S237</x:v>
      </x:c>
    </x:row>
    <x:row r="274" ht="42" customHeight="1">
      <x:c r="A274" s="111" t="str">
        <x:v>TR2011-05</x:v>
      </x:c>
      <x:c r="B274" s="141" t="n">
        <x:v>2011</x:v>
      </x:c>
      <x:c r="C274" s="153" t="str">
        <x:v>디지털·플랫폼</x:v>
      </x:c>
      <x:c r="D274" s="153" t="str">
        <x:v>모바일·플랫폼</x:v>
      </x:c>
      <x:c r="E274" s="111" t="str">
        <x:v>카카오톡 국민 메신저화</x:v>
      </x:c>
      <x:c r="F274" s="111" t="str">
        <x:v>무료 메시지와 단체대화가 통신 습관을 빠르게 바꿨다.</x:v>
      </x:c>
      <x:c r="G274" s="111" t="str">
        <x:v>카카오톡·모바일</x:v>
      </x:c>
      <x:c r="H274" s="111" t="str">
        <x:v>연말 검색·플랫폼 결산 또는 동시기 보도에서 확산이 확인됨</x:v>
      </x:c>
      <x:c r="I274" s="141" t="str">
        <x:f>IF(J274&gt;0,"주가 반응 기록 있음","주가 미확인·연결 전")</x:f>
        <x:v>주가 미확인·연결 전</x:v>
      </x:c>
      <x:c r="J274" s="141" t="n">
        <x:f>COUNTIF('02_종목반응'!$B$6:$B$166,A274)</x:f>
        <x:v>0</x:v>
      </x:c>
      <x:c r="K274" s="111" t="str">
        <x:v>출시·발견 → 이용자 유입 → 공유·경쟁 → 대중화 → 후속 서비스</x:v>
      </x:c>
      <x:c r="L274" s="111" t="str">
        <x:v>S207;S208;S237</x:v>
      </x:c>
    </x:row>
    <x:row r="275" ht="42" customHeight="1">
      <x:c r="A275" s="111" t="str">
        <x:v>TR2011-04</x:v>
      </x:c>
      <x:c r="B275" s="141" t="n">
        <x:v>2011</x:v>
      </x:c>
      <x:c r="C275" s="153" t="str">
        <x:v>디지털·플랫폼</x:v>
      </x:c>
      <x:c r="D275" s="153" t="str">
        <x:v>IT기기·통신</x:v>
      </x:c>
      <x:c r="E275" s="111" t="str">
        <x:v>갤럭시S2</x:v>
      </x:c>
      <x:c r="F275" s="111" t="str">
        <x:v>고성능 스마트폰 경쟁과 사용 후기가 교체 수요를 자극했다.</x:v>
      </x:c>
      <x:c r="G275" s="111" t="str">
        <x:v>IT 커뮤니티·블로그</x:v>
      </x:c>
      <x:c r="H275" s="111" t="str">
        <x:v>연말 검색·플랫폼 결산 또는 동시기 보도에서 확산이 확인됨</x:v>
      </x:c>
      <x:c r="I275" s="141" t="str">
        <x:f>IF(J275&gt;0,"주가 반응 기록 있음","주가 미확인·연결 전")</x:f>
        <x:v>주가 미확인·연결 전</x:v>
      </x:c>
      <x:c r="J275" s="141" t="n">
        <x:f>COUNTIF('02_종목반응'!$B$6:$B$166,A275)</x:f>
        <x:v>0</x:v>
      </x:c>
      <x:c r="K275" s="111" t="str">
        <x:v>발화 → 검색·공유 증가 → 일상 언급·모방 → 관련 소비 탐색 → 관심 둔화</x:v>
      </x:c>
      <x:c r="L275" s="111" t="str">
        <x:v>S207;S208;S237</x:v>
      </x:c>
    </x:row>
    <x:row r="276" ht="42" customHeight="1">
      <x:c r="A276" s="111" t="str">
        <x:v>TR2011-06</x:v>
      </x:c>
      <x:c r="B276" s="141" t="n">
        <x:v>2011</x:v>
      </x:c>
      <x:c r="C276" s="153" t="str">
        <x:v>디지털·플랫폼</x:v>
      </x:c>
      <x:c r="D276" s="153" t="str">
        <x:v>SNS·커뮤니티</x:v>
      </x:c>
      <x:c r="E276" s="111" t="str">
        <x:v>SNS 실시간 뉴스 공유</x:v>
      </x:c>
      <x:c r="F276" s="111" t="str">
        <x:v>현장 사진과 짧은 글이 언론보다 빠르게 공유되는 경험이 확산됐다.</x:v>
      </x:c>
      <x:c r="G276" s="111" t="str">
        <x:v>트위터·페이스북</x:v>
      </x:c>
      <x:c r="H276" s="111" t="str">
        <x:v>연말 검색·플랫폼 결산 또는 동시기 보도에서 확산이 확인됨</x:v>
      </x:c>
      <x:c r="I276" s="141" t="str">
        <x:f>IF(J276&gt;0,"주가 반응 기록 있음","주가 미확인·연결 전")</x:f>
        <x:v>주가 미확인·연결 전</x:v>
      </x:c>
      <x:c r="J276" s="141" t="n">
        <x:f>COUNTIF('02_종목반응'!$B$6:$B$166,A276)</x:f>
        <x:v>0</x:v>
      </x:c>
      <x:c r="K276" s="111" t="str">
        <x:v>출시·발견 → 이용자 유입 → 공유·경쟁 → 대중화 → 후속 서비스</x:v>
      </x:c>
      <x:c r="L276" s="111" t="str">
        <x:v>S207;S208;S237</x:v>
      </x:c>
    </x:row>
    <x:row r="277" ht="42" customHeight="1">
      <x:c r="A277" s="111" t="str">
        <x:v>TR2011-10</x:v>
      </x:c>
      <x:c r="B277" s="141" t="n">
        <x:v>2011</x:v>
      </x:c>
      <x:c r="C277" s="153" t="str">
        <x:v>생활·소비</x:v>
      </x:c>
      <x:c r="D277" s="153" t="str">
        <x:v>자기관리·라이프스타일</x:v>
      </x:c>
      <x:c r="E277" s="111" t="str">
        <x:v>연금복권</x:v>
      </x:c>
      <x:c r="F277" s="111" t="str">
        <x:v>매달 지급되는 당첨 구조가 기존 로또와 다른 기대를 만들었다.</x:v>
      </x:c>
      <x:c r="G277" s="111" t="str">
        <x:v>포털·커뮤니티</x:v>
      </x:c>
      <x:c r="H277" s="111" t="str">
        <x:v>연말 검색·플랫폼 결산 또는 동시기 보도에서 확산이 확인됨</x:v>
      </x:c>
      <x:c r="I277" s="141" t="str">
        <x:f>IF(J277&gt;0,"주가 반응 기록 있음","주가 미확인·연결 전")</x:f>
        <x:v>주가 미확인·연결 전</x:v>
      </x:c>
      <x:c r="J277" s="141" t="n">
        <x:f>COUNTIF('02_종목반응'!$B$6:$B$166,A277)</x:f>
        <x:v>0</x:v>
      </x:c>
      <x:c r="K277" s="111" t="str">
        <x:v>발화 → 검색·공유 증가 → 일상 언급·모방 → 관련 소비 탐색 → 관심 둔화</x:v>
      </x:c>
      <x:c r="L277" s="111" t="str">
        <x:v>S207;S208;S237</x:v>
      </x:c>
    </x:row>
    <x:row r="278" ht="42" customHeight="1">
      <x:c r="A278" s="111" t="str">
        <x:v>EV0010</x:v>
      </x:c>
      <x:c r="B278" s="141" t="n">
        <x:v>2011</x:v>
      </x:c>
      <x:c r="C278" s="153" t="str">
        <x:v>스포츠·건강</x:v>
      </x:c>
      <x:c r="D278" s="153" t="str">
        <x:v>건강·방역</x:v>
      </x:c>
      <x:c r="E278" s="111" t="str">
        <x:v>후쿠시마 방사능 공포</x:v>
      </x:c>
      <x:c r="F278" s="111" t="str">
        <x:v>일본 원전 사고 뒤 ‘방사능비·요오드·마스크’ 메시지가 메신저와 온라인에서 확산되며 과도한 예방 소비가 발생했다.</x:v>
      </x:c>
      <x:c r="G278" s="111" t="str">
        <x:v>포털·커뮤니티·언론</x:v>
      </x:c>
      <x:c r="H278" s="111" t="str">
        <x:v>대표 방향 상승 | 가격·반응 웰크론 5%대·요오드 관련주 4~7%대 상승 | 단일 핵심 출처</x:v>
      </x:c>
      <x:c r="I278" s="141" t="str">
        <x:f>IF(J278&gt;0,"주가 반응 기록 있음","주가 미확인·연결 전")</x:f>
        <x:v>주가 반응 기록 있음</x:v>
      </x:c>
      <x:c r="J278" s="141" t="n">
        <x:f>COUNTIF('02_종목반응'!$B$6:$B$166,A278)</x:f>
        <x:v>4</x:v>
      </x:c>
      <x:c r="K278" s="111" t="str">
        <x:v>원전 사고 → 방사능비 괴담 → 국내 미량 검출 → 마스크·요오드주 급등 → 안전성 설명</x:v>
      </x:c>
      <x:c r="L278" s="111" t="str">
        <x:v>S156</x:v>
      </x:c>
    </x:row>
    <x:row r="279" ht="42" customHeight="1">
      <x:c r="A279" s="111" t="str">
        <x:v>TR2010-02</x:v>
      </x:c>
      <x:c r="B279" s="141" t="n">
        <x:v>2010</x:v>
      </x:c>
      <x:c r="C279" s="153" t="str">
        <x:v>식품·음료</x:v>
      </x:c>
      <x:c r="D279" s="153" t="str">
        <x:v>디저트·베이커리</x:v>
      </x:c>
      <x:c r="E279" s="111" t="str">
        <x:v>제빵왕 김탁구</x:v>
      </x:c>
      <x:c r="F279" s="111" t="str">
        <x:v>높은 시청률과 제빵 소재가 등장인물·빵 관련 검색을 함께 키웠다.</x:v>
      </x:c>
      <x:c r="G279" s="111" t="str">
        <x:v>TV·포털</x:v>
      </x:c>
      <x:c r="H279" s="111" t="str">
        <x:v>연말 검색·플랫폼 결산 또는 동시기 보도에서 확산이 확인됨</x:v>
      </x:c>
      <x:c r="I279" s="141" t="str">
        <x:f>IF(J279&gt;0,"주가 반응 기록 있음","주가 미확인·연결 전")</x:f>
        <x:v>주가 미확인·연결 전</x:v>
      </x:c>
      <x:c r="J279" s="141" t="n">
        <x:f>COUNTIF('02_종목반응'!$B$6:$B$166,A279)</x:f>
        <x:v>0</x:v>
      </x:c>
      <x:c r="K279" s="111" t="str">
        <x:v>공개·방영 → 클립·검색 증가 → 팬덤·패러디 → 소비 확장 → 후속 관심</x:v>
      </x:c>
      <x:c r="L279" s="111" t="str">
        <x:v>S204;S205;S206;S237</x:v>
      </x:c>
    </x:row>
    <x:row r="280" ht="42" customHeight="1">
      <x:c r="A280" s="111" t="str">
        <x:v>EV0006</x:v>
      </x:c>
      <x:c r="B280" s="141" t="n">
        <x:v>2010</x:v>
      </x:c>
      <x:c r="C280" s="153" t="str">
        <x:v>식품·음료</x:v>
      </x:c>
      <x:c r="D280" s="153" t="str">
        <x:v>외식·프랜차이즈</x:v>
      </x:c>
      <x:c r="E280" s="111" t="str">
        <x:v>남아공월드컵 치킨 수요 기대</x:v>
      </x:c>
      <x:c r="F280" s="111" t="str">
        <x:v>국가대표 경기의 집단 응원과 치맥 문화가 주문 급증 기대와 결합했다.</x:v>
      </x:c>
      <x:c r="G280" s="111" t="str">
        <x:v>방송·OTT·유튜브·팬커뮤니티</x:v>
      </x:c>
      <x:c r="H280" s="111" t="str">
        <x:v>대표 방향 상승→소멸 | 가격·반응 급락장 중 약 8% 상승 후 16강 진출일 하락 | 단일 핵심 출처</x:v>
      </x:c>
      <x:c r="I280" s="141" t="str">
        <x:f>IF(J280&gt;0,"주가 반응 기록 있음","주가 미확인·연결 전")</x:f>
        <x:v>주가 반응 기록 있음</x:v>
      </x:c>
      <x:c r="J280" s="141" t="n">
        <x:f>COUNTIF('02_종목반응'!$B$6:$B$166,A280)</x:f>
        <x:v>2</x:v>
      </x:c>
      <x:c r="K280" s="111" t="str">
        <x:v>공개·방영 → 조회수·팬덤 확산 → 관련 기업 탐색 → 주가 반응 → 흥행 지속성 검증</x:v>
      </x:c>
      <x:c r="L280" s="111" t="str">
        <x:v>S103</x:v>
      </x:c>
    </x:row>
    <x:row r="281" ht="42" customHeight="1">
      <x:c r="A281" s="111" t="str">
        <x:v>TR2010-10</x:v>
      </x:c>
      <x:c r="B281" s="141" t="n">
        <x:v>2010</x:v>
      </x:c>
      <x:c r="C281" s="153" t="str">
        <x:v>식품·음료</x:v>
      </x:c>
      <x:c r="D281" s="153" t="str">
        <x:v>외식·프랜차이즈</x:v>
      </x:c>
      <x:c r="E281" s="111" t="str">
        <x:v>파닭</x:v>
      </x:c>
      <x:c r="F281" s="111" t="str">
        <x:v>치킨에 파채를 결합한 메뉴가 후기와 프랜차이즈 모방으로 확산됐다.</x:v>
      </x:c>
      <x:c r="G281" s="111" t="str">
        <x:v>블로그·커뮤니티·배달</x:v>
      </x:c>
      <x:c r="H281" s="111" t="str">
        <x:v>연말 검색·플랫폼 결산 또는 동시기 보도에서 확산이 확인됨</x:v>
      </x:c>
      <x:c r="I281" s="141" t="str">
        <x:f>IF(J281&gt;0,"주가 반응 기록 있음","주가 미확인·연결 전")</x:f>
        <x:v>주가 미확인·연결 전</x:v>
      </x:c>
      <x:c r="J281" s="141" t="n">
        <x:f>COUNTIF('02_종목반응'!$B$6:$B$166,A281)</x:f>
        <x:v>0</x:v>
      </x:c>
      <x:c r="K281" s="111" t="str">
        <x:v>첫 노출 → 후기·인증 → 검색·품절 → 모방 제품 → 재구매 또는 소멸</x:v>
      </x:c>
      <x:c r="L281" s="111" t="str">
        <x:v>S204;S205;S206;S237</x:v>
      </x:c>
    </x:row>
    <x:row r="282" ht="42" customHeight="1">
      <x:c r="A282" s="111" t="str">
        <x:v>EV0007</x:v>
      </x:c>
      <x:c r="B282" s="141" t="n">
        <x:v>2010</x:v>
      </x:c>
      <x:c r="C282" s="153" t="str">
        <x:v>식품·음료</x:v>
      </x:c>
      <x:c r="D282" s="153" t="str">
        <x:v>음료·주류</x:v>
      </x:c>
      <x:c r="E282" s="111" t="str">
        <x:v>막걸리 웰빙·복고 열풍</x:v>
      </x:c>
      <x:c r="F282" s="111" t="str">
        <x:v>웰빙·복고 소비와 젊어진 제품 이미지, 전통주 장려 분위기가 세대와 국경을 넘어 관심을 넓혔다.</x:v>
      </x:c>
      <x:c r="G282" s="111" t="str">
        <x:v>SNS·블로그·검색·오프라인 구매</x:v>
      </x:c>
      <x:c r="H282" s="111" t="str">
        <x:v>대표 방향 상승 | 가격·반응 연일 신고가 행진 | 단일 핵심 출처</x:v>
      </x:c>
      <x:c r="I282" s="141" t="str">
        <x:f>IF(J282&gt;0,"주가 반응 기록 있음","주가 미확인·연결 전")</x:f>
        <x:v>주가 반응 기록 있음</x:v>
      </x:c>
      <x:c r="J282" s="141" t="n">
        <x:f>COUNTIF('02_종목반응'!$B$6:$B$166,A282)</x:f>
        <x:v>1</x:v>
      </x:c>
      <x:c r="K282" s="111" t="str">
        <x:v>제품 노출 → 후기·인증 확산 → 품절·검색 급증 → 관련 기업 주가 반응 → 재구매 검증</x:v>
      </x:c>
      <x:c r="L282" s="111" t="str">
        <x:v>S102</x:v>
      </x:c>
    </x:row>
    <x:row r="283" ht="42" customHeight="1">
      <x:c r="A283" s="111" t="str">
        <x:v>EV0008</x:v>
      </x:c>
      <x:c r="B283" s="141" t="n">
        <x:v>2010</x:v>
      </x:c>
      <x:c r="C283" s="153" t="str">
        <x:v>콘텐츠·엔터</x:v>
      </x:c>
      <x:c r="D283" s="153" t="str">
        <x:v>영화·애니메이션</x:v>
      </x:c>
      <x:c r="E283" s="111" t="str">
        <x:v>아바타·3D 열풍</x:v>
      </x:c>
      <x:c r="F283" s="111" t="str">
        <x:v>영화 ‘아바타’의 압도적 영상 경험이 3D 영화·TV가 차세대 표준이 될 것이라는 기대를 만들었다.</x:v>
      </x:c>
      <x:c r="G283" s="111" t="str">
        <x:v>방송·OTT·유튜브·팬커뮤니티</x:v>
      </x:c>
      <x:c r="H283" s="111" t="str">
        <x:v>대표 방향 미확인 | 가격·반응 기사상 급등 후 하락 언급; 정확 수치 미제공 | 단일 핵심 출처</x:v>
      </x:c>
      <x:c r="I283" s="141" t="str">
        <x:f>IF(J283&gt;0,"주가 반응 기록 있음","주가 미확인·연결 전")</x:f>
        <x:v>주가 반응 기록 있음</x:v>
      </x:c>
      <x:c r="J283" s="141" t="n">
        <x:f>COUNTIF('02_종목반응'!$B$6:$B$166,A283)</x:f>
        <x:v>3</x:v>
      </x:c>
      <x:c r="K283" s="111" t="str">
        <x:v>공개·방영 → 조회수·팬덤 확산 → 관련 기업 탐색 → 주가 반응 → 흥행 지속성 검증</x:v>
      </x:c>
      <x:c r="L283" s="111" t="str">
        <x:v>S96</x:v>
      </x:c>
    </x:row>
    <x:row r="284" ht="42" customHeight="1">
      <x:c r="A284" s="111" t="str">
        <x:v>TR2010-03</x:v>
      </x:c>
      <x:c r="B284" s="141" t="n">
        <x:v>2010</x:v>
      </x:c>
      <x:c r="C284" s="153" t="str">
        <x:v>콘텐츠·엔터</x:v>
      </x:c>
      <x:c r="D284" s="153" t="str">
        <x:v>영화·애니메이션</x:v>
      </x:c>
      <x:c r="E284" s="111" t="str">
        <x:v>인셉션 결말 해석</x:v>
      </x:c>
      <x:c r="F284" s="111" t="str">
        <x:v>열린 결말이 관객의 해석 글과 토론을 대량 생산했다.</x:v>
      </x:c>
      <x:c r="G284" s="111" t="str">
        <x:v>포털·블로그·커뮤니티</x:v>
      </x:c>
      <x:c r="H284" s="111" t="str">
        <x:v>연말 검색·플랫폼 결산 또는 동시기 보도에서 확산이 확인됨</x:v>
      </x:c>
      <x:c r="I284" s="141" t="str">
        <x:f>IF(J284&gt;0,"주가 반응 기록 있음","주가 미확인·연결 전")</x:f>
        <x:v>주가 미확인·연결 전</x:v>
      </x:c>
      <x:c r="J284" s="141" t="n">
        <x:f>COUNTIF('02_종목반응'!$B$6:$B$166,A284)</x:f>
        <x:v>0</x:v>
      </x:c>
      <x:c r="K284" s="111" t="str">
        <x:v>발화 → 검색·공유 증가 → 일상 언급·모방 → 관련 소비 탐색 → 관심 둔화</x:v>
      </x:c>
      <x:c r="L284" s="111" t="str">
        <x:v>S204;S205;S206;S237</x:v>
      </x:c>
    </x:row>
    <x:row r="285" ht="42" customHeight="1">
      <x:c r="A285" s="111" t="str">
        <x:v>TR2010-01</x:v>
      </x:c>
      <x:c r="B285" s="141" t="n">
        <x:v>2010</x:v>
      </x:c>
      <x:c r="C285" s="153" t="str">
        <x:v>콘텐츠·엔터</x:v>
      </x:c>
      <x:c r="D285" s="153" t="str">
        <x:v>음악·댄스</x:v>
      </x:c>
      <x:c r="E285" s="111" t="str">
        <x:v>슈퍼스타K2</x:v>
      </x:c>
      <x:c r="F285" s="111" t="str">
        <x:v>오디션 참여 서사와 문자투표가 시청자 팬덤 경쟁을 만들었다.</x:v>
      </x:c>
      <x:c r="G285" s="111" t="str">
        <x:v>TV·포털·커뮤니티</x:v>
      </x:c>
      <x:c r="H285" s="111" t="str">
        <x:v>연말 검색·플랫폼 결산 또는 동시기 보도에서 확산이 확인됨</x:v>
      </x:c>
      <x:c r="I285" s="141" t="str">
        <x:f>IF(J285&gt;0,"주가 반응 기록 있음","주가 미확인·연결 전")</x:f>
        <x:v>주가 미확인·연결 전</x:v>
      </x:c>
      <x:c r="J285" s="141" t="n">
        <x:f>COUNTIF('02_종목반응'!$B$6:$B$166,A285)</x:f>
        <x:v>0</x:v>
      </x:c>
      <x:c r="K285" s="111" t="str">
        <x:v>공개·방영 → 클립·검색 증가 → 팬덤·패러디 → 소비 확장 → 후속 관심</x:v>
      </x:c>
      <x:c r="L285" s="111" t="str">
        <x:v>S204;S205;S206;S237</x:v>
      </x:c>
    </x:row>
    <x:row r="286" ht="42" customHeight="1">
      <x:c r="A286" s="111" t="str">
        <x:v>TR2010-05</x:v>
      </x:c>
      <x:c r="B286" s="141" t="n">
        <x:v>2010</x:v>
      </x:c>
      <x:c r="C286" s="153" t="str">
        <x:v>디지털·플랫폼</x:v>
      </x:c>
      <x:c r="D286" s="153" t="str">
        <x:v>모바일·플랫폼</x:v>
      </x:c>
      <x:c r="E286" s="111" t="str">
        <x:v>카카오톡 등장</x:v>
      </x:c>
      <x:c r="F286" s="111" t="str">
        <x:v>무료 모바일 메시지와 주소록 기반 연결이 빠른 이용자 확산을 만들었다.</x:v>
      </x:c>
      <x:c r="G286" s="111" t="str">
        <x:v>모바일 앱·블로그</x:v>
      </x:c>
      <x:c r="H286" s="111" t="str">
        <x:v>연말 검색·플랫폼 결산 또는 동시기 보도에서 확산이 확인됨</x:v>
      </x:c>
      <x:c r="I286" s="141" t="str">
        <x:f>IF(J286&gt;0,"주가 반응 기록 있음","주가 미확인·연결 전")</x:f>
        <x:v>주가 미확인·연결 전</x:v>
      </x:c>
      <x:c r="J286" s="141" t="n">
        <x:f>COUNTIF('02_종목반응'!$B$6:$B$166,A286)</x:f>
        <x:v>0</x:v>
      </x:c>
      <x:c r="K286" s="111" t="str">
        <x:v>출시·발견 → 이용자 유입 → 공유·경쟁 → 대중화 → 후속 서비스</x:v>
      </x:c>
      <x:c r="L286" s="111" t="str">
        <x:v>S204;S205;S206;S237</x:v>
      </x:c>
    </x:row>
    <x:row r="287" ht="42" customHeight="1">
      <x:c r="A287" s="111" t="str">
        <x:v>TR2010-07</x:v>
      </x:c>
      <x:c r="B287" s="141" t="n">
        <x:v>2010</x:v>
      </x:c>
      <x:c r="C287" s="153" t="str">
        <x:v>디지털·플랫폼</x:v>
      </x:c>
      <x:c r="D287" s="153" t="str">
        <x:v>IT기기·통신</x:v>
      </x:c>
      <x:c r="E287" s="111" t="str">
        <x:v>스마트폰 앱스토어</x:v>
      </x:c>
      <x:c r="F287" s="111" t="str">
        <x:v>모바일 앱 설치와 유료 콘텐츠 소비가 새로운 생활 습관이 됐다.</x:v>
      </x:c>
      <x:c r="G287" s="111" t="str">
        <x:v>앱스토어·IT 커뮤니티</x:v>
      </x:c>
      <x:c r="H287" s="111" t="str">
        <x:v>연말 검색·플랫폼 결산 또는 동시기 보도에서 확산이 확인됨</x:v>
      </x:c>
      <x:c r="I287" s="141" t="str">
        <x:f>IF(J287&gt;0,"주가 반응 기록 있음","주가 미확인·연결 전")</x:f>
        <x:v>주가 미확인·연결 전</x:v>
      </x:c>
      <x:c r="J287" s="141" t="n">
        <x:f>COUNTIF('02_종목반응'!$B$6:$B$166,A287)</x:f>
        <x:v>0</x:v>
      </x:c>
      <x:c r="K287" s="111" t="str">
        <x:v>출시·발견 → 이용자 유입 → 공유·경쟁 → 대중화 → 후속 서비스</x:v>
      </x:c>
      <x:c r="L287" s="111" t="str">
        <x:v>S204;S205;S206;S237</x:v>
      </x:c>
    </x:row>
    <x:row r="288" ht="42" customHeight="1">
      <x:c r="A288" s="111" t="str">
        <x:v>TR2010-04</x:v>
      </x:c>
      <x:c r="B288" s="141" t="n">
        <x:v>2010</x:v>
      </x:c>
      <x:c r="C288" s="153" t="str">
        <x:v>디지털·플랫폼</x:v>
      </x:c>
      <x:c r="D288" s="153" t="str">
        <x:v>IT기기·통신</x:v>
      </x:c>
      <x:c r="E288" s="111" t="str">
        <x:v>아이패드</x:v>
      </x:c>
      <x:c r="F288" s="111" t="str">
        <x:v>새로운 태블릿 사용 방식과 개봉기가 구매 관심을 모았다.</x:v>
      </x:c>
      <x:c r="G288" s="111" t="str">
        <x:v>IT 커뮤니티·블로그·유튜브</x:v>
      </x:c>
      <x:c r="H288" s="111" t="str">
        <x:v>연말 검색·플랫폼 결산 또는 동시기 보도에서 확산이 확인됨</x:v>
      </x:c>
      <x:c r="I288" s="141" t="str">
        <x:f>IF(J288&gt;0,"주가 반응 기록 있음","주가 미확인·연결 전")</x:f>
        <x:v>주가 미확인·연결 전</x:v>
      </x:c>
      <x:c r="J288" s="141" t="n">
        <x:f>COUNTIF('02_종목반응'!$B$6:$B$166,A288)</x:f>
        <x:v>0</x:v>
      </x:c>
      <x:c r="K288" s="111" t="str">
        <x:v>발화 → 검색·공유 증가 → 일상 언급·모방 → 관련 소비 탐색 → 관심 둔화</x:v>
      </x:c>
      <x:c r="L288" s="111" t="str">
        <x:v>S204;S205;S206;S237</x:v>
      </x:c>
    </x:row>
    <x:row r="289" ht="42" customHeight="1">
      <x:c r="A289" s="111" t="str">
        <x:v>EV0009</x:v>
      </x:c>
      <x:c r="B289" s="141" t="n">
        <x:v>2010</x:v>
      </x:c>
      <x:c r="C289" s="153" t="str">
        <x:v>디지털·플랫폼</x:v>
      </x:c>
      <x:c r="D289" s="153" t="str">
        <x:v>IT기기·통신</x:v>
      </x:c>
      <x:c r="E289" s="111" t="str">
        <x:v>아이폰·스마트폰 확산</x:v>
      </x:c>
      <x:c r="F289" s="111" t="str">
        <x:v>국내 아이폰 출시가 앱 생태계라는 새 경험을 보여주며 교체 수요와 부품주 기대를 동시에 키웠다.</x:v>
      </x:c>
      <x:c r="G289" s="111" t="str">
        <x:v>포털·SNS·커뮤니티</x:v>
      </x:c>
      <x:c r="H289" s="111" t="str">
        <x:v>대표 방향 미확인 | 가격·반응 수혜주로 주목; 원문 정확 수치 미제공 | 복수 출처 교차확인</x:v>
      </x:c>
      <x:c r="I289" s="141" t="str">
        <x:f>IF(J289&gt;0,"주가 반응 기록 있음","주가 미확인·연결 전")</x:f>
        <x:v>주가 반응 기록 있음</x:v>
      </x:c>
      <x:c r="J289" s="141" t="n">
        <x:f>COUNTIF('02_종목반응'!$B$6:$B$166,A289)</x:f>
        <x:v>6</x:v>
      </x:c>
      <x:c r="K289" s="111" t="str">
        <x:v>발화 → 포털·SNS 확산 → 관련주 묶기 → 주가 반응 → 기사·공시로 검증</x:v>
      </x:c>
      <x:c r="L289" s="111" t="str">
        <x:v>S80;S96</x:v>
      </x:c>
    </x:row>
    <x:row r="290" ht="42" customHeight="1">
      <x:c r="A290" s="111" t="str">
        <x:v>TR2010-08</x:v>
      </x:c>
      <x:c r="B290" s="141" t="n">
        <x:v>2010</x:v>
      </x:c>
      <x:c r="C290" s="153" t="str">
        <x:v>디지털·플랫폼</x:v>
      </x:c>
      <x:c r="D290" s="153" t="str">
        <x:v>IT기기·통신</x:v>
      </x:c>
      <x:c r="E290" s="111" t="str">
        <x:v>와이파이 카페</x:v>
      </x:c>
      <x:c r="F290" s="111" t="str">
        <x:v>스마트폰·노트북 이용자가 무료 무선인터넷 장소를 찾아 공유했다.</x:v>
      </x:c>
      <x:c r="G290" s="111" t="str">
        <x:v>블로그·지도·커뮤니티</x:v>
      </x:c>
      <x:c r="H290" s="111" t="str">
        <x:v>연말 검색·플랫폼 결산 또는 동시기 보도에서 확산이 확인됨</x:v>
      </x:c>
      <x:c r="I290" s="141" t="str">
        <x:f>IF(J290&gt;0,"주가 반응 기록 있음","주가 미확인·연결 전")</x:f>
        <x:v>주가 미확인·연결 전</x:v>
      </x:c>
      <x:c r="J290" s="141" t="n">
        <x:f>COUNTIF('02_종목반응'!$B$6:$B$166,A290)</x:f>
        <x:v>0</x:v>
      </x:c>
      <x:c r="K290" s="111" t="str">
        <x:v>발화 → 검색·공유 증가 → 일상 언급·모방 → 관련 소비 탐색 → 관심 둔화</x:v>
      </x:c>
      <x:c r="L290" s="111" t="str">
        <x:v>S204;S205;S206;S237</x:v>
      </x:c>
    </x:row>
    <x:row r="291" ht="42" customHeight="1">
      <x:c r="A291" s="111" t="str">
        <x:v>TR2010-06</x:v>
      </x:c>
      <x:c r="B291" s="141" t="n">
        <x:v>2010</x:v>
      </x:c>
      <x:c r="C291" s="153" t="str">
        <x:v>디지털·플랫폼</x:v>
      </x:c>
      <x:c r="D291" s="153" t="str">
        <x:v>SNS·커뮤니티</x:v>
      </x:c>
      <x:c r="E291" s="111" t="str">
        <x:v>페이스북 국내 대중화</x:v>
      </x:c>
      <x:c r="F291" s="111" t="str">
        <x:v>실명 관계망과 뉴스피드 공유가 국내 SNS 이용을 넓혔다.</x:v>
      </x:c>
      <x:c r="G291" s="111" t="str">
        <x:v>페이스북·트위터</x:v>
      </x:c>
      <x:c r="H291" s="111" t="str">
        <x:v>연말 검색·플랫폼 결산 또는 동시기 보도에서 확산이 확인됨</x:v>
      </x:c>
      <x:c r="I291" s="141" t="str">
        <x:f>IF(J291&gt;0,"주가 반응 기록 있음","주가 미확인·연결 전")</x:f>
        <x:v>주가 미확인·연결 전</x:v>
      </x:c>
      <x:c r="J291" s="141" t="n">
        <x:f>COUNTIF('02_종목반응'!$B$6:$B$166,A291)</x:f>
        <x:v>0</x:v>
      </x:c>
      <x:c r="K291" s="111" t="str">
        <x:v>출시·발견 → 이용자 유입 → 공유·경쟁 → 대중화 → 후속 서비스</x:v>
      </x:c>
      <x:c r="L291" s="111" t="str">
        <x:v>S204;S205;S206;S237</x:v>
      </x:c>
    </x:row>
    <x:row r="292" ht="42" customHeight="1">
      <x:c r="A292" s="111" t="str">
        <x:v>TR2010-09</x:v>
      </x:c>
      <x:c r="B292" s="141" t="n">
        <x:v>2010</x:v>
      </x:c>
      <x:c r="C292" s="153" t="str">
        <x:v>생활·소비</x:v>
      </x:c>
      <x:c r="D292" s="153" t="str">
        <x:v>유통·쇼핑</x:v>
      </x:c>
      <x:c r="E292" s="111" t="str">
        <x:v>소셜커머스 반값 할인</x:v>
      </x:c>
      <x:c r="F292" s="111" t="str">
        <x:v>공동구매형 큰 할인과 시간 제한이 링크 공유와 충동구매를 자극했다.</x:v>
      </x:c>
      <x:c r="G292" s="111" t="str">
        <x:v>소셜커머스·SNS</x:v>
      </x:c>
      <x:c r="H292" s="111" t="str">
        <x:v>연말 검색·플랫폼 결산 또는 동시기 보도에서 확산이 확인됨</x:v>
      </x:c>
      <x:c r="I292" s="141" t="str">
        <x:f>IF(J292&gt;0,"주가 반응 기록 있음","주가 미확인·연결 전")</x:f>
        <x:v>주가 미확인·연결 전</x:v>
      </x:c>
      <x:c r="J292" s="141" t="n">
        <x:f>COUNTIF('02_종목반응'!$B$6:$B$166,A292)</x:f>
        <x:v>0</x:v>
      </x:c>
      <x:c r="K292" s="111" t="str">
        <x:v>첫 노출 → 후기·인증 → 검색·품절 → 모방 제품 → 재구매 또는 소멸</x:v>
      </x:c>
      <x:c r="L292" s="111" t="str">
        <x:v>S204;S205;S206;S237</x:v>
      </x:c>
    </x:row>
    <x:row r="293" ht="42" customHeight="1">
      <x:c r="A293" s="111" t="str">
        <x:v>TR2009-07</x:v>
      </x:c>
      <x:c r="B293" s="141" t="n">
        <x:v>2009</x:v>
      </x:c>
      <x:c r="C293" s="153" t="str">
        <x:v>식품·음료</x:v>
      </x:c>
      <x:c r="D293" s="153" t="str">
        <x:v>외식·프랜차이즈</x:v>
      </x:c>
      <x:c r="E293" s="111" t="str">
        <x:v>블로그 맛집 후기</x:v>
      </x:c>
      <x:c r="F293" s="111" t="str">
        <x:v>사진 중심 후기와 검색 노출이 방문 전 탐색 행동으로 자리 잡았다.</x:v>
      </x:c>
      <x:c r="G293" s="111" t="str">
        <x:v>네이버 블로그·다음 블로그</x:v>
      </x:c>
      <x:c r="H293" s="111" t="str">
        <x:v>연말 검색·플랫폼 결산 또는 동시기 보도에서 확산이 확인됨</x:v>
      </x:c>
      <x:c r="I293" s="141" t="str">
        <x:f>IF(J293&gt;0,"주가 반응 기록 있음","주가 미확인·연결 전")</x:f>
        <x:v>주가 미확인·연결 전</x:v>
      </x:c>
      <x:c r="J293" s="141" t="n">
        <x:f>COUNTIF('02_종목반응'!$B$6:$B$166,A293)</x:f>
        <x:v>0</x:v>
      </x:c>
      <x:c r="K293" s="111" t="str">
        <x:v>첫 노출 → 후기·인증 → 검색·품절 → 모방 제품 → 재구매 또는 소멸</x:v>
      </x:c>
      <x:c r="L293" s="111" t="str">
        <x:v>S201;S202;S203</x:v>
      </x:c>
    </x:row>
    <x:row r="294" ht="42" customHeight="1">
      <x:c r="A294" s="111" t="str">
        <x:v>TR2009-01</x:v>
      </x:c>
      <x:c r="B294" s="141" t="n">
        <x:v>2009</x:v>
      </x:c>
      <x:c r="C294" s="153" t="str">
        <x:v>콘텐츠·엔터</x:v>
      </x:c>
      <x:c r="D294" s="153" t="str">
        <x:v>드라마·OTT</x:v>
      </x:c>
      <x:c r="E294" s="111" t="str">
        <x:v>꽃보다 남자</x:v>
      </x:c>
      <x:c r="F294" s="111" t="str">
        <x:v>원작 팬덤과 배우·패션 화제가 검색과 패러디를 반복시켰다.</x:v>
      </x:c>
      <x:c r="G294" s="111" t="str">
        <x:v>TV·포털·블로그</x:v>
      </x:c>
      <x:c r="H294" s="111" t="str">
        <x:v>연말 검색·플랫폼 결산 또는 동시기 보도에서 확산이 확인됨</x:v>
      </x:c>
      <x:c r="I294" s="141" t="str">
        <x:f>IF(J294&gt;0,"주가 반응 기록 있음","주가 미확인·연결 전")</x:f>
        <x:v>주가 미확인·연결 전</x:v>
      </x:c>
      <x:c r="J294" s="141" t="n">
        <x:f>COUNTIF('02_종목반응'!$B$6:$B$166,A294)</x:f>
        <x:v>0</x:v>
      </x:c>
      <x:c r="K294" s="111" t="str">
        <x:v>공개·방영 → 클립·검색 증가 → 팬덤·패러디 → 소비 확장 → 후속 관심</x:v>
      </x:c>
      <x:c r="L294" s="111" t="str">
        <x:v>S201;S202;S203</x:v>
      </x:c>
    </x:row>
    <x:row r="295" ht="42" customHeight="1">
      <x:c r="A295" s="111" t="str">
        <x:v>TR2009-09</x:v>
      </x:c>
      <x:c r="B295" s="141" t="n">
        <x:v>2009</x:v>
      </x:c>
      <x:c r="C295" s="153" t="str">
        <x:v>콘텐츠·엔터</x:v>
      </x:c>
      <x:c r="D295" s="153" t="str">
        <x:v>방송·예능</x:v>
      </x:c>
      <x:c r="E295" s="111" t="str">
        <x:v>아프리카TV 개인방송</x:v>
      </x:c>
      <x:c r="F295" s="111" t="str">
        <x:v>실시간 채팅과 1인 진행 형식이 기존 방송과 다른 참여 경험을 제공했다.</x:v>
      </x:c>
      <x:c r="G295" s="111" t="str">
        <x:v>아프리카TV·커뮤니티</x:v>
      </x:c>
      <x:c r="H295" s="111" t="str">
        <x:v>연말 검색·플랫폼 결산 또는 동시기 보도에서 확산이 확인됨</x:v>
      </x:c>
      <x:c r="I295" s="141" t="str">
        <x:f>IF(J295&gt;0,"주가 반응 기록 있음","주가 미확인·연결 전")</x:f>
        <x:v>주가 미확인·연결 전</x:v>
      </x:c>
      <x:c r="J295" s="141" t="n">
        <x:f>COUNTIF('02_종목반응'!$B$6:$B$166,A295)</x:f>
        <x:v>0</x:v>
      </x:c>
      <x:c r="K295" s="111" t="str">
        <x:v>출시·발견 → 이용자 유입 → 공유·경쟁 → 대중화 → 후속 서비스</x:v>
      </x:c>
      <x:c r="L295" s="111" t="str">
        <x:v>S201;S202;S203</x:v>
      </x:c>
    </x:row>
    <x:row r="296" ht="42" customHeight="1">
      <x:c r="A296" s="111" t="str">
        <x:v>TR2009-03</x:v>
      </x:c>
      <x:c r="B296" s="141" t="n">
        <x:v>2009</x:v>
      </x:c>
      <x:c r="C296" s="153" t="str">
        <x:v>콘텐츠·엔터</x:v>
      </x:c>
      <x:c r="D296" s="153" t="str">
        <x:v>음악·댄스</x:v>
      </x:c>
      <x:c r="E296" s="111" t="str">
        <x:v>2NE1 Fire</x:v>
      </x:c>
      <x:c r="F296" s="111" t="str">
        <x:v>신인 그룹의 강한 스타일과 뮤직비디오가 온라인 팬덤 화제를 만들었다.</x:v>
      </x:c>
      <x:c r="G296" s="111" t="str">
        <x:v>유튜브·팬카페·포털</x:v>
      </x:c>
      <x:c r="H296" s="111" t="str">
        <x:v>연말 검색·플랫폼 결산 또는 동시기 보도에서 확산이 확인됨</x:v>
      </x:c>
      <x:c r="I296" s="141" t="str">
        <x:f>IF(J296&gt;0,"주가 반응 기록 있음","주가 미확인·연결 전")</x:f>
        <x:v>주가 미확인·연결 전</x:v>
      </x:c>
      <x:c r="J296" s="141" t="n">
        <x:f>COUNTIF('02_종목반응'!$B$6:$B$166,A296)</x:f>
        <x:v>0</x:v>
      </x:c>
      <x:c r="K296" s="111" t="str">
        <x:v>공개·방영 → 클립·검색 증가 → 팬덤·패러디 → 소비 확장 → 후속 관심</x:v>
      </x:c>
      <x:c r="L296" s="111" t="str">
        <x:v>S201;S202;S203</x:v>
      </x:c>
    </x:row>
    <x:row r="297" ht="42" customHeight="1">
      <x:c r="A297" s="111" t="str">
        <x:v>TR2009-02</x:v>
      </x:c>
      <x:c r="B297" s="141" t="n">
        <x:v>2009</x:v>
      </x:c>
      <x:c r="C297" s="153" t="str">
        <x:v>콘텐츠·엔터</x:v>
      </x:c>
      <x:c r="D297" s="153" t="str">
        <x:v>음악·댄스</x:v>
      </x:c>
      <x:c r="E297" s="111" t="str">
        <x:v>소녀시대 Gee</x:v>
      </x:c>
      <x:c r="F297" s="111" t="str">
        <x:v>후렴구와 스키니진 안무가 따라 하기와 영상 재생을 끌어냈다.</x:v>
      </x:c>
      <x:c r="G297" s="111" t="str">
        <x:v>TV·유튜브·포털</x:v>
      </x:c>
      <x:c r="H297" s="111" t="str">
        <x:v>연말 검색·플랫폼 결산 또는 동시기 보도에서 확산이 확인됨</x:v>
      </x:c>
      <x:c r="I297" s="141" t="str">
        <x:f>IF(J297&gt;0,"주가 반응 기록 있음","주가 미확인·연결 전")</x:f>
        <x:v>주가 미확인·연결 전</x:v>
      </x:c>
      <x:c r="J297" s="141" t="n">
        <x:f>COUNTIF('02_종목반응'!$B$6:$B$166,A297)</x:f>
        <x:v>0</x:v>
      </x:c>
      <x:c r="K297" s="111" t="str">
        <x:v>공개·방영 → 클립·검색 증가 → 팬덤·패러디 → 소비 확장 → 후속 관심</x:v>
      </x:c>
      <x:c r="L297" s="111" t="str">
        <x:v>S201;S202;S203</x:v>
      </x:c>
    </x:row>
    <x:row r="298" ht="42" customHeight="1">
      <x:c r="A298" s="111" t="str">
        <x:v>TR2009-08</x:v>
      </x:c>
      <x:c r="B298" s="141" t="n">
        <x:v>2009</x:v>
      </x:c>
      <x:c r="C298" s="153" t="str">
        <x:v>디지털·플랫폼</x:v>
      </x:c>
      <x:c r="D298" s="153" t="str">
        <x:v>1인미디어</x:v>
      </x:c>
      <x:c r="E298" s="111" t="str">
        <x:v>UCC 패러디 영상</x:v>
      </x:c>
      <x:c r="F298" s="111" t="str">
        <x:v>짧은 영상 제작과 퍼나르기가 방송 장면·광고의 모방을 가속했다.</x:v>
      </x:c>
      <x:c r="G298" s="111" t="str">
        <x:v>유튜브·판도라TV·커뮤니티</x:v>
      </x:c>
      <x:c r="H298" s="111" t="str">
        <x:v>연말 검색·플랫폼 결산 또는 동시기 보도에서 확산이 확인됨</x:v>
      </x:c>
      <x:c r="I298" s="141" t="str">
        <x:f>IF(J298&gt;0,"주가 반응 기록 있음","주가 미확인·연결 전")</x:f>
        <x:v>주가 미확인·연결 전</x:v>
      </x:c>
      <x:c r="J298" s="141" t="n">
        <x:f>COUNTIF('02_종목반응'!$B$6:$B$166,A298)</x:f>
        <x:v>0</x:v>
      </x:c>
      <x:c r="K298" s="111" t="str">
        <x:v>발화 → 검색·공유 증가 → 일상 언급·모방 → 관련 소비 탐색 → 관심 둔화</x:v>
      </x:c>
      <x:c r="L298" s="111" t="str">
        <x:v>S201;S202;S203</x:v>
      </x:c>
    </x:row>
    <x:row r="299" ht="42" customHeight="1">
      <x:c r="A299" s="111" t="str">
        <x:v>TR2009-06</x:v>
      </x:c>
      <x:c r="B299" s="141" t="n">
        <x:v>2009</x:v>
      </x:c>
      <x:c r="C299" s="153" t="str">
        <x:v>디지털·플랫폼</x:v>
      </x:c>
      <x:c r="D299" s="153" t="str">
        <x:v>SNS·커뮤니티</x:v>
      </x:c>
      <x:c r="E299" s="111" t="str">
        <x:v>싸이월드 미니홈피 꾸미기</x:v>
      </x:c>
      <x:c r="F299" s="111" t="str">
        <x:v>도토리·배경음악·사진첩으로 개인 정체성을 꾸미고 방문을 주고받았다.</x:v>
      </x:c>
      <x:c r="G299" s="111" t="str">
        <x:v>싸이월드</x:v>
      </x:c>
      <x:c r="H299" s="111" t="str">
        <x:v>연말 검색·플랫폼 결산 또는 동시기 보도에서 확산이 확인됨</x:v>
      </x:c>
      <x:c r="I299" s="141" t="str">
        <x:f>IF(J299&gt;0,"주가 반응 기록 있음","주가 미확인·연결 전")</x:f>
        <x:v>주가 미확인·연결 전</x:v>
      </x:c>
      <x:c r="J299" s="141" t="n">
        <x:f>COUNTIF('02_종목반응'!$B$6:$B$166,A299)</x:f>
        <x:v>0</x:v>
      </x:c>
      <x:c r="K299" s="111" t="str">
        <x:v>출시·발견 → 이용자 유입 → 공유·경쟁 → 대중화 → 후속 서비스</x:v>
      </x:c>
      <x:c r="L299" s="111" t="str">
        <x:v>S201;S202;S203</x:v>
      </x:c>
    </x:row>
    <x:row r="300" ht="42" customHeight="1">
      <x:c r="A300" s="111" t="str">
        <x:v>TR2009-05</x:v>
      </x:c>
      <x:c r="B300" s="141" t="n">
        <x:v>2009</x:v>
      </x:c>
      <x:c r="C300" s="153" t="str">
        <x:v>디지털·플랫폼</x:v>
      </x:c>
      <x:c r="D300" s="153" t="str">
        <x:v>SNS·커뮤니티</x:v>
      </x:c>
      <x:c r="E300" s="111" t="str">
        <x:v>트위터 국내 확산</x:v>
      </x:c>
      <x:c r="F300" s="111" t="str">
        <x:v>스마트폰과 실시간 짧은 글 공유가 새로운 뉴스·팬 소통 방식을 만들었다.</x:v>
      </x:c>
      <x:c r="G300" s="111" t="str">
        <x:v>트위터·블로그</x:v>
      </x:c>
      <x:c r="H300" s="111" t="str">
        <x:v>연말 검색·플랫폼 결산 또는 동시기 보도에서 확산이 확인됨</x:v>
      </x:c>
      <x:c r="I300" s="141" t="str">
        <x:f>IF(J300&gt;0,"주가 반응 기록 있음","주가 미확인·연결 전")</x:f>
        <x:v>주가 미확인·연결 전</x:v>
      </x:c>
      <x:c r="J300" s="141" t="n">
        <x:f>COUNTIF('02_종목반응'!$B$6:$B$166,A300)</x:f>
        <x:v>0</x:v>
      </x:c>
      <x:c r="K300" s="111" t="str">
        <x:v>출시·발견 → 이용자 유입 → 공유·경쟁 → 대중화 → 후속 서비스</x:v>
      </x:c>
      <x:c r="L300" s="111" t="str">
        <x:v>S201;S202;S203</x:v>
      </x:c>
    </x:row>
    <x:row r="301" ht="42" customHeight="1">
      <x:c r="A301" s="111" t="str">
        <x:v>EV0004</x:v>
      </x:c>
      <x:c r="B301" s="141" t="n">
        <x:v>2009</x:v>
      </x:c>
      <x:c r="C301" s="153" t="str">
        <x:v>스포츠·건강</x:v>
      </x:c>
      <x:c r="D301" s="153" t="str">
        <x:v>건강·방역</x:v>
      </x:c>
      <x:c r="E301" s="111" t="str">
        <x:v>신종플루 확산</x:v>
      </x:c>
      <x:c r="F301" s="111" t="str">
        <x:v>빠른 감염 확산과 사망 보도로 불안이 커지고 백신·마스크·방역 수요 기대가 반복 보도됐다.</x:v>
      </x:c>
      <x:c r="G301" s="111" t="str">
        <x:v>포털·커뮤니티·언론</x:v>
      </x:c>
      <x:c r="H301" s="111" t="str">
        <x:v>대표 방향 상승 | 가격·반응 사망자 발생일 상한가 | 복수 출처 교차확인</x:v>
      </x:c>
      <x:c r="I301" s="141" t="str">
        <x:f>IF(J301&gt;0,"주가 반응 기록 있음","주가 미확인·연결 전")</x:f>
        <x:v>주가 반응 기록 있음</x:v>
      </x:c>
      <x:c r="J301" s="141" t="n">
        <x:f>COUNTIF('02_종목반응'!$B$6:$B$166,A301)</x:f>
        <x:v>11</x:v>
      </x:c>
      <x:c r="K301" s="111" t="str">
        <x:v>사건 발생 → 공포성 게시물 확산 → 사재기·행동 변화 → 관련주 급등락 → 사실 검증</x:v>
      </x:c>
      <x:c r="L301" s="111" t="str">
        <x:v>S101;S100</x:v>
      </x:c>
    </x:row>
    <x:row r="302" ht="42" customHeight="1">
      <x:c r="A302" s="111" t="str">
        <x:v>TR2009-04</x:v>
      </x:c>
      <x:c r="B302" s="141" t="n">
        <x:v>2009</x:v>
      </x:c>
      <x:c r="C302" s="153" t="str">
        <x:v>스포츠·건강</x:v>
      </x:c>
      <x:c r="D302" s="153" t="str">
        <x:v>스포츠·응원</x:v>
      </x:c>
      <x:c r="E302" s="111" t="str">
        <x:v>WBC 야구 응원</x:v>
      </x:c>
      <x:c r="F302" s="111" t="str">
        <x:v>국가대표 선전이 실시간 응원과 경기 관련 검색을 집중시켰다.</x:v>
      </x:c>
      <x:c r="G302" s="111" t="str">
        <x:v>TV·포털·커뮤니티</x:v>
      </x:c>
      <x:c r="H302" s="111" t="str">
        <x:v>연말 검색·플랫폼 결산 또는 동시기 보도에서 확산이 확인됨</x:v>
      </x:c>
      <x:c r="I302" s="141" t="str">
        <x:f>IF(J302&gt;0,"주가 반응 기록 있음","주가 미확인·연결 전")</x:f>
        <x:v>주가 미확인·연결 전</x:v>
      </x:c>
      <x:c r="J302" s="141" t="n">
        <x:f>COUNTIF('02_종목반응'!$B$6:$B$166,A302)</x:f>
        <x:v>0</x:v>
      </x:c>
      <x:c r="K302" s="111" t="str">
        <x:v>발화 → 검색·공유 증가 → 일상 언급·모방 → 관련 소비 탐색 → 관심 둔화</x:v>
      </x:c>
      <x:c r="L302" s="111" t="str">
        <x:v>S201;S202;S203</x:v>
      </x:c>
    </x:row>
    <x:row r="303" ht="42" customHeight="1">
      <x:c r="A303" s="111" t="str">
        <x:v>TR2009-10</x:v>
      </x:c>
      <x:c r="B303" s="141" t="n">
        <x:v>2009</x:v>
      </x:c>
      <x:c r="C303" s="153" t="str">
        <x:v>사회·온라인문화</x:v>
      </x:c>
      <x:c r="D303" s="153" t="str">
        <x:v>논란·역풍</x:v>
      </x:c>
      <x:c r="E303" s="111" t="str">
        <x:v>루저 발언 온라인 논란</x:v>
      </x:c>
      <x:c r="F303" s="111" t="str">
        <x:v>방송 발언이 캡처와 댓글을 통해 재확산되며 거센 온라인 논쟁을 만들었다.</x:v>
      </x:c>
      <x:c r="G303" s="111" t="str">
        <x:v>포털·커뮤니티·블로그</x:v>
      </x:c>
      <x:c r="H303" s="111" t="str">
        <x:v>연말 검색·플랫폼 결산 또는 동시기 보도에서 확산이 확인됨</x:v>
      </x:c>
      <x:c r="I303" s="141" t="str">
        <x:f>IF(J303&gt;0,"주가 반응 기록 있음","주가 미확인·연결 전")</x:f>
        <x:v>주가 미확인·연결 전</x:v>
      </x:c>
      <x:c r="J303" s="141" t="n">
        <x:f>COUNTIF('02_종목반응'!$B$6:$B$166,A303)</x:f>
        <x:v>0</x:v>
      </x:c>
      <x:c r="K303" s="111" t="str">
        <x:v>발언·사건 → 캡처 확산 → 댓글·논쟁 → 반박·후속 보도 → 관심 둔화</x:v>
      </x:c>
      <x:c r="L303" s="111" t="str">
        <x:v>S201;S202;S203</x:v>
      </x:c>
    </x:row>
  </x:sheetData>
  <x:mergeCells>
    <x:mergeCell ref="A1:L1"/>
    <x:mergeCell ref="A2:L2"/>
  </x:mergeCells>
  <x:conditionalFormatting sqref="H6:H75">
    <x:cfRule type="containsText" dxfId="0" priority="1" operator="containsText" text="상승"/>
    <x:cfRule type="containsText" dxfId="1" priority="2" operator="containsText" text="하락"/>
    <x:cfRule type="containsText" dxfId="2" priority="3" operator="containsText" text="미확인"/>
  </x:conditionalFormatting>
  <x:conditionalFormatting sqref="I6:I303">
    <x:cfRule type="containsText" dxfId="7" priority="4" operator="containsText" text="주가 반응 기록 있음"/>
    <x:cfRule type="containsText" dxfId="8" priority="5" operator="containsText" text="주가 미확인·연결 전"/>
  </x:conditionalFormatting>
  <x:pageMargins left="0.7" right="0.7" top="0.75" bottom="0.75" header="0.3" footer="0.3"/>
  <x:tableParts count="1">
    <x:tablePart xmlns:r="http://schemas.openxmlformats.org/officeDocument/2006/relationships" r:id="R8ed60b71aef041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8" hidden="0" customWidth="1"/>
    <x:col min="4" max="4" width="14" hidden="0" customWidth="1"/>
    <x:col min="5" max="5" width="24" hidden="0" customWidth="1"/>
    <x:col min="6" max="6" width="19" hidden="0" customWidth="1"/>
    <x:col min="7" max="7" width="10" hidden="0" customWidth="1"/>
    <x:col min="8" max="8" width="12" hidden="0" customWidth="1"/>
    <x:col min="9" max="9" width="26" hidden="0" customWidth="1"/>
    <x:col min="10" max="10" width="21" hidden="0" customWidth="1"/>
    <x:col min="11" max="11" width="14" hidden="0" customWidth="1"/>
    <x:col min="12" max="12" width="37" hidden="0" customWidth="1"/>
    <x:col min="13" max="13" width="17" hidden="0" customWidth="1"/>
    <x:col min="14" max="14" width="8" hidden="0" customWidth="1"/>
    <x:col min="15" max="15" width="8" hidden="0" customWidth="1"/>
    <x:col min="16" max="16" width="8" hidden="0" customWidth="1"/>
    <x:col min="17" max="17" width="9" hidden="0" customWidth="1"/>
    <x:col min="18" max="18" width="10" hidden="0" customWidth="1"/>
    <x:col min="19" max="19" width="12" hidden="0" customWidth="1"/>
  </x:cols>
  <x:sheetData>
    <x:row r="1" ht="34" customHeight="1">
      <x:c r="A1" s="3" t="str">
        <x:v>02 종목반응 — 사건에 연결된 개별 종목</x:v>
      </x:c>
      <x:c r="B1" s="3" t="str">
        <x:v>02 종목반응 — 사건에 연결된 개별 종목</x:v>
      </x:c>
      <x:c r="C1" s="3" t="str">
        <x:v>02 종목반응 — 사건에 연결된 개별 종목</x:v>
      </x:c>
      <x:c r="D1" s="3" t="str">
        <x:v>02 종목반응 — 사건에 연결된 개별 종목</x:v>
      </x:c>
      <x:c r="E1" s="3" t="str">
        <x:v>02 종목반응 — 사건에 연결된 개별 종목</x:v>
      </x:c>
      <x:c r="F1" s="3" t="str">
        <x:v>02 종목반응 — 사건에 연결된 개별 종목</x:v>
      </x:c>
      <x:c r="G1" s="3" t="str">
        <x:v>02 종목반응 — 사건에 연결된 개별 종목</x:v>
      </x:c>
      <x:c r="H1" s="3" t="str">
        <x:v>02 종목반응 — 사건에 연결된 개별 종목</x:v>
      </x:c>
      <x:c r="I1" s="3" t="str">
        <x:v>02 종목반응 — 사건에 연결된 개별 종목</x:v>
      </x:c>
      <x:c r="J1" s="3" t="str">
        <x:v>02 종목반응 — 사건에 연결된 개별 종목</x:v>
      </x:c>
      <x:c r="K1" s="3" t="str">
        <x:v>02 종목반응 — 사건에 연결된 개별 종목</x:v>
      </x:c>
      <x:c r="L1" s="3" t="str">
        <x:v>02 종목반응 — 사건에 연결된 개별 종목</x:v>
      </x:c>
      <x:c r="M1" s="3" t="str">
        <x:v>02 종목반응 — 사건에 연결된 개별 종목</x:v>
      </x:c>
      <x:c r="N1" s="3" t="str">
        <x:v>02 종목반응 — 사건에 연결된 개별 종목</x:v>
      </x:c>
      <x:c r="O1" s="3" t="str">
        <x:v>02 종목반응 — 사건에 연결된 개별 종목</x:v>
      </x:c>
      <x:c r="P1" s="3" t="str">
        <x:v>02 종목반응 — 사건에 연결된 개별 종목</x:v>
      </x:c>
      <x:c r="Q1" s="3" t="str">
        <x:v>02 종목반응 — 사건에 연결된 개별 종목</x:v>
      </x:c>
      <x:c r="R1" s="3" t="str">
        <x:v>02 종목반응 — 사건에 연결된 개별 종목</x:v>
      </x:c>
      <x:c r="S1" s="3" t="str">
        <x:v>02 종목반응 — 사건에 연결된 개별 종목</x:v>
      </x:c>
    </x:row>
    <x:row r="2" ht="25" customHeight="1">
      <x:c r="A2" s="144" t="str">
        <x:v>연도 기준 최신→과거로 정렬하고, 01 유행이벤트의 대분류·소분류를 동일하게 적용했습니다. 실제 가격·기업 연결 근거가 있는 사건-종목 조합만 유지합니다.</x:v>
      </x:c>
      <x:c r="B2" s="130"/>
      <x:c r="C2" s="130"/>
      <x:c r="D2" s="130"/>
      <x:c r="E2" s="130"/>
      <x:c r="F2" s="130"/>
      <x:c r="G2" s="130"/>
      <x:c r="H2" s="130"/>
      <x:c r="I2" s="130"/>
      <x:c r="J2" s="130"/>
      <x:c r="K2" s="130"/>
      <x:c r="L2" s="130"/>
      <x:c r="M2" s="130"/>
      <x:c r="N2" s="130"/>
      <x:c r="O2" s="130"/>
      <x:c r="P2" s="130"/>
      <x:c r="Q2" s="130"/>
      <x:c r="R2" s="130"/>
      <x:c r="S2" s="130"/>
    </x:row>
    <x:row r="3">
      <x:c r="A3" s="133" t="str">
        <x:v>종목 반응</x:v>
      </x:c>
      <x:c r="B3" s="133" t="n">
        <x:v>161</x:v>
      </x:c>
      <x:c r="C3" s="133" t="str">
        <x:v>연결 이벤트</x:v>
      </x:c>
      <x:c r="D3" s="133" t="n">
        <x:f>COUNTA(_xlfn.UNIQUE($B$6:$B$166))</x:f>
        <x:v>70</x:v>
      </x:c>
      <x:c r="E3" s="133" t="str">
        <x:v>전체 유행 사건</x:v>
      </x:c>
      <x:c r="F3" s="133" t="n">
        <x:v>298</x:v>
      </x:c>
      <x:c r="G3" s="133" t="str">
        <x:v>정치·정책 사건</x:v>
      </x:c>
      <x:c r="H3" s="133" t="n">
        <x:v>0</x:v>
      </x:c>
      <x:c r="I3" s="133" t="str">
        <x:v>판정</x:v>
      </x:c>
      <x:c r="J3" s="133" t="str">
        <x:v>매수 신호 아님</x:v>
      </x:c>
      <x:c r="K3" s="57"/>
      <x:c r="L3" s="57"/>
      <x:c r="M3" s="57"/>
      <x:c r="N3" s="57"/>
      <x:c r="O3" s="57"/>
      <x:c r="P3" s="57"/>
      <x:c r="Q3" s="57"/>
      <x:c r="R3" s="57"/>
      <x:c r="S3" s="57"/>
    </x:row>
    <x:row r="5">
      <x:c r="A5" s="25" t="str">
        <x:v>사례ID</x:v>
      </x:c>
      <x:c r="B5" s="25" t="str">
        <x:v>이벤트ID</x:v>
      </x:c>
      <x:c r="C5" s="25" t="str">
        <x:v>연도</x:v>
      </x:c>
      <x:c r="D5" s="25" t="str">
        <x:v>대분류</x:v>
      </x:c>
      <x:c r="E5" s="25" t="str">
        <x:v>유행·사건</x:v>
      </x:c>
      <x:c r="F5" s="25" t="str">
        <x:v>기업·티커</x:v>
      </x:c>
      <x:c r="G5" s="25" t="str">
        <x:v>시장</x:v>
      </x:c>
      <x:c r="H5" s="25" t="str">
        <x:v>방향</x:v>
      </x:c>
      <x:c r="I5" s="25" t="str">
        <x:v>가격·반응</x:v>
      </x:c>
      <x:c r="J5" s="25" t="str">
        <x:v>기업 연결</x:v>
      </x:c>
      <x:c r="K5" s="25" t="str">
        <x:v>소분류</x:v>
      </x:c>
      <x:c r="L5" s="25" t="str">
        <x:v>기업 연결·경계 메모</x:v>
      </x:c>
      <x:c r="M5" s="25" t="str">
        <x:v>출처ID</x:v>
      </x:c>
      <x:c r="N5" s="25" t="str">
        <x:v>T 유행</x:v>
      </x:c>
      <x:c r="O5" s="25" t="str">
        <x:v>L 연결</x:v>
      </x:c>
      <x:c r="P5" s="25" t="str">
        <x:v>P 가격</x:v>
      </x:c>
      <x:c r="Q5" s="25" t="str">
        <x:v>C 동시재료</x:v>
      </x:c>
      <x:c r="R5" s="25" t="str">
        <x:v>근거합계</x:v>
      </x:c>
      <x:c r="S5" s="25" t="str">
        <x:v>판정</x:v>
      </x:c>
    </x:row>
    <x:row r="6" ht="39" customHeight="1">
      <x:c r="A6" s="65" t="str">
        <x:v>KR-SNS003</x:v>
      </x:c>
      <x:c r="B6" s="65" t="str">
        <x:v>EV0088</x:v>
      </x:c>
      <x:c r="C6" s="66" t="n">
        <x:v>2026</x:v>
      </x:c>
      <x:c r="D6" s="154" t="str">
        <x:v>식품·음료</x:v>
      </x:c>
      <x:c r="E6" s="65" t="str">
        <x:v>두바이 쫀득쿠키</x:v>
      </x:c>
      <x:c r="F6" s="65" t="str">
        <x:v>신세계푸드 (031440)</x:v>
      </x:c>
      <x:c r="G6" s="65" t="str">
        <x:v>KOSPI</x:v>
      </x:c>
      <x:c r="H6" s="65" t="str">
        <x:v>미확인</x:v>
      </x:c>
      <x:c r="I6" s="33" t="str">
        <x:v>판매 확대는 확인; 독립적 주가 상승 수치 미확인</x:v>
      </x:c>
      <x:c r="J6" s="33" t="str">
        <x:v>가격미확인</x:v>
      </x:c>
      <x:c r="K6" s="158" t="str">
        <x:v>디저트·베이커리</x:v>
      </x:c>
      <x:c r="L6" s="33" t="str">
        <x:v>후보-추가검증 | 추가검증 | 주가 이벤트 윈도우와 다른 공시 동시 여부를 추가 확인</x:v>
      </x:c>
      <x:c r="M6" s="33" t="str">
        <x:v>S52</x:v>
      </x:c>
      <x:c r="N6" s="74" t="n">
        <x:v>2</x:v>
      </x:c>
      <x:c r="O6" s="74" t="n">
        <x:v>2</x:v>
      </x:c>
      <x:c r="P6" s="74" t="n">
        <x:v>0</x:v>
      </x:c>
      <x:c r="Q6" s="74" t="n">
        <x:v>1</x:v>
      </x:c>
      <x:c r="R6" s="74" t="n">
        <x:f>SUM(N6:P6)</x:f>
        <x:v>4</x:v>
      </x:c>
      <x:c r="S6" s="73" t="str">
        <x:f>IF(AND(N6=2,P6=2,R6&gt;=5),"핵심사례",IF(R6&gt;=3,"보조사례","경계사례"))</x:f>
        <x:v>보조사례</x:v>
      </x:c>
    </x:row>
    <x:row r="7" ht="39" customHeight="1">
      <x:c r="A7" s="67" t="str">
        <x:v>KR-SNS001</x:v>
      </x:c>
      <x:c r="B7" s="67" t="str">
        <x:v>EV0088</x:v>
      </x:c>
      <x:c r="C7" s="68" t="n">
        <x:v>2026</x:v>
      </x:c>
      <x:c r="D7" s="155" t="str">
        <x:v>식품·음료</x:v>
      </x:c>
      <x:c r="E7" s="67" t="str">
        <x:v>두바이 쫀득쿠키</x:v>
      </x:c>
      <x:c r="F7" s="67" t="str">
        <x:v>흥국에프엔비 (189980)</x:v>
      </x:c>
      <x:c r="G7" s="67" t="str">
        <x:v>KOSDAQ</x:v>
      </x:c>
      <x:c r="H7" s="67" t="str">
        <x:v>상승</x:v>
      </x:c>
      <x:c r="I7" s="59" t="str">
        <x:v>원재료 공급 확대 소식에 상한가</x:v>
      </x:c>
      <x:c r="J7" s="59" t="str">
        <x:v>강한사례</x:v>
      </x:c>
      <x:c r="K7" s="159" t="str">
        <x:v>디저트·베이커리</x:v>
      </x:c>
      <x:c r="L7" s="59" t="str">
        <x:v>바이럴-사업직결 | 완료 | 두쫀쿠 대표 사례. 유행이 실제 공급망 매출로 연결되지만 유행 수명은 짧을 수 있음</x:v>
      </x:c>
      <x:c r="M7" s="59" t="str">
        <x:v>S50;S51</x:v>
      </x:c>
      <x:c r="N7" s="76" t="n">
        <x:v>2</x:v>
      </x:c>
      <x:c r="O7" s="76" t="n">
        <x:v>2</x:v>
      </x:c>
      <x:c r="P7" s="76" t="n">
        <x:v>2</x:v>
      </x:c>
      <x:c r="Q7" s="76" t="n">
        <x:v>1</x:v>
      </x:c>
      <x:c r="R7" s="76" t="n">
        <x:f>SUM(N7:P7)</x:f>
        <x:v>6</x:v>
      </x:c>
      <x:c r="S7" s="75" t="str">
        <x:f>IF(AND(N7=2,P7=2,R7&gt;=5),"핵심사례",IF(R7&gt;=3,"보조사례","경계사례"))</x:f>
        <x:v>핵심사례</x:v>
      </x:c>
    </x:row>
    <x:row r="8" ht="39" customHeight="1">
      <x:c r="A8" s="69" t="str">
        <x:v>KR-SNS002</x:v>
      </x:c>
      <x:c r="B8" s="69" t="str">
        <x:v>EV0088</x:v>
      </x:c>
      <x:c r="C8" s="70" t="n">
        <x:v>2026</x:v>
      </x:c>
      <x:c r="D8" s="156" t="str">
        <x:v>식품·음료</x:v>
      </x:c>
      <x:c r="E8" s="69" t="str">
        <x:v>두바이 쫀득쿠키</x:v>
      </x:c>
      <x:c r="F8" s="69" t="str">
        <x:v>BGF리테일 (282330)</x:v>
      </x:c>
      <x:c r="G8" s="69" t="str">
        <x:v>KOSPI</x:v>
      </x:c>
      <x:c r="H8" s="69" t="str">
        <x:v>미확인</x:v>
      </x:c>
      <x:c r="I8" s="34" t="str">
        <x:v>증권사 목표주가 14.5만→15.5만원 상향; 단기 주가 수치 미확인</x:v>
      </x:c>
      <x:c r="J8" s="34" t="str">
        <x:v>가격미확인</x:v>
      </x:c>
      <x:c r="K8" s="160" t="str">
        <x:v>디저트·베이커리</x:v>
      </x:c>
      <x:c r="L8" s="34" t="str">
        <x:v>후보-추가검증 | 가격검증 | 실제 수혜는 확인되나 유행만의 주가 효과를 분리하기 어려움</x:v>
      </x:c>
      <x:c r="M8" s="34" t="str">
        <x:v>S51</x:v>
      </x:c>
      <x:c r="N8" s="78" t="n">
        <x:v>2</x:v>
      </x:c>
      <x:c r="O8" s="78" t="n">
        <x:v>1</x:v>
      </x:c>
      <x:c r="P8" s="78" t="n">
        <x:v>0</x:v>
      </x:c>
      <x:c r="Q8" s="78" t="n">
        <x:v>1</x:v>
      </x:c>
      <x:c r="R8" s="78" t="n">
        <x:f>SUM(N8:P8)</x:f>
        <x:v>3</x:v>
      </x:c>
      <x:c r="S8" s="77" t="str">
        <x:f>IF(AND(N8=2,P8=2,R8&gt;=5),"핵심사례",IF(R8&gt;=3,"보조사례","경계사례"))</x:f>
        <x:v>보조사례</x:v>
      </x:c>
    </x:row>
    <x:row r="9" ht="39" customHeight="1">
      <x:c r="A9" s="67" t="str">
        <x:v>KR-SNS006</x:v>
      </x:c>
      <x:c r="B9" s="67" t="str">
        <x:v>EV0087</x:v>
      </x:c>
      <x:c r="C9" s="68" t="n">
        <x:v>2025</x:v>
      </x:c>
      <x:c r="D9" s="155" t="str">
        <x:v>식품·음료</x:v>
      </x:c>
      <x:c r="E9" s="67" t="str">
        <x:v>크보빵·야구 스티커</x:v>
      </x:c>
      <x:c r="F9" s="67" t="str">
        <x:v>SPC삼립 (005610)</x:v>
      </x:c>
      <x:c r="G9" s="67" t="str">
        <x:v>KOSPI</x:v>
      </x:c>
      <x:c r="H9" s="67" t="str">
        <x:v>상승</x:v>
      </x:c>
      <x:c r="I9" s="59" t="str">
        <x:v>판매 호조 보도일 8% 급등</x:v>
      </x:c>
      <x:c r="J9" s="59" t="str">
        <x:v>강한사례</x:v>
      </x:c>
      <x:c r="K9" s="159" t="str">
        <x:v>디저트·베이커리</x:v>
      </x:c>
      <x:c r="L9" s="59" t="str">
        <x:v>바이럴-사업직결 | 완료 | 팬덤 소비가 종목 모멘텀으로 번진 단기 사례</x:v>
      </x:c>
      <x:c r="M9" s="59" t="str">
        <x:v>S55</x:v>
      </x:c>
      <x:c r="N9" s="76" t="n">
        <x:v>2</x:v>
      </x:c>
      <x:c r="O9" s="76" t="n">
        <x:v>2</x:v>
      </x:c>
      <x:c r="P9" s="76" t="n">
        <x:v>2</x:v>
      </x:c>
      <x:c r="Q9" s="76" t="n">
        <x:v>1</x:v>
      </x:c>
      <x:c r="R9" s="76" t="n">
        <x:f>SUM(N9:P9)</x:f>
        <x:v>6</x:v>
      </x:c>
      <x:c r="S9" s="75" t="str">
        <x:f>IF(AND(N9=2,P9=2,R9&gt;=5),"핵심사례",IF(R9&gt;=3,"보조사례","경계사례"))</x:f>
        <x:v>핵심사례</x:v>
      </x:c>
    </x:row>
    <x:row r="10" ht="39" customHeight="1">
      <x:c r="A10" s="69" t="str">
        <x:v>KR-X028</x:v>
      </x:c>
      <x:c r="B10" s="69" t="str">
        <x:v>EV0083</x:v>
      </x:c>
      <x:c r="C10" s="70" t="n">
        <x:v>2025</x:v>
      </x:c>
      <x:c r="D10" s="156" t="str">
        <x:v>식품·음료</x:v>
      </x:c>
      <x:c r="E10" s="69" t="str">
        <x:v>빽햄 가격 논란</x:v>
      </x:c>
      <x:c r="F10" s="69" t="str">
        <x:v>더본코리아 (475560)</x:v>
      </x:c>
      <x:c r="G10" s="69" t="str">
        <x:v>KOSPI</x:v>
      </x:c>
      <x:c r="H10" s="69" t="str">
        <x:v>하락</x:v>
      </x:c>
      <x:c r="I10" s="34" t="str">
        <x:v>논란·해명 과정에서 약세 보도</x:v>
      </x:c>
      <x:c r="J10" s="34" t="str">
        <x:v>직접 브랜드</x:v>
      </x:c>
      <x:c r="K10" s="160" t="str">
        <x:v>식품 유행 일반</x:v>
      </x:c>
      <x:c r="L10" s="34" t="str">
        <x:v>정확한 이벤트 구간 수익률은 추가 보강 필요</x:v>
      </x:c>
      <x:c r="M10" s="34" t="str">
        <x:v>S137</x:v>
      </x:c>
      <x:c r="N10" s="78" t="n">
        <x:v>2</x:v>
      </x:c>
      <x:c r="O10" s="78" t="n">
        <x:v>2</x:v>
      </x:c>
      <x:c r="P10" s="78" t="n">
        <x:v>1</x:v>
      </x:c>
      <x:c r="Q10" s="78" t="n">
        <x:v>1</x:v>
      </x:c>
      <x:c r="R10" s="78" t="n">
        <x:f>SUM(N10:P10)</x:f>
        <x:v>5</x:v>
      </x:c>
      <x:c r="S10" s="77" t="str">
        <x:f>IF(AND(N10=2,P10=2,R10&gt;=5),"핵심사례",IF(R10&gt;=3,"보조사례","경계사례"))</x:f>
        <x:v>보조사례</x:v>
      </x:c>
    </x:row>
    <x:row r="11" ht="39" customHeight="1">
      <x:c r="A11" s="67" t="str">
        <x:v>KR-SNS009</x:v>
      </x:c>
      <x:c r="B11" s="67" t="str">
        <x:v>EV0086</x:v>
      </x:c>
      <x:c r="C11" s="68" t="n">
        <x:v>2025</x:v>
      </x:c>
      <x:c r="D11" s="155" t="str">
        <x:v>식품·음료</x:v>
      </x:c>
      <x:c r="E11" s="67" t="str">
        <x:v>케이팝 데몬 헌터스·김밥</x:v>
      </x:c>
      <x:c r="F11" s="67" t="str">
        <x:v>우양 (103840)</x:v>
      </x:c>
      <x:c r="G11" s="67" t="str">
        <x:v>KOSDAQ</x:v>
      </x:c>
      <x:c r="H11" s="67" t="str">
        <x:v>미확인</x:v>
      </x:c>
      <x:c r="I11" s="59" t="str">
        <x:v>관련 기대감으로 상승 보도; 정확 상승률 미기재</x:v>
      </x:c>
      <x:c r="J11" s="59" t="str">
        <x:v>경계사례</x:v>
      </x:c>
      <x:c r="K11" s="159" t="str">
        <x:v>식품 유행 일반</x:v>
      </x:c>
      <x:c r="L11" s="59" t="str">
        <x:v>혼합-테마 주도 | 추가검증 | 콘텐츠→소비품목→제조사로 이어지는 2단계 연결</x:v>
      </x:c>
      <x:c r="M11" s="59" t="str">
        <x:v>S58</x:v>
      </x:c>
      <x:c r="N11" s="76" t="n">
        <x:v>2</x:v>
      </x:c>
      <x:c r="O11" s="76" t="n">
        <x:v>0</x:v>
      </x:c>
      <x:c r="P11" s="76" t="n">
        <x:v>1</x:v>
      </x:c>
      <x:c r="Q11" s="76" t="n">
        <x:v>1</x:v>
      </x:c>
      <x:c r="R11" s="76" t="n">
        <x:f>SUM(N11:P11)</x:f>
        <x:v>3</x:v>
      </x:c>
      <x:c r="S11" s="75" t="str">
        <x:f>IF(AND(N11=2,P11=2,R11&gt;=5),"핵심사례",IF(R11&gt;=3,"보조사례","경계사례"))</x:f>
        <x:v>보조사례</x:v>
      </x:c>
    </x:row>
    <x:row r="12" ht="39" customHeight="1">
      <x:c r="A12" s="69" t="str">
        <x:v>KR-SNS015</x:v>
      </x:c>
      <x:c r="B12" s="69" t="str">
        <x:v>EV0082</x:v>
      </x:c>
      <x:c r="C12" s="70" t="n">
        <x:v>2025</x:v>
      </x:c>
      <x:c r="D12" s="156" t="str">
        <x:v>패션·뷰티</x:v>
      </x:c>
      <x:c r="E12" s="69" t="str">
        <x:v>메디큐브·AGE-R</x:v>
      </x:c>
      <x:c r="F12" s="69" t="str">
        <x:v>에이피알 (278470)</x:v>
      </x:c>
      <x:c r="G12" s="69" t="str">
        <x:v>KOSPI</x:v>
      </x:c>
      <x:c r="H12" s="69" t="str">
        <x:v>상승</x:v>
      </x:c>
      <x:c r="I12" s="34" t="str">
        <x:v>2026년 4월 기준 연초 대비 80.04% 상승</x:v>
      </x:c>
      <x:c r="J12" s="34" t="str">
        <x:v>강한사례</x:v>
      </x:c>
      <x:c r="K12" s="160" t="str">
        <x:v>뷰티·화장품</x:v>
      </x:c>
      <x:c r="L12" s="34" t="str">
        <x:v>바이럴-사업직결 | 완료 | SNS 신호가 실적에 반영된 뒤 주가가 재평가된 사례</x:v>
      </x:c>
      <x:c r="M12" s="34" t="str">
        <x:v>S64</x:v>
      </x:c>
      <x:c r="N12" s="78" t="n">
        <x:v>2</x:v>
      </x:c>
      <x:c r="O12" s="78" t="n">
        <x:v>2</x:v>
      </x:c>
      <x:c r="P12" s="78" t="n">
        <x:v>2</x:v>
      </x:c>
      <x:c r="Q12" s="78" t="n">
        <x:v>1</x:v>
      </x:c>
      <x:c r="R12" s="78" t="n">
        <x:f>SUM(N12:P12)</x:f>
        <x:v>6</x:v>
      </x:c>
      <x:c r="S12" s="77" t="str">
        <x:f>IF(AND(N12=2,P12=2,R12&gt;=5),"핵심사례",IF(R12&gt;=3,"보조사례","경계사례"))</x:f>
        <x:v>핵심사례</x:v>
      </x:c>
    </x:row>
    <x:row r="13" ht="39" customHeight="1">
      <x:c r="A13" s="67" t="str">
        <x:v>DISC-2024-05</x:v>
      </x:c>
      <x:c r="B13" s="67" t="str">
        <x:v>EV0080</x:v>
      </x:c>
      <x:c r="C13" s="68" t="n">
        <x:v>2024</x:v>
      </x:c>
      <x:c r="D13" s="155" t="str">
        <x:v>식품·음료</x:v>
      </x:c>
      <x:c r="E13" s="67" t="str">
        <x:v>SNS발 두바이 초콜릿 열풍</x:v>
      </x:c>
      <x:c r="F13" s="67" t="str">
        <x:v>BGF리테일 (282330)</x:v>
      </x:c>
      <x:c r="G13" s="67" t="str">
        <x:v>KOSPI</x:v>
      </x:c>
      <x:c r="H13" s="67" t="str">
        <x:v>가격 미확인</x:v>
      </x:c>
      <x:c r="I13" s="59" t="str">
        <x:v>CU 초도 20만개 하루 완판; 주가 반응 미검증</x:v>
      </x:c>
      <x:c r="J13" s="59" t="str">
        <x:v>가격미확인</x:v>
      </x:c>
      <x:c r="K13" s="159" t="str">
        <x:v>디저트·베이커리</x:v>
      </x:c>
      <x:c r="L13" s="59" t="str">
        <x:v>유행·판매는 강하지만 가격 근거가 없는 경계사례</x:v>
      </x:c>
      <x:c r="M13" s="59" t="str">
        <x:v>S117</x:v>
      </x:c>
      <x:c r="N13" s="76" t="n">
        <x:v>2</x:v>
      </x:c>
      <x:c r="O13" s="76" t="n">
        <x:v>2</x:v>
      </x:c>
      <x:c r="P13" s="76" t="n">
        <x:v>0</x:v>
      </x:c>
      <x:c r="Q13" s="76" t="n">
        <x:v>2</x:v>
      </x:c>
      <x:c r="R13" s="76" t="n">
        <x:f>SUM(N13:P13)</x:f>
        <x:v>4</x:v>
      </x:c>
      <x:c r="S13" s="75" t="str">
        <x:f>IF(AND(N13=2,P13=2,R13&gt;=5),"핵심사례",IF(R13&gt;=3,"보조사례","경계사례"))</x:f>
        <x:v>보조사례</x:v>
      </x:c>
    </x:row>
    <x:row r="14" ht="39" customHeight="1">
      <x:c r="A14" s="69" t="str">
        <x:v>KR-X059</x:v>
      </x:c>
      <x:c r="B14" s="69" t="str">
        <x:v>EV0075</x:v>
      </x:c>
      <x:c r="C14" s="70" t="n">
        <x:v>2024</x:v>
      </x:c>
      <x:c r="D14" s="156" t="str">
        <x:v>콘텐츠·엔터</x:v>
      </x:c>
      <x:c r="E14" s="69" t="str">
        <x:v>선재 업고 튀어 신드롬</x:v>
      </x:c>
      <x:c r="F14" s="69" t="str">
        <x:v>CJ ENM (035760)</x:v>
      </x:c>
      <x:c r="G14" s="69" t="str">
        <x:v>KOSDAQ</x:v>
      </x:c>
      <x:c r="H14" s="69" t="str">
        <x:v>상승</x:v>
      </x:c>
      <x:c r="I14" s="34" t="str">
        <x:v>저점 대비 약 70% 반등 구간에 흥행 모멘텀</x:v>
      </x:c>
      <x:c r="J14" s="34" t="str">
        <x:v>편성·유통</x:v>
      </x:c>
      <x:c r="K14" s="160" t="str">
        <x:v>드라마·OTT</x:v>
      </x:c>
      <x:c r="L14" s="34" t="str">
        <x:v>실적 흑자전환 등 동시 재료 존재</x:v>
      </x:c>
      <x:c r="M14" s="34" t="str">
        <x:v>S153</x:v>
      </x:c>
      <x:c r="N14" s="78" t="n">
        <x:v>2</x:v>
      </x:c>
      <x:c r="O14" s="78" t="n">
        <x:v>2</x:v>
      </x:c>
      <x:c r="P14" s="78" t="n">
        <x:v>1</x:v>
      </x:c>
      <x:c r="Q14" s="78" t="n">
        <x:v>2</x:v>
      </x:c>
      <x:c r="R14" s="78" t="n">
        <x:f>SUM(N14:P14)</x:f>
        <x:v>5</x:v>
      </x:c>
      <x:c r="S14" s="77" t="str">
        <x:f>IF(AND(N14=2,P14=2,R14&gt;=5),"핵심사례",IF(R14&gt;=3,"보조사례","경계사례"))</x:f>
        <x:v>보조사례</x:v>
      </x:c>
    </x:row>
    <x:row r="15" ht="39" customHeight="1">
      <x:c r="A15" s="67" t="str">
        <x:v>KR-X038</x:v>
      </x:c>
      <x:c r="B15" s="67" t="str">
        <x:v>EV0076</x:v>
      </x:c>
      <x:c r="C15" s="68" t="n">
        <x:v>2024</x:v>
      </x:c>
      <x:c r="D15" s="155" t="str">
        <x:v>콘텐츠·엔터</x:v>
      </x:c>
      <x:c r="E15" s="67" t="str">
        <x:v>파묘 천만 흥행</x:v>
      </x:c>
      <x:c r="F15" s="67" t="str">
        <x:v>쇼박스 (086980)</x:v>
      </x:c>
      <x:c r="G15" s="67" t="str">
        <x:v>KOSDAQ</x:v>
      </x:c>
      <x:c r="H15" s="67" t="str">
        <x:v>상승</x:v>
      </x:c>
      <x:c r="I15" s="59" t="str">
        <x:v>개봉 1주일 만에 1년 신고가 4,545원</x:v>
      </x:c>
      <x:c r="J15" s="59" t="str">
        <x:v>배급·투자</x:v>
      </x:c>
      <x:c r="K15" s="159" t="str">
        <x:v>영화·애니메이션</x:v>
      </x:c>
      <x:c r="L15" s="59" t="str">
        <x:v>배급사 직접 연결</x:v>
      </x:c>
      <x:c r="M15" s="59" t="str">
        <x:v>S144</x:v>
      </x:c>
      <x:c r="N15" s="76" t="n">
        <x:v>2</x:v>
      </x:c>
      <x:c r="O15" s="76" t="n">
        <x:v>2</x:v>
      </x:c>
      <x:c r="P15" s="76" t="n">
        <x:v>2</x:v>
      </x:c>
      <x:c r="Q15" s="76" t="n">
        <x:v>1</x:v>
      </x:c>
      <x:c r="R15" s="76" t="n">
        <x:f>SUM(N15:P15)</x:f>
        <x:v>6</x:v>
      </x:c>
      <x:c r="S15" s="75" t="str">
        <x:f>IF(AND(N15=2,P15=2,R15&gt;=5),"핵심사례",IF(R15&gt;=3,"보조사례","경계사례"))</x:f>
        <x:v>핵심사례</x:v>
      </x:c>
    </x:row>
    <x:row r="16" ht="39" customHeight="1">
      <x:c r="A16" s="69" t="str">
        <x:v>KR-X039</x:v>
      </x:c>
      <x:c r="B16" s="69" t="str">
        <x:v>EV0076</x:v>
      </x:c>
      <x:c r="C16" s="70" t="n">
        <x:v>2024</x:v>
      </x:c>
      <x:c r="D16" s="156" t="str">
        <x:v>콘텐츠·엔터</x:v>
      </x:c>
      <x:c r="E16" s="69" t="str">
        <x:v>파묘 천만 흥행</x:v>
      </x:c>
      <x:c r="F16" s="69" t="str">
        <x:v>CJ CGV (079160)</x:v>
      </x:c>
      <x:c r="G16" s="69" t="str">
        <x:v>KOSPI</x:v>
      </x:c>
      <x:c r="H16" s="69" t="str">
        <x:v>상승</x:v>
      </x:c>
      <x:c r="I16" s="34" t="str">
        <x:v>극장주 동반 강세 보도</x:v>
      </x:c>
      <x:c r="J16" s="34" t="str">
        <x:v>상영·유통</x:v>
      </x:c>
      <x:c r="K16" s="160" t="str">
        <x:v>영화·애니메이션</x:v>
      </x:c>
      <x:c r="L16" s="34" t="str">
        <x:v>전체 박스오피스 회복 요인과 중첩</x:v>
      </x:c>
      <x:c r="M16" s="34" t="str">
        <x:v>S144</x:v>
      </x:c>
      <x:c r="N16" s="78" t="n">
        <x:v>2</x:v>
      </x:c>
      <x:c r="O16" s="78" t="n">
        <x:v>1</x:v>
      </x:c>
      <x:c r="P16" s="78" t="n">
        <x:v>1</x:v>
      </x:c>
      <x:c r="Q16" s="78" t="n">
        <x:v>2</x:v>
      </x:c>
      <x:c r="R16" s="78" t="n">
        <x:f>SUM(N16:P16)</x:f>
        <x:v>4</x:v>
      </x:c>
      <x:c r="S16" s="77" t="str">
        <x:f>IF(AND(N16=2,P16=2,R16&gt;=5),"핵심사례",IF(R16&gt;=3,"보조사례","경계사례"))</x:f>
        <x:v>보조사례</x:v>
      </x:c>
    </x:row>
    <x:row r="17" ht="39" customHeight="1">
      <x:c r="A17" s="67" t="str">
        <x:v>KR-X070</x:v>
      </x:c>
      <x:c r="B17" s="67" t="str">
        <x:v>EV0073</x:v>
      </x:c>
      <x:c r="C17" s="68" t="n">
        <x:v>2024</x:v>
      </x:c>
      <x:c r="D17" s="155" t="str">
        <x:v>콘텐츠·엔터</x:v>
      </x:c>
      <x:c r="E17" s="67" t="str">
        <x:v>로제 APT. 글로벌 밈</x:v>
      </x:c>
      <x:c r="F17" s="67" t="str">
        <x:v>와이지엔터테인먼트 (122870)</x:v>
      </x:c>
      <x:c r="G17" s="67" t="str">
        <x:v>KOSDAQ</x:v>
      </x:c>
      <x:c r="H17" s="67" t="str">
        <x:v>상승</x:v>
      </x:c>
      <x:c r="I17" s="59" t="str">
        <x:v>흥행 구간 동반 강세</x:v>
      </x:c>
      <x:c r="J17" s="59" t="str">
        <x:v>그룹 연결</x:v>
      </x:c>
      <x:c r="K17" s="159" t="str">
        <x:v>음악·댄스</x:v>
      </x:c>
      <x:c r="L17" s="59" t="str">
        <x:v>로제 개인 활동 계약은 YG가 아니므로 연결 경계</x:v>
      </x:c>
      <x:c r="M17" s="59" t="str">
        <x:v>S158</x:v>
      </x:c>
      <x:c r="N17" s="76" t="n">
        <x:v>2</x:v>
      </x:c>
      <x:c r="O17" s="76" t="n">
        <x:v>0</x:v>
      </x:c>
      <x:c r="P17" s="76" t="n">
        <x:v>1</x:v>
      </x:c>
      <x:c r="Q17" s="76" t="n">
        <x:v>1</x:v>
      </x:c>
      <x:c r="R17" s="76" t="n">
        <x:f>SUM(N17:P17)</x:f>
        <x:v>3</x:v>
      </x:c>
      <x:c r="S17" s="75" t="str">
        <x:f>IF(AND(N17=2,P17=2,R17&gt;=5),"핵심사례",IF(R17&gt;=3,"보조사례","경계사례"))</x:f>
        <x:v>보조사례</x:v>
      </x:c>
    </x:row>
    <x:row r="18" ht="39" customHeight="1">
      <x:c r="A18" s="69" t="str">
        <x:v>KR-X069</x:v>
      </x:c>
      <x:c r="B18" s="69" t="str">
        <x:v>EV0073</x:v>
      </x:c>
      <x:c r="C18" s="70" t="n">
        <x:v>2024</x:v>
      </x:c>
      <x:c r="D18" s="156" t="str">
        <x:v>콘텐츠·엔터</x:v>
      </x:c>
      <x:c r="E18" s="69" t="str">
        <x:v>로제 APT. 글로벌 밈</x:v>
      </x:c>
      <x:c r="F18" s="69" t="str">
        <x:v>YG PLUS (037270)</x:v>
      </x:c>
      <x:c r="G18" s="69" t="str">
        <x:v>KOSPI</x:v>
      </x:c>
      <x:c r="H18" s="69" t="str">
        <x:v>급등→급락</x:v>
      </x:c>
      <x:c r="I18" s="34" t="str">
        <x:v>6거래일 157.84% 상승 뒤 이틀 급락</x:v>
      </x:c>
      <x:c r="J18" s="34" t="str">
        <x:v>음원 유통</x:v>
      </x:c>
      <x:c r="K18" s="160" t="str">
        <x:v>음악·댄스</x:v>
      </x:c>
      <x:c r="L18" s="34" t="str">
        <x:v>음원 유통 계약 직접 연결</x:v>
      </x:c>
      <x:c r="M18" s="34" t="str">
        <x:v>S158;S159</x:v>
      </x:c>
      <x:c r="N18" s="78" t="n">
        <x:v>2</x:v>
      </x:c>
      <x:c r="O18" s="78" t="n">
        <x:v>2</x:v>
      </x:c>
      <x:c r="P18" s="78" t="n">
        <x:v>2</x:v>
      </x:c>
      <x:c r="Q18" s="78" t="n">
        <x:v>0</x:v>
      </x:c>
      <x:c r="R18" s="78" t="n">
        <x:f>SUM(N18:P18)</x:f>
        <x:v>6</x:v>
      </x:c>
      <x:c r="S18" s="77" t="str">
        <x:f>IF(AND(N18=2,P18=2,R18&gt;=5),"핵심사례",IF(R18&gt;=3,"보조사례","경계사례"))</x:f>
        <x:v>핵심사례</x:v>
      </x:c>
    </x:row>
    <x:row r="19" ht="39" customHeight="1">
      <x:c r="A19" s="67" t="str">
        <x:v>KR-X037</x:v>
      </x:c>
      <x:c r="B19" s="67" t="str">
        <x:v>EV0074</x:v>
      </x:c>
      <x:c r="C19" s="68" t="n">
        <x:v>2024</x:v>
      </x:c>
      <x:c r="D19" s="155" t="str">
        <x:v>콘텐츠·엔터</x:v>
      </x:c>
      <x:c r="E19" s="67" t="str">
        <x:v>사랑의 하츄핑 신드롬</x:v>
      </x:c>
      <x:c r="F19" s="67" t="str">
        <x:v>SAMG엔터 (419530)</x:v>
      </x:c>
      <x:c r="G19" s="67" t="str">
        <x:v>KOSDAQ</x:v>
      </x:c>
      <x:c r="H19" s="67" t="str">
        <x:v>상승</x:v>
      </x:c>
      <x:c r="I19" s="59" t="str">
        <x:v>100만 관객 기대 구간 연일 급등</x:v>
      </x:c>
      <x:c r="J19" s="59" t="str">
        <x:v>직접 IP</x:v>
      </x:c>
      <x:c r="K19" s="159" t="str">
        <x:v>캐릭터·IP</x:v>
      </x:c>
      <x:c r="L19" s="59" t="str">
        <x:v>제작사·IP 보유사 직접 연결</x:v>
      </x:c>
      <x:c r="M19" s="59" t="str">
        <x:v>S143</x:v>
      </x:c>
      <x:c r="N19" s="76" t="n">
        <x:v>2</x:v>
      </x:c>
      <x:c r="O19" s="76" t="n">
        <x:v>2</x:v>
      </x:c>
      <x:c r="P19" s="76" t="n">
        <x:v>1</x:v>
      </x:c>
      <x:c r="Q19" s="76" t="n">
        <x:v>1</x:v>
      </x:c>
      <x:c r="R19" s="76" t="n">
        <x:f>SUM(N19:P19)</x:f>
        <x:v>5</x:v>
      </x:c>
      <x:c r="S19" s="75" t="str">
        <x:f>IF(AND(N19=2,P19=2,R19&gt;=5),"핵심사례",IF(R19&gt;=3,"보조사례","경계사례"))</x:f>
        <x:v>보조사례</x:v>
      </x:c>
    </x:row>
    <x:row r="20" ht="39" customHeight="1">
      <x:c r="A20" s="69" t="str">
        <x:v>KR-X024</x:v>
      </x:c>
      <x:c r="B20" s="69" t="str">
        <x:v>EV0077</x:v>
      </x:c>
      <x:c r="C20" s="70" t="n">
        <x:v>2024</x:v>
      </x:c>
      <x:c r="D20" s="156" t="str">
        <x:v>콘텐츠·엔터</x:v>
      </x:c>
      <x:c r="E20" s="69" t="str">
        <x:v>하이브-어도어·민희진 갈등</x:v>
      </x:c>
      <x:c r="F20" s="69" t="str">
        <x:v>하이브 (352820)</x:v>
      </x:c>
      <x:c r="G20" s="69" t="str">
        <x:v>KOSPI</x:v>
      </x:c>
      <x:c r="H20" s="69" t="str">
        <x:v>급락→반등</x:v>
      </x:c>
      <x:c r="I20" s="34" t="str">
        <x:v>감사 보도일 7.81% 하락·화해 제안 뒤 장중 반등</x:v>
      </x:c>
      <x:c r="J20" s="34" t="str">
        <x:v>직접 관계</x:v>
      </x:c>
      <x:c r="K20" s="160" t="str">
        <x:v>팬덤·공연</x:v>
      </x:c>
      <x:c r="L20" s="34" t="str">
        <x:v>자회사·핵심 아티스트 관련 갈등</x:v>
      </x:c>
      <x:c r="M20" s="34" t="str">
        <x:v>S130;S131</x:v>
      </x:c>
      <x:c r="N20" s="78" t="n">
        <x:v>2</x:v>
      </x:c>
      <x:c r="O20" s="78" t="n">
        <x:v>2</x:v>
      </x:c>
      <x:c r="P20" s="78" t="n">
        <x:v>2</x:v>
      </x:c>
      <x:c r="Q20" s="78" t="n">
        <x:v>1</x:v>
      </x:c>
      <x:c r="R20" s="78" t="n">
        <x:f>SUM(N20:P20)</x:f>
        <x:v>6</x:v>
      </x:c>
      <x:c r="S20" s="77" t="str">
        <x:f>IF(AND(N20=2,P20=2,R20&gt;=5),"핵심사례",IF(R20&gt;=3,"보조사례","경계사례"))</x:f>
        <x:v>핵심사례</x:v>
      </x:c>
    </x:row>
    <x:row r="21" ht="39" customHeight="1">
      <x:c r="A21" s="67" t="str">
        <x:v>DISC-2024-02</x:v>
      </x:c>
      <x:c r="B21" s="67" t="str">
        <x:v>EV0078</x:v>
      </x:c>
      <x:c r="C21" s="68" t="n">
        <x:v>2024</x:v>
      </x:c>
      <x:c r="D21" s="155" t="str">
        <x:v>콘텐츠·엔터</x:v>
      </x:c>
      <x:c r="E21" s="67" t="str">
        <x:v>한강 노벨문학상·텍스트힙</x:v>
      </x:c>
      <x:c r="F21" s="67" t="str">
        <x:v>밀리의서재 (418470)</x:v>
      </x:c>
      <x:c r="G21" s="67" t="str">
        <x:v>KOSDAQ</x:v>
      </x:c>
      <x:c r="H21" s="67" t="str">
        <x:v>상승</x:v>
      </x:c>
      <x:c r="I21" s="59" t="str">
        <x:v>당일 23.63% 상승</x:v>
      </x:c>
      <x:c r="J21" s="59" t="str">
        <x:v>강한사례</x:v>
      </x:c>
      <x:c r="K21" s="159" t="str">
        <x:v>팬덤·공연</x:v>
      </x:c>
      <x:c r="L21" s="59" t="str">
        <x:v>구독 독서 직접 연결</x:v>
      </x:c>
      <x:c r="M21" s="59" t="str">
        <x:v>S116</x:v>
      </x:c>
      <x:c r="N21" s="76" t="n">
        <x:v>2</x:v>
      </x:c>
      <x:c r="O21" s="76" t="n">
        <x:v>2</x:v>
      </x:c>
      <x:c r="P21" s="76" t="n">
        <x:v>2</x:v>
      </x:c>
      <x:c r="Q21" s="76" t="n">
        <x:v>1</x:v>
      </x:c>
      <x:c r="R21" s="76" t="n">
        <x:f>SUM(N21:P21)</x:f>
        <x:v>6</x:v>
      </x:c>
      <x:c r="S21" s="75" t="str">
        <x:f>IF(AND(N21=2,P21=2,R21&gt;=5),"핵심사례",IF(R21&gt;=3,"보조사례","경계사례"))</x:f>
        <x:v>핵심사례</x:v>
      </x:c>
    </x:row>
    <x:row r="22" ht="39" customHeight="1">
      <x:c r="A22" s="69" t="str">
        <x:v>DISC-2024-04</x:v>
      </x:c>
      <x:c r="B22" s="69" t="str">
        <x:v>EV0078</x:v>
      </x:c>
      <x:c r="C22" s="70" t="n">
        <x:v>2024</x:v>
      </x:c>
      <x:c r="D22" s="156" t="str">
        <x:v>콘텐츠·엔터</x:v>
      </x:c>
      <x:c r="E22" s="69" t="str">
        <x:v>한강 노벨문학상·텍스트힙</x:v>
      </x:c>
      <x:c r="F22" s="69" t="str">
        <x:v>삼성출판사 (068290)</x:v>
      </x:c>
      <x:c r="G22" s="69" t="str">
        <x:v>KOSPI</x:v>
      </x:c>
      <x:c r="H22" s="69" t="str">
        <x:v>상승</x:v>
      </x:c>
      <x:c r="I22" s="34" t="str">
        <x:v>당일 14.24% 상승</x:v>
      </x:c>
      <x:c r="J22" s="34" t="str">
        <x:v>강한사례</x:v>
      </x:c>
      <x:c r="K22" s="160" t="str">
        <x:v>팬덤·공연</x:v>
      </x:c>
      <x:c r="L22" s="34" t="str">
        <x:v>한강 직접 사업 연결은 약한 출판 테마</x:v>
      </x:c>
      <x:c r="M22" s="34" t="str">
        <x:v>S116</x:v>
      </x:c>
      <x:c r="N22" s="78" t="n">
        <x:v>2</x:v>
      </x:c>
      <x:c r="O22" s="78" t="n">
        <x:v>1</x:v>
      </x:c>
      <x:c r="P22" s="78" t="n">
        <x:v>2</x:v>
      </x:c>
      <x:c r="Q22" s="78" t="n">
        <x:v>0</x:v>
      </x:c>
      <x:c r="R22" s="78" t="n">
        <x:f>SUM(N22:P22)</x:f>
        <x:v>5</x:v>
      </x:c>
      <x:c r="S22" s="77" t="str">
        <x:f>IF(AND(N22=2,P22=2,R22&gt;=5),"핵심사례",IF(R22&gt;=3,"보조사례","경계사례"))</x:f>
        <x:v>핵심사례</x:v>
      </x:c>
    </x:row>
    <x:row r="23" ht="39" customHeight="1">
      <x:c r="A23" s="67" t="str">
        <x:v>DISC-2024-03</x:v>
      </x:c>
      <x:c r="B23" s="67" t="str">
        <x:v>EV0078</x:v>
      </x:c>
      <x:c r="C23" s="68" t="n">
        <x:v>2024</x:v>
      </x:c>
      <x:c r="D23" s="155" t="str">
        <x:v>콘텐츠·엔터</x:v>
      </x:c>
      <x:c r="E23" s="67" t="str">
        <x:v>한강 노벨문학상·텍스트힙</x:v>
      </x:c>
      <x:c r="F23" s="67" t="str">
        <x:v>예림당 (036000)</x:v>
      </x:c>
      <x:c r="G23" s="67" t="str">
        <x:v>KOSDAQ</x:v>
      </x:c>
      <x:c r="H23" s="67" t="str">
        <x:v>상승</x:v>
      </x:c>
      <x:c r="I23" s="59" t="str">
        <x:v>당일 29.79% 상승</x:v>
      </x:c>
      <x:c r="J23" s="59" t="str">
        <x:v>강한사례</x:v>
      </x:c>
      <x:c r="K23" s="159" t="str">
        <x:v>팬덤·공연</x:v>
      </x:c>
      <x:c r="L23" s="59" t="str">
        <x:v>한강 직접 사업 연결은 약한 출판 테마</x:v>
      </x:c>
      <x:c r="M23" s="59" t="str">
        <x:v>S116</x:v>
      </x:c>
      <x:c r="N23" s="76" t="n">
        <x:v>2</x:v>
      </x:c>
      <x:c r="O23" s="76" t="n">
        <x:v>1</x:v>
      </x:c>
      <x:c r="P23" s="76" t="n">
        <x:v>2</x:v>
      </x:c>
      <x:c r="Q23" s="76" t="n">
        <x:v>0</x:v>
      </x:c>
      <x:c r="R23" s="76" t="n">
        <x:f>SUM(N23:P23)</x:f>
        <x:v>5</x:v>
      </x:c>
      <x:c r="S23" s="75" t="str">
        <x:f>IF(AND(N23=2,P23=2,R23&gt;=5),"핵심사례",IF(R23&gt;=3,"보조사례","경계사례"))</x:f>
        <x:v>핵심사례</x:v>
      </x:c>
    </x:row>
    <x:row r="24" ht="39" customHeight="1">
      <x:c r="A24" s="69" t="str">
        <x:v>DISC-2024-01</x:v>
      </x:c>
      <x:c r="B24" s="69" t="str">
        <x:v>EV0078</x:v>
      </x:c>
      <x:c r="C24" s="70" t="n">
        <x:v>2024</x:v>
      </x:c>
      <x:c r="D24" s="156" t="str">
        <x:v>콘텐츠·엔터</x:v>
      </x:c>
      <x:c r="E24" s="69" t="str">
        <x:v>한강 노벨문학상·텍스트힙</x:v>
      </x:c>
      <x:c r="F24" s="69" t="str">
        <x:v>예스24 (053280)</x:v>
      </x:c>
      <x:c r="G24" s="69" t="str">
        <x:v>KOSDAQ</x:v>
      </x:c>
      <x:c r="H24" s="69" t="str">
        <x:v>상승</x:v>
      </x:c>
      <x:c r="I24" s="34" t="str">
        <x:v>당일 상한가 29.81%</x:v>
      </x:c>
      <x:c r="J24" s="34" t="str">
        <x:v>강한사례</x:v>
      </x:c>
      <x:c r="K24" s="160" t="str">
        <x:v>팬덤·공연</x:v>
      </x:c>
      <x:c r="L24" s="34" t="str">
        <x:v>서점 판매 직접 연결</x:v>
      </x:c>
      <x:c r="M24" s="34" t="str">
        <x:v>S116</x:v>
      </x:c>
      <x:c r="N24" s="78" t="n">
        <x:v>2</x:v>
      </x:c>
      <x:c r="O24" s="78" t="n">
        <x:v>2</x:v>
      </x:c>
      <x:c r="P24" s="78" t="n">
        <x:v>2</x:v>
      </x:c>
      <x:c r="Q24" s="78" t="n">
        <x:v>1</x:v>
      </x:c>
      <x:c r="R24" s="78" t="n">
        <x:f>SUM(N24:P24)</x:f>
        <x:v>6</x:v>
      </x:c>
      <x:c r="S24" s="77" t="str">
        <x:f>IF(AND(N24=2,P24=2,R24&gt;=5),"핵심사례",IF(R24&gt;=3,"보조사례","경계사례"))</x:f>
        <x:v>핵심사례</x:v>
      </x:c>
    </x:row>
    <x:row r="25" ht="39" customHeight="1">
      <x:c r="A25" s="67" t="str">
        <x:v>KR-SNS016</x:v>
      </x:c>
      <x:c r="B25" s="67" t="str">
        <x:v>EV0079</x:v>
      </x:c>
      <x:c r="C25" s="68" t="n">
        <x:v>2024</x:v>
      </x:c>
      <x:c r="D25" s="155" t="str">
        <x:v>패션·뷰티</x:v>
      </x:c>
      <x:c r="E25" s="67" t="str">
        <x:v>K뷰티 글로벌 바이럴</x:v>
      </x:c>
      <x:c r="F25" s="67" t="str">
        <x:v>실리콘투 (257720)</x:v>
      </x:c>
      <x:c r="G25" s="67" t="str">
        <x:v>KOSDAQ</x:v>
      </x:c>
      <x:c r="H25" s="67" t="str">
        <x:v>상승</x:v>
      </x:c>
      <x:c r="I25" s="59" t="str">
        <x:v>2024년 기사 기준 연초 이후 주가 5배 이상</x:v>
      </x:c>
      <x:c r="J25" s="59" t="str">
        <x:v>강한사례</x:v>
      </x:c>
      <x:c r="K25" s="159" t="str">
        <x:v>뷰티·화장품</x:v>
      </x:c>
      <x:c r="L25" s="59" t="str">
        <x:v>혼합-테마 주도 | 완료 | 개별 밈보다 여러 바이럴 브랜드를 묶는 유통 레이어</x:v>
      </x:c>
      <x:c r="M25" s="59" t="str">
        <x:v>S65</x:v>
      </x:c>
      <x:c r="N25" s="76" t="n">
        <x:v>2</x:v>
      </x:c>
      <x:c r="O25" s="76" t="n">
        <x:v>1</x:v>
      </x:c>
      <x:c r="P25" s="76" t="n">
        <x:v>2</x:v>
      </x:c>
      <x:c r="Q25" s="76" t="n">
        <x:v>1</x:v>
      </x:c>
      <x:c r="R25" s="76" t="n">
        <x:f>SUM(N25:P25)</x:f>
        <x:v>5</x:v>
      </x:c>
      <x:c r="S25" s="75" t="str">
        <x:f>IF(AND(N25=2,P25=2,R25&gt;=5),"핵심사례",IF(R25&gt;=3,"보조사례","경계사례"))</x:f>
        <x:v>핵심사례</x:v>
      </x:c>
    </x:row>
    <x:row r="26" ht="39" customHeight="1">
      <x:c r="A26" s="69" t="str">
        <x:v>KR-SNS008</x:v>
      </x:c>
      <x:c r="B26" s="69" t="str">
        <x:v>EV0062</x:v>
      </x:c>
      <x:c r="C26" s="70" t="n">
        <x:v>2023</x:v>
      </x:c>
      <x:c r="D26" s="156" t="str">
        <x:v>식품·음료</x:v>
      </x:c>
      <x:c r="E26" s="69" t="str">
        <x:v>미국 냉동김밥 품절</x:v>
      </x:c>
      <x:c r="F26" s="69" t="str">
        <x:v>우양 (103840)</x:v>
      </x:c>
      <x:c r="G26" s="69" t="str">
        <x:v>KOSDAQ</x:v>
      </x:c>
      <x:c r="H26" s="69" t="str">
        <x:v>미확인</x:v>
      </x:c>
      <x:c r="I26" s="34" t="str">
        <x:v>K푸드 SNS 열풍 수혜 보고서·주가 관심 확대; 정확 수치 미확인</x:v>
      </x:c>
      <x:c r="J26" s="34" t="str">
        <x:v>가격미확인</x:v>
      </x:c>
      <x:c r="K26" s="160" t="str">
        <x:v>식품 유행 일반</x:v>
      </x:c>
      <x:c r="L26" s="34" t="str">
        <x:v>혼합-테마 주도 | 추가검증 | 같은 품목≠같은 공급사라는 과잉연결 위험</x:v>
      </x:c>
      <x:c r="M26" s="34" t="str">
        <x:v>S57</x:v>
      </x:c>
      <x:c r="N26" s="78" t="n">
        <x:v>2</x:v>
      </x:c>
      <x:c r="O26" s="78" t="n">
        <x:v>2</x:v>
      </x:c>
      <x:c r="P26" s="78" t="n">
        <x:v>0</x:v>
      </x:c>
      <x:c r="Q26" s="78" t="n">
        <x:v>1</x:v>
      </x:c>
      <x:c r="R26" s="78" t="n">
        <x:f>SUM(N26:P26)</x:f>
        <x:v>4</x:v>
      </x:c>
      <x:c r="S26" s="77" t="str">
        <x:f>IF(AND(N26=2,P26=2,R26&gt;=5),"핵심사례",IF(R26&gt;=3,"보조사례","경계사례"))</x:f>
        <x:v>보조사례</x:v>
      </x:c>
    </x:row>
    <x:row r="27" ht="39" customHeight="1">
      <x:c r="A27" s="67" t="str">
        <x:v>KR-X022</x:v>
      </x:c>
      <x:c r="B27" s="67" t="str">
        <x:v>EV0070</x:v>
      </x:c>
      <x:c r="C27" s="68" t="n">
        <x:v>2023</x:v>
      </x:c>
      <x:c r="D27" s="155" t="str">
        <x:v>식품·음료</x:v>
      </x:c>
      <x:c r="E27" s="67" t="str">
        <x:v>후쿠시마 오염수·천일염 사재기</x:v>
      </x:c>
      <x:c r="F27" s="67" t="str">
        <x:v>신송홀딩스 (006880)</x:v>
      </x:c>
      <x:c r="G27" s="67" t="str">
        <x:v>KOSPI</x:v>
      </x:c>
      <x:c r="H27" s="67" t="str">
        <x:v>급등→급락</x:v>
      </x:c>
      <x:c r="I27" s="59" t="str">
        <x:v>소금 테마 급등 뒤 급락</x:v>
      </x:c>
      <x:c r="J27" s="59" t="str">
        <x:v>간접·테마</x:v>
      </x:c>
      <x:c r="K27" s="159" t="str">
        <x:v>식품 유행 일반</x:v>
      </x:c>
      <x:c r="L27" s="59" t="str">
        <x:v>실제 소금 수혜 규모보다 테마 영향 큼</x:v>
      </x:c>
      <x:c r="M27" s="59" t="str">
        <x:v>S127</x:v>
      </x:c>
      <x:c r="N27" s="76" t="n">
        <x:v>2</x:v>
      </x:c>
      <x:c r="O27" s="76" t="n">
        <x:v>0</x:v>
      </x:c>
      <x:c r="P27" s="76" t="n">
        <x:v>1</x:v>
      </x:c>
      <x:c r="Q27" s="76" t="n">
        <x:v>1</x:v>
      </x:c>
      <x:c r="R27" s="76" t="n">
        <x:f>SUM(N27:P27)</x:f>
        <x:v>3</x:v>
      </x:c>
      <x:c r="S27" s="75" t="str">
        <x:f>IF(AND(N27=2,P27=2,R27&gt;=5),"핵심사례",IF(R27&gt;=3,"보조사례","경계사례"))</x:f>
        <x:v>보조사례</x:v>
      </x:c>
    </x:row>
    <x:row r="28" ht="39" customHeight="1">
      <x:c r="A28" s="69" t="str">
        <x:v>KR-X021</x:v>
      </x:c>
      <x:c r="B28" s="69" t="str">
        <x:v>EV0070</x:v>
      </x:c>
      <x:c r="C28" s="70" t="n">
        <x:v>2023</x:v>
      </x:c>
      <x:c r="D28" s="156" t="str">
        <x:v>식품·음료</x:v>
      </x:c>
      <x:c r="E28" s="69" t="str">
        <x:v>후쿠시마 오염수·천일염 사재기</x:v>
      </x:c>
      <x:c r="F28" s="69" t="str">
        <x:v>인산가 (277410)</x:v>
      </x:c>
      <x:c r="G28" s="69" t="str">
        <x:v>KOSDAQ</x:v>
      </x:c>
      <x:c r="H28" s="69" t="str">
        <x:v>급등→급락</x:v>
      </x:c>
      <x:c r="I28" s="34" t="str">
        <x:v>방류 우려에 급등 뒤 급락</x:v>
      </x:c>
      <x:c r="J28" s="34" t="str">
        <x:v>제품·테마</x:v>
      </x:c>
      <x:c r="K28" s="160" t="str">
        <x:v>식품 유행 일반</x:v>
      </x:c>
      <x:c r="L28" s="34" t="str">
        <x:v>죽염 사업은 연결되나 사재기 지속성은 별도 검증</x:v>
      </x:c>
      <x:c r="M28" s="34" t="str">
        <x:v>S127</x:v>
      </x:c>
      <x:c r="N28" s="78" t="n">
        <x:v>2</x:v>
      </x:c>
      <x:c r="O28" s="78" t="n">
        <x:v>1</x:v>
      </x:c>
      <x:c r="P28" s="78" t="n">
        <x:v>1</x:v>
      </x:c>
      <x:c r="Q28" s="78" t="n">
        <x:v>1</x:v>
      </x:c>
      <x:c r="R28" s="78" t="n">
        <x:f>SUM(N28:P28)</x:f>
        <x:v>4</x:v>
      </x:c>
      <x:c r="S28" s="77" t="str">
        <x:f>IF(AND(N28=2,P28=2,R28&gt;=5),"핵심사례",IF(R28&gt;=3,"보조사례","경계사례"))</x:f>
        <x:v>보조사례</x:v>
      </x:c>
    </x:row>
    <x:row r="29" ht="39" customHeight="1">
      <x:c r="A29" s="67" t="str">
        <x:v>KR-X060</x:v>
      </x:c>
      <x:c r="B29" s="67" t="str">
        <x:v>EV0059</x:v>
      </x:c>
      <x:c r="C29" s="68" t="n">
        <x:v>2023</x:v>
      </x:c>
      <x:c r="D29" s="155" t="str">
        <x:v>콘텐츠·엔터</x:v>
      </x:c>
      <x:c r="E29" s="67" t="str">
        <x:v>더 글로리 글로벌 흥행</x:v>
      </x:c>
      <x:c r="F29" s="67" t="str">
        <x:v>스튜디오드래곤 (253450)</x:v>
      </x:c>
      <x:c r="G29" s="67" t="str">
        <x:v>KOSDAQ</x:v>
      </x:c>
      <x:c r="H29" s="67" t="str">
        <x:v>급등락</x:v>
      </x:c>
      <x:c r="I29" s="59" t="str">
        <x:v>시즌1 공개 직후 급등락</x:v>
      </x:c>
      <x:c r="J29" s="59" t="str">
        <x:v>제작사 지분</x:v>
      </x:c>
      <x:c r="K29" s="159" t="str">
        <x:v>드라마·OTT</x:v>
      </x:c>
      <x:c r="L29" s="59" t="str">
        <x:v>흥행에도 주가 지속 상승은 확인되지 않아 경계</x:v>
      </x:c>
      <x:c r="M29" s="59" t="str">
        <x:v>S154</x:v>
      </x:c>
      <x:c r="N29" s="76" t="n">
        <x:v>2</x:v>
      </x:c>
      <x:c r="O29" s="76" t="n">
        <x:v>2</x:v>
      </x:c>
      <x:c r="P29" s="76" t="n">
        <x:v>1</x:v>
      </x:c>
      <x:c r="Q29" s="76" t="n">
        <x:v>2</x:v>
      </x:c>
      <x:c r="R29" s="76" t="n">
        <x:f>SUM(N29:P29)</x:f>
        <x:v>5</x:v>
      </x:c>
      <x:c r="S29" s="75" t="str">
        <x:f>IF(AND(N29=2,P29=2,R29&gt;=5),"핵심사례",IF(R29&gt;=3,"보조사례","경계사례"))</x:f>
        <x:v>보조사례</x:v>
      </x:c>
    </x:row>
    <x:row r="30" ht="39" customHeight="1">
      <x:c r="A30" s="69" t="str">
        <x:v>KR-X071</x:v>
      </x:c>
      <x:c r="B30" s="69" t="str">
        <x:v>EV0065</x:v>
      </x:c>
      <x:c r="C30" s="70" t="n">
        <x:v>2023</x:v>
      </x:c>
      <x:c r="D30" s="156" t="str">
        <x:v>콘텐츠·엔터</x:v>
      </x:c>
      <x:c r="E30" s="69" t="str">
        <x:v>서울의 봄 천만 흥행</x:v>
      </x:c>
      <x:c r="F30" s="69" t="str">
        <x:v>콘텐트리중앙 (036420)</x:v>
      </x:c>
      <x:c r="G30" s="69" t="str">
        <x:v>KOSDAQ</x:v>
      </x:c>
      <x:c r="H30" s="69" t="str">
        <x:v>상승</x:v>
      </x:c>
      <x:c r="I30" s="34" t="str">
        <x:v>흥행 초기 주가 동반 상승</x:v>
      </x:c>
      <x:c r="J30" s="34" t="str">
        <x:v>배급사 지분</x:v>
      </x:c>
      <x:c r="K30" s="160" t="str">
        <x:v>영화·애니메이션</x:v>
      </x:c>
      <x:c r="L30" s="34" t="str">
        <x:v>플러스엠 지분 연결</x:v>
      </x:c>
      <x:c r="M30" s="34" t="str">
        <x:v>S160</x:v>
      </x:c>
      <x:c r="N30" s="78" t="n">
        <x:v>2</x:v>
      </x:c>
      <x:c r="O30" s="78" t="n">
        <x:v>2</x:v>
      </x:c>
      <x:c r="P30" s="78" t="n">
        <x:v>1</x:v>
      </x:c>
      <x:c r="Q30" s="78" t="n">
        <x:v>1</x:v>
      </x:c>
      <x:c r="R30" s="78" t="n">
        <x:f>SUM(N30:P30)</x:f>
        <x:v>5</x:v>
      </x:c>
      <x:c r="S30" s="77" t="str">
        <x:f>IF(AND(N30=2,P30=2,R30&gt;=5),"핵심사례",IF(R30&gt;=3,"보조사례","경계사례"))</x:f>
        <x:v>보조사례</x:v>
      </x:c>
    </x:row>
    <x:row r="31" ht="39" customHeight="1">
      <x:c r="A31" s="67" t="str">
        <x:v>KR-X036</x:v>
      </x:c>
      <x:c r="B31" s="67" t="str">
        <x:v>EV0063</x:v>
      </x:c>
      <x:c r="C31" s="68" t="n">
        <x:v>2023</x:v>
      </x:c>
      <x:c r="D31" s="155" t="str">
        <x:v>콘텐츠·엔터</x:v>
      </x:c>
      <x:c r="E31" s="67" t="str">
        <x:v>블랙핑크 재계약 불확실성→확정</x:v>
      </x:c>
      <x:c r="F31" s="67" t="str">
        <x:v>와이지엔터테인먼트 (122870)</x:v>
      </x:c>
      <x:c r="G31" s="67" t="str">
        <x:v>KOSDAQ</x:v>
      </x:c>
      <x:c r="H31" s="67" t="str">
        <x:v>하락→상승</x:v>
      </x:c>
      <x:c r="I31" s="59" t="str">
        <x:v>한 달 24.28% 하락 뒤 확정일 장중 22% 상승</x:v>
      </x:c>
      <x:c r="J31" s="59" t="str">
        <x:v>직접 아티스트</x:v>
      </x:c>
      <x:c r="K31" s="159" t="str">
        <x:v>팬덤·공연</x:v>
      </x:c>
      <x:c r="L31" s="59" t="str">
        <x:v>핵심 IP 계약 여부와 직접 연결</x:v>
      </x:c>
      <x:c r="M31" s="59" t="str">
        <x:v>S141;S142</x:v>
      </x:c>
      <x:c r="N31" s="76" t="n">
        <x:v>2</x:v>
      </x:c>
      <x:c r="O31" s="76" t="n">
        <x:v>2</x:v>
      </x:c>
      <x:c r="P31" s="76" t="n">
        <x:v>2</x:v>
      </x:c>
      <x:c r="Q31" s="76" t="n">
        <x:v>1</x:v>
      </x:c>
      <x:c r="R31" s="76" t="n">
        <x:f>SUM(N31:P31)</x:f>
        <x:v>6</x:v>
      </x:c>
      <x:c r="S31" s="75" t="str">
        <x:f>IF(AND(N31=2,P31=2,R31&gt;=5),"핵심사례",IF(R31&gt;=3,"보조사례","경계사례"))</x:f>
        <x:v>핵심사례</x:v>
      </x:c>
    </x:row>
    <x:row r="32" ht="39" customHeight="1">
      <x:c r="A32" s="69" t="str">
        <x:v>KR-SNS011</x:v>
      </x:c>
      <x:c r="B32" s="69" t="str">
        <x:v>EV0066</x:v>
      </x:c>
      <x:c r="C32" s="70" t="n">
        <x:v>2023</x:v>
      </x:c>
      <x:c r="D32" s="156" t="str">
        <x:v>콘텐츠·엔터</x:v>
      </x:c>
      <x:c r="E32" s="69" t="str">
        <x:v>아기상어 제작사 IPO 기대</x:v>
      </x:c>
      <x:c r="F32" s="69" t="str">
        <x:v>삼성출판사 (068290)</x:v>
      </x:c>
      <x:c r="G32" s="69" t="str">
        <x:v>KOSPI</x:v>
      </x:c>
      <x:c r="H32" s="69" t="str">
        <x:v>상승</x:v>
      </x:c>
      <x:c r="I32" s="34" t="str">
        <x:v>상장 추진 보도에 상한가</x:v>
      </x:c>
      <x:c r="J32" s="34" t="str">
        <x:v>강한사례</x:v>
      </x:c>
      <x:c r="K32" s="160" t="str">
        <x:v>팬덤·공연</x:v>
      </x:c>
      <x:c r="L32" s="34" t="str">
        <x:v>혼합-테마 주도 | 완료 | 콘텐츠 인기가 지분·IPO 기대와 결합</x:v>
      </x:c>
      <x:c r="M32" s="34" t="str">
        <x:v>S60</x:v>
      </x:c>
      <x:c r="N32" s="78" t="n">
        <x:v>2</x:v>
      </x:c>
      <x:c r="O32" s="78" t="n">
        <x:v>2</x:v>
      </x:c>
      <x:c r="P32" s="78" t="n">
        <x:v>2</x:v>
      </x:c>
      <x:c r="Q32" s="78" t="n">
        <x:v>1</x:v>
      </x:c>
      <x:c r="R32" s="78" t="n">
        <x:f>SUM(N32:P32)</x:f>
        <x:v>6</x:v>
      </x:c>
      <x:c r="S32" s="77" t="str">
        <x:f>IF(AND(N32=2,P32=2,R32&gt;=5),"핵심사례",IF(R32&gt;=3,"보조사례","경계사례"))</x:f>
        <x:v>핵심사례</x:v>
      </x:c>
    </x:row>
    <x:row r="33" ht="39" customHeight="1">
      <x:c r="A33" s="67" t="str">
        <x:v>DISC-2023-04</x:v>
      </x:c>
      <x:c r="B33" s="67" t="str">
        <x:v>EV0067</x:v>
      </x:c>
      <x:c r="C33" s="68" t="n">
        <x:v>2023</x:v>
      </x:c>
      <x:c r="D33" s="155" t="str">
        <x:v>디지털·플랫폼</x:v>
      </x:c>
      <x:c r="E33" s="67" t="str">
        <x:v>챗GPT 돌풍</x:v>
      </x:c>
      <x:c r="F33" s="67" t="str">
        <x:v>데이타솔루션 (263800)</x:v>
      </x:c>
      <x:c r="G33" s="67" t="str">
        <x:v>KOSDAQ</x:v>
      </x:c>
      <x:c r="H33" s="67" t="str">
        <x:v>상승</x:v>
      </x:c>
      <x:c r="I33" s="59" t="str">
        <x:v>당일 14.32% 상승</x:v>
      </x:c>
      <x:c r="J33" s="59" t="str">
        <x:v>강한사례</x:v>
      </x:c>
      <x:c r="K33" s="159" t="str">
        <x:v>모바일·플랫폼</x:v>
      </x:c>
      <x:c r="L33" s="59" t="str">
        <x:v>AI 키워드 확장 연결</x:v>
      </x:c>
      <x:c r="M33" s="59" t="str">
        <x:v>S115</x:v>
      </x:c>
      <x:c r="N33" s="76" t="n">
        <x:v>2</x:v>
      </x:c>
      <x:c r="O33" s="76" t="n">
        <x:v>1</x:v>
      </x:c>
      <x:c r="P33" s="76" t="n">
        <x:v>2</x:v>
      </x:c>
      <x:c r="Q33" s="76" t="n">
        <x:v>1</x:v>
      </x:c>
      <x:c r="R33" s="76" t="n">
        <x:f>SUM(N33:P33)</x:f>
        <x:v>5</x:v>
      </x:c>
      <x:c r="S33" s="75" t="str">
        <x:f>IF(AND(N33=2,P33=2,R33&gt;=5),"핵심사례",IF(R33&gt;=3,"보조사례","경계사례"))</x:f>
        <x:v>핵심사례</x:v>
      </x:c>
    </x:row>
    <x:row r="34" ht="39" customHeight="1">
      <x:c r="A34" s="69" t="str">
        <x:v>DISC-2023-02</x:v>
      </x:c>
      <x:c r="B34" s="69" t="str">
        <x:v>EV0067</x:v>
      </x:c>
      <x:c r="C34" s="70" t="n">
        <x:v>2023</x:v>
      </x:c>
      <x:c r="D34" s="156" t="str">
        <x:v>디지털·플랫폼</x:v>
      </x:c>
      <x:c r="E34" s="69" t="str">
        <x:v>챗GPT 돌풍</x:v>
      </x:c>
      <x:c r="F34" s="69" t="str">
        <x:v>마음AI(당시 마인즈랩) (377480)</x:v>
      </x:c>
      <x:c r="G34" s="69" t="str">
        <x:v>KOSDAQ</x:v>
      </x:c>
      <x:c r="H34" s="69" t="str">
        <x:v>상승</x:v>
      </x:c>
      <x:c r="I34" s="34" t="str">
        <x:v>당일 21.45% 상승</x:v>
      </x:c>
      <x:c r="J34" s="34" t="str">
        <x:v>강한사례</x:v>
      </x:c>
      <x:c r="K34" s="160" t="str">
        <x:v>모바일·플랫폼</x:v>
      </x:c>
      <x:c r="L34" s="34" t="str">
        <x:v>AI 사업 직접성</x:v>
      </x:c>
      <x:c r="M34" s="34" t="str">
        <x:v>S115</x:v>
      </x:c>
      <x:c r="N34" s="78" t="n">
        <x:v>2</x:v>
      </x:c>
      <x:c r="O34" s="78" t="n">
        <x:v>2</x:v>
      </x:c>
      <x:c r="P34" s="78" t="n">
        <x:v>2</x:v>
      </x:c>
      <x:c r="Q34" s="78" t="n">
        <x:v>1</x:v>
      </x:c>
      <x:c r="R34" s="78" t="n">
        <x:f>SUM(N34:P34)</x:f>
        <x:v>6</x:v>
      </x:c>
      <x:c r="S34" s="77" t="str">
        <x:f>IF(AND(N34=2,P34=2,R34&gt;=5),"핵심사례",IF(R34&gt;=3,"보조사례","경계사례"))</x:f>
        <x:v>핵심사례</x:v>
      </x:c>
    </x:row>
    <x:row r="35" ht="39" customHeight="1">
      <x:c r="A35" s="67" t="str">
        <x:v>DISC-2023-05</x:v>
      </x:c>
      <x:c r="B35" s="67" t="str">
        <x:v>EV0067</x:v>
      </x:c>
      <x:c r="C35" s="68" t="n">
        <x:v>2023</x:v>
      </x:c>
      <x:c r="D35" s="155" t="str">
        <x:v>디지털·플랫폼</x:v>
      </x:c>
      <x:c r="E35" s="67" t="str">
        <x:v>챗GPT 돌풍</x:v>
      </x:c>
      <x:c r="F35" s="67" t="str">
        <x:v>솔트룩스 (304100)</x:v>
      </x:c>
      <x:c r="G35" s="67" t="str">
        <x:v>KOSDAQ</x:v>
      </x:c>
      <x:c r="H35" s="67" t="str">
        <x:v>상승</x:v>
      </x:c>
      <x:c r="I35" s="59" t="str">
        <x:v>당일 12.06% 상승</x:v>
      </x:c>
      <x:c r="J35" s="59" t="str">
        <x:v>강한사례</x:v>
      </x:c>
      <x:c r="K35" s="159" t="str">
        <x:v>모바일·플랫폼</x:v>
      </x:c>
      <x:c r="L35" s="59" t="str">
        <x:v>AI 사업 직접성</x:v>
      </x:c>
      <x:c r="M35" s="59" t="str">
        <x:v>S115</x:v>
      </x:c>
      <x:c r="N35" s="76" t="n">
        <x:v>2</x:v>
      </x:c>
      <x:c r="O35" s="76" t="n">
        <x:v>2</x:v>
      </x:c>
      <x:c r="P35" s="76" t="n">
        <x:v>2</x:v>
      </x:c>
      <x:c r="Q35" s="76" t="n">
        <x:v>1</x:v>
      </x:c>
      <x:c r="R35" s="76" t="n">
        <x:f>SUM(N35:P35)</x:f>
        <x:v>6</x:v>
      </x:c>
      <x:c r="S35" s="75" t="str">
        <x:f>IF(AND(N35=2,P35=2,R35&gt;=5),"핵심사례",IF(R35&gt;=3,"보조사례","경계사례"))</x:f>
        <x:v>핵심사례</x:v>
      </x:c>
    </x:row>
    <x:row r="36" ht="39" customHeight="1">
      <x:c r="A36" s="69" t="str">
        <x:v>DISC-2023-06</x:v>
      </x:c>
      <x:c r="B36" s="69" t="str">
        <x:v>EV0067</x:v>
      </x:c>
      <x:c r="C36" s="70" t="n">
        <x:v>2023</x:v>
      </x:c>
      <x:c r="D36" s="156" t="str">
        <x:v>디지털·플랫폼</x:v>
      </x:c>
      <x:c r="E36" s="69" t="str">
        <x:v>챗GPT 돌풍</x:v>
      </x:c>
      <x:c r="F36" s="69" t="str">
        <x:v>인포뱅크 (039290)</x:v>
      </x:c>
      <x:c r="G36" s="69" t="str">
        <x:v>KOSDAQ</x:v>
      </x:c>
      <x:c r="H36" s="69" t="str">
        <x:v>상승</x:v>
      </x:c>
      <x:c r="I36" s="34" t="str">
        <x:v>당일 11.44% 상승</x:v>
      </x:c>
      <x:c r="J36" s="34" t="str">
        <x:v>강한사례</x:v>
      </x:c>
      <x:c r="K36" s="160" t="str">
        <x:v>모바일·플랫폼</x:v>
      </x:c>
      <x:c r="L36" s="34" t="str">
        <x:v>챗봇 관련주 확장</x:v>
      </x:c>
      <x:c r="M36" s="34" t="str">
        <x:v>S115</x:v>
      </x:c>
      <x:c r="N36" s="78" t="n">
        <x:v>2</x:v>
      </x:c>
      <x:c r="O36" s="78" t="n">
        <x:v>1</x:v>
      </x:c>
      <x:c r="P36" s="78" t="n">
        <x:v>2</x:v>
      </x:c>
      <x:c r="Q36" s="78" t="n">
        <x:v>1</x:v>
      </x:c>
      <x:c r="R36" s="78" t="n">
        <x:f>SUM(N36:P36)</x:f>
        <x:v>5</x:v>
      </x:c>
      <x:c r="S36" s="77" t="str">
        <x:f>IF(AND(N36=2,P36=2,R36&gt;=5),"핵심사례",IF(R36&gt;=3,"보조사례","경계사례"))</x:f>
        <x:v>핵심사례</x:v>
      </x:c>
    </x:row>
    <x:row r="37" ht="39" customHeight="1">
      <x:c r="A37" s="67" t="str">
        <x:v>DISC-2023-01</x:v>
      </x:c>
      <x:c r="B37" s="67" t="str">
        <x:v>EV0067</x:v>
      </x:c>
      <x:c r="C37" s="68" t="n">
        <x:v>2023</x:v>
      </x:c>
      <x:c r="D37" s="155" t="str">
        <x:v>디지털·플랫폼</x:v>
      </x:c>
      <x:c r="E37" s="67" t="str">
        <x:v>챗GPT 돌풍</x:v>
      </x:c>
      <x:c r="F37" s="67" t="str">
        <x:v>코난테크놀로지 (402030)</x:v>
      </x:c>
      <x:c r="G37" s="67" t="str">
        <x:v>KOSDAQ</x:v>
      </x:c>
      <x:c r="H37" s="67" t="str">
        <x:v>상승</x:v>
      </x:c>
      <x:c r="I37" s="59" t="str">
        <x:v>당일 상한가 29.93%</x:v>
      </x:c>
      <x:c r="J37" s="59" t="str">
        <x:v>강한사례</x:v>
      </x:c>
      <x:c r="K37" s="159" t="str">
        <x:v>모바일·플랫폼</x:v>
      </x:c>
      <x:c r="L37" s="59" t="str">
        <x:v>AI 사업 직접성</x:v>
      </x:c>
      <x:c r="M37" s="59" t="str">
        <x:v>S115</x:v>
      </x:c>
      <x:c r="N37" s="76" t="n">
        <x:v>2</x:v>
      </x:c>
      <x:c r="O37" s="76" t="n">
        <x:v>2</x:v>
      </x:c>
      <x:c r="P37" s="76" t="n">
        <x:v>2</x:v>
      </x:c>
      <x:c r="Q37" s="76" t="n">
        <x:v>1</x:v>
      </x:c>
      <x:c r="R37" s="76" t="n">
        <x:f>SUM(N37:P37)</x:f>
        <x:v>6</x:v>
      </x:c>
      <x:c r="S37" s="75" t="str">
        <x:f>IF(AND(N37=2,P37=2,R37&gt;=5),"핵심사례",IF(R37&gt;=3,"보조사례","경계사례"))</x:f>
        <x:v>핵심사례</x:v>
      </x:c>
    </x:row>
    <x:row r="38" ht="39" customHeight="1">
      <x:c r="A38" s="69" t="str">
        <x:v>DISC-2023-03</x:v>
      </x:c>
      <x:c r="B38" s="69" t="str">
        <x:v>EV0067</x:v>
      </x:c>
      <x:c r="C38" s="70" t="n">
        <x:v>2023</x:v>
      </x:c>
      <x:c r="D38" s="156" t="str">
        <x:v>디지털·플랫폼</x:v>
      </x:c>
      <x:c r="E38" s="69" t="str">
        <x:v>챗GPT 돌풍</x:v>
      </x:c>
      <x:c r="F38" s="69" t="str">
        <x:v>플리토 (300080)</x:v>
      </x:c>
      <x:c r="G38" s="69" t="str">
        <x:v>KOSDAQ</x:v>
      </x:c>
      <x:c r="H38" s="69" t="str">
        <x:v>상승</x:v>
      </x:c>
      <x:c r="I38" s="34" t="str">
        <x:v>당일 19.48% 상승</x:v>
      </x:c>
      <x:c r="J38" s="34" t="str">
        <x:v>강한사례</x:v>
      </x:c>
      <x:c r="K38" s="160" t="str">
        <x:v>모바일·플랫폼</x:v>
      </x:c>
      <x:c r="L38" s="34" t="str">
        <x:v>언어 데이터 연결</x:v>
      </x:c>
      <x:c r="M38" s="34" t="str">
        <x:v>S115</x:v>
      </x:c>
      <x:c r="N38" s="78" t="n">
        <x:v>2</x:v>
      </x:c>
      <x:c r="O38" s="78" t="n">
        <x:v>2</x:v>
      </x:c>
      <x:c r="P38" s="78" t="n">
        <x:v>2</x:v>
      </x:c>
      <x:c r="Q38" s="78" t="n">
        <x:v>1</x:v>
      </x:c>
      <x:c r="R38" s="78" t="n">
        <x:f>SUM(N38:P38)</x:f>
        <x:v>6</x:v>
      </x:c>
      <x:c r="S38" s="77" t="str">
        <x:f>IF(AND(N38=2,P38=2,R38&gt;=5),"핵심사례",IF(R38&gt;=3,"보조사례","경계사례"))</x:f>
        <x:v>핵심사례</x:v>
      </x:c>
    </x:row>
    <x:row r="39" ht="39" customHeight="1">
      <x:c r="A39" s="67" t="str">
        <x:v>KR-X006</x:v>
      </x:c>
      <x:c r="B39" s="67" t="str">
        <x:v>EV0071</x:v>
      </x:c>
      <x:c r="C39" s="68" t="n">
        <x:v>2023</x:v>
      </x:c>
      <x:c r="D39" s="155" t="str">
        <x:v>디지털·플랫폼</x:v>
      </x:c>
      <x:c r="E39" s="67" t="str">
        <x:v>LK-99 상온 초전도체 주장</x:v>
      </x:c>
      <x:c r="F39" s="67" t="str">
        <x:v>국일신동 (060480)</x:v>
      </x:c>
      <x:c r="G39" s="67" t="str">
        <x:v>KOSDAQ</x:v>
      </x:c>
      <x:c r="H39" s="67" t="str">
        <x:v>급등→급락</x:v>
      </x:c>
      <x:c r="I39" s="59" t="str">
        <x:v>반박 국면 19.11% 급락</x:v>
      </x:c>
      <x:c r="J39" s="59" t="str">
        <x:v>간접·테마</x:v>
      </x:c>
      <x:c r="K39" s="159" t="str">
        <x:v>SNS·커뮤니티</x:v>
      </x:c>
      <x:c r="L39" s="59" t="str">
        <x:v>직접 사업 수혜보다 온라인 테마 분류 영향이 큼</x:v>
      </x:c>
      <x:c r="M39" s="59" t="str">
        <x:v>S120</x:v>
      </x:c>
      <x:c r="N39" s="76" t="n">
        <x:v>2</x:v>
      </x:c>
      <x:c r="O39" s="76" t="n">
        <x:v>0</x:v>
      </x:c>
      <x:c r="P39" s="76" t="n">
        <x:v>2</x:v>
      </x:c>
      <x:c r="Q39" s="76" t="n">
        <x:v>0</x:v>
      </x:c>
      <x:c r="R39" s="76" t="n">
        <x:f>SUM(N39:P39)</x:f>
        <x:v>4</x:v>
      </x:c>
      <x:c r="S39" s="75" t="str">
        <x:f>IF(AND(N39=2,P39=2,R39&gt;=5),"핵심사례",IF(R39&gt;=3,"보조사례","경계사례"))</x:f>
        <x:v>보조사례</x:v>
      </x:c>
    </x:row>
    <x:row r="40" ht="39" customHeight="1">
      <x:c r="A40" s="69" t="str">
        <x:v>KR-X007</x:v>
      </x:c>
      <x:c r="B40" s="69" t="str">
        <x:v>EV0071</x:v>
      </x:c>
      <x:c r="C40" s="70" t="n">
        <x:v>2023</x:v>
      </x:c>
      <x:c r="D40" s="156" t="str">
        <x:v>디지털·플랫폼</x:v>
      </x:c>
      <x:c r="E40" s="69" t="str">
        <x:v>LK-99 상온 초전도체 주장</x:v>
      </x:c>
      <x:c r="F40" s="69" t="str">
        <x:v>대창 (012800)</x:v>
      </x:c>
      <x:c r="G40" s="69" t="str">
        <x:v>KOSPI</x:v>
      </x:c>
      <x:c r="H40" s="69" t="str">
        <x:v>급등→급락</x:v>
      </x:c>
      <x:c r="I40" s="34" t="str">
        <x:v>반박 국면 18.05% 급락</x:v>
      </x:c>
      <x:c r="J40" s="34" t="str">
        <x:v>간접·테마</x:v>
      </x:c>
      <x:c r="K40" s="160" t="str">
        <x:v>SNS·커뮤니티</x:v>
      </x:c>
      <x:c r="L40" s="34" t="str">
        <x:v>직접 사업 수혜보다 온라인 테마 분류 영향이 큼</x:v>
      </x:c>
      <x:c r="M40" s="34" t="str">
        <x:v>S120</x:v>
      </x:c>
      <x:c r="N40" s="78" t="n">
        <x:v>2</x:v>
      </x:c>
      <x:c r="O40" s="78" t="n">
        <x:v>0</x:v>
      </x:c>
      <x:c r="P40" s="78" t="n">
        <x:v>2</x:v>
      </x:c>
      <x:c r="Q40" s="78" t="n">
        <x:v>0</x:v>
      </x:c>
      <x:c r="R40" s="78" t="n">
        <x:f>SUM(N40:P40)</x:f>
        <x:v>4</x:v>
      </x:c>
      <x:c r="S40" s="77" t="str">
        <x:f>IF(AND(N40=2,P40=2,R40&gt;=5),"핵심사례",IF(R40&gt;=3,"보조사례","경계사례"))</x:f>
        <x:v>보조사례</x:v>
      </x:c>
    </x:row>
    <x:row r="41" ht="39" customHeight="1">
      <x:c r="A41" s="67" t="str">
        <x:v>KR-X004</x:v>
      </x:c>
      <x:c r="B41" s="67" t="str">
        <x:v>EV0071</x:v>
      </x:c>
      <x:c r="C41" s="68" t="n">
        <x:v>2023</x:v>
      </x:c>
      <x:c r="D41" s="155" t="str">
        <x:v>디지털·플랫폼</x:v>
      </x:c>
      <x:c r="E41" s="67" t="str">
        <x:v>LK-99 상온 초전도체 주장</x:v>
      </x:c>
      <x:c r="F41" s="67" t="str">
        <x:v>덕성 (004830)</x:v>
      </x:c>
      <x:c r="G41" s="67" t="str">
        <x:v>KOSPI</x:v>
      </x:c>
      <x:c r="H41" s="67" t="str">
        <x:v>급등→급락</x:v>
      </x:c>
      <x:c r="I41" s="59" t="str">
        <x:v>이틀 연속 상한가 뒤 29.41% 급락</x:v>
      </x:c>
      <x:c r="J41" s="59" t="str">
        <x:v>간접·테마</x:v>
      </x:c>
      <x:c r="K41" s="159" t="str">
        <x:v>SNS·커뮤니티</x:v>
      </x:c>
      <x:c r="L41" s="59" t="str">
        <x:v>직접 사업 수혜보다 온라인 테마 분류 영향이 큼</x:v>
      </x:c>
      <x:c r="M41" s="59" t="str">
        <x:v>S119;S120</x:v>
      </x:c>
      <x:c r="N41" s="76" t="n">
        <x:v>2</x:v>
      </x:c>
      <x:c r="O41" s="76" t="n">
        <x:v>0</x:v>
      </x:c>
      <x:c r="P41" s="76" t="n">
        <x:v>2</x:v>
      </x:c>
      <x:c r="Q41" s="76" t="n">
        <x:v>0</x:v>
      </x:c>
      <x:c r="R41" s="76" t="n">
        <x:f>SUM(N41:P41)</x:f>
        <x:v>4</x:v>
      </x:c>
      <x:c r="S41" s="75" t="str">
        <x:f>IF(AND(N41=2,P41=2,R41&gt;=5),"핵심사례",IF(R41&gt;=3,"보조사례","경계사례"))</x:f>
        <x:v>보조사례</x:v>
      </x:c>
    </x:row>
    <x:row r="42" ht="39" customHeight="1">
      <x:c r="A42" s="69" t="str">
        <x:v>KR-X005</x:v>
      </x:c>
      <x:c r="B42" s="69" t="str">
        <x:v>EV0071</x:v>
      </x:c>
      <x:c r="C42" s="70" t="n">
        <x:v>2023</x:v>
      </x:c>
      <x:c r="D42" s="156" t="str">
        <x:v>디지털·플랫폼</x:v>
      </x:c>
      <x:c r="E42" s="69" t="str">
        <x:v>LK-99 상온 초전도체 주장</x:v>
      </x:c>
      <x:c r="F42" s="69" t="str">
        <x:v>모비스 (250060)</x:v>
      </x:c>
      <x:c r="G42" s="69" t="str">
        <x:v>KOSDAQ</x:v>
      </x:c>
      <x:c r="H42" s="69" t="str">
        <x:v>급등→급락</x:v>
      </x:c>
      <x:c r="I42" s="34" t="str">
        <x:v>반박 국면 25.63% 급락</x:v>
      </x:c>
      <x:c r="J42" s="34" t="str">
        <x:v>간접·테마</x:v>
      </x:c>
      <x:c r="K42" s="160" t="str">
        <x:v>SNS·커뮤니티</x:v>
      </x:c>
      <x:c r="L42" s="34" t="str">
        <x:v>직접 사업 수혜보다 온라인 테마 분류 영향이 큼</x:v>
      </x:c>
      <x:c r="M42" s="34" t="str">
        <x:v>S120</x:v>
      </x:c>
      <x:c r="N42" s="78" t="n">
        <x:v>2</x:v>
      </x:c>
      <x:c r="O42" s="78" t="n">
        <x:v>0</x:v>
      </x:c>
      <x:c r="P42" s="78" t="n">
        <x:v>2</x:v>
      </x:c>
      <x:c r="Q42" s="78" t="n">
        <x:v>0</x:v>
      </x:c>
      <x:c r="R42" s="78" t="n">
        <x:f>SUM(N42:P42)</x:f>
        <x:v>4</x:v>
      </x:c>
      <x:c r="S42" s="77" t="str">
        <x:f>IF(AND(N42=2,P42=2,R42&gt;=5),"핵심사례",IF(R42&gt;=3,"보조사례","경계사례"))</x:f>
        <x:v>보조사례</x:v>
      </x:c>
    </x:row>
    <x:row r="43" ht="39" customHeight="1">
      <x:c r="A43" s="67" t="str">
        <x:v>KR-X003</x:v>
      </x:c>
      <x:c r="B43" s="67" t="str">
        <x:v>EV0071</x:v>
      </x:c>
      <x:c r="C43" s="68" t="n">
        <x:v>2023</x:v>
      </x:c>
      <x:c r="D43" s="155" t="str">
        <x:v>디지털·플랫폼</x:v>
      </x:c>
      <x:c r="E43" s="67" t="str">
        <x:v>LK-99 상온 초전도체 주장</x:v>
      </x:c>
      <x:c r="F43" s="67" t="str">
        <x:v>서남 (294630)</x:v>
      </x:c>
      <x:c r="G43" s="67" t="str">
        <x:v>KOSDAQ</x:v>
      </x:c>
      <x:c r="H43" s="67" t="str">
        <x:v>급등→급락</x:v>
      </x:c>
      <x:c r="I43" s="59" t="str">
        <x:v>이틀 연속 상한가 뒤 29.98% 급락</x:v>
      </x:c>
      <x:c r="J43" s="59" t="str">
        <x:v>간접·테마</x:v>
      </x:c>
      <x:c r="K43" s="159" t="str">
        <x:v>SNS·커뮤니티</x:v>
      </x:c>
      <x:c r="L43" s="59" t="str">
        <x:v>직접 사업 수혜보다 온라인 테마 분류 영향이 큼</x:v>
      </x:c>
      <x:c r="M43" s="59" t="str">
        <x:v>S119;S120</x:v>
      </x:c>
      <x:c r="N43" s="76" t="n">
        <x:v>2</x:v>
      </x:c>
      <x:c r="O43" s="76" t="n">
        <x:v>0</x:v>
      </x:c>
      <x:c r="P43" s="76" t="n">
        <x:v>2</x:v>
      </x:c>
      <x:c r="Q43" s="76" t="n">
        <x:v>0</x:v>
      </x:c>
      <x:c r="R43" s="76" t="n">
        <x:f>SUM(N43:P43)</x:f>
        <x:v>4</x:v>
      </x:c>
      <x:c r="S43" s="75" t="str">
        <x:f>IF(AND(N43=2,P43=2,R43&gt;=5),"핵심사례",IF(R43&gt;=3,"보조사례","경계사례"))</x:f>
        <x:v>보조사례</x:v>
      </x:c>
    </x:row>
    <x:row r="44" ht="39" customHeight="1">
      <x:c r="A44" s="69" t="str">
        <x:v>KR-X001</x:v>
      </x:c>
      <x:c r="B44" s="69" t="str">
        <x:v>EV0071</x:v>
      </x:c>
      <x:c r="C44" s="70" t="n">
        <x:v>2023</x:v>
      </x:c>
      <x:c r="D44" s="156" t="str">
        <x:v>디지털·플랫폼</x:v>
      </x:c>
      <x:c r="E44" s="69" t="str">
        <x:v>LK-99 상온 초전도체 주장</x:v>
      </x:c>
      <x:c r="F44" s="69" t="str">
        <x:v>신성델타테크 (065350)</x:v>
      </x:c>
      <x:c r="G44" s="69" t="str">
        <x:v>KOSDAQ</x:v>
      </x:c>
      <x:c r="H44" s="69" t="str">
        <x:v>급등→급락</x:v>
      </x:c>
      <x:c r="I44" s="34" t="str">
        <x:v>이틀 연속 상한가 뒤 반박 국면 급락</x:v>
      </x:c>
      <x:c r="J44" s="34" t="str">
        <x:v>간접·테마</x:v>
      </x:c>
      <x:c r="K44" s="160" t="str">
        <x:v>SNS·커뮤니티</x:v>
      </x:c>
      <x:c r="L44" s="34" t="str">
        <x:v>직접 사업 수혜보다 온라인 테마 분류 영향이 큼</x:v>
      </x:c>
      <x:c r="M44" s="34" t="str">
        <x:v>S119;S120</x:v>
      </x:c>
      <x:c r="N44" s="78" t="n">
        <x:v>2</x:v>
      </x:c>
      <x:c r="O44" s="78" t="n">
        <x:v>0</x:v>
      </x:c>
      <x:c r="P44" s="78" t="n">
        <x:v>2</x:v>
      </x:c>
      <x:c r="Q44" s="78" t="n">
        <x:v>0</x:v>
      </x:c>
      <x:c r="R44" s="78" t="n">
        <x:f>SUM(N44:P44)</x:f>
        <x:v>4</x:v>
      </x:c>
      <x:c r="S44" s="77" t="str">
        <x:f>IF(AND(N44=2,P44=2,R44&gt;=5),"핵심사례",IF(R44&gt;=3,"보조사례","경계사례"))</x:f>
        <x:v>보조사례</x:v>
      </x:c>
    </x:row>
    <x:row r="45" ht="39" customHeight="1">
      <x:c r="A45" s="67" t="str">
        <x:v>KR-X008</x:v>
      </x:c>
      <x:c r="B45" s="67" t="str">
        <x:v>EV0071</x:v>
      </x:c>
      <x:c r="C45" s="68" t="n">
        <x:v>2023</x:v>
      </x:c>
      <x:c r="D45" s="155" t="str">
        <x:v>디지털·플랫폼</x:v>
      </x:c>
      <x:c r="E45" s="67" t="str">
        <x:v>LK-99 상온 초전도체 주장</x:v>
      </x:c>
      <x:c r="F45" s="67" t="str">
        <x:v>원익피앤이 (217820)</x:v>
      </x:c>
      <x:c r="G45" s="67" t="str">
        <x:v>KOSDAQ</x:v>
      </x:c>
      <x:c r="H45" s="67" t="str">
        <x:v>급등→급락</x:v>
      </x:c>
      <x:c r="I45" s="59" t="str">
        <x:v>반박 국면 14.15% 급락</x:v>
      </x:c>
      <x:c r="J45" s="59" t="str">
        <x:v>간접·테마</x:v>
      </x:c>
      <x:c r="K45" s="159" t="str">
        <x:v>SNS·커뮤니티</x:v>
      </x:c>
      <x:c r="L45" s="59" t="str">
        <x:v>직접 사업 수혜보다 온라인 테마 분류 영향이 큼</x:v>
      </x:c>
      <x:c r="M45" s="59" t="str">
        <x:v>S120</x:v>
      </x:c>
      <x:c r="N45" s="76" t="n">
        <x:v>2</x:v>
      </x:c>
      <x:c r="O45" s="76" t="n">
        <x:v>0</x:v>
      </x:c>
      <x:c r="P45" s="76" t="n">
        <x:v>2</x:v>
      </x:c>
      <x:c r="Q45" s="76" t="n">
        <x:v>0</x:v>
      </x:c>
      <x:c r="R45" s="76" t="n">
        <x:f>SUM(N45:P45)</x:f>
        <x:v>4</x:v>
      </x:c>
      <x:c r="S45" s="75" t="str">
        <x:f>IF(AND(N45=2,P45=2,R45&gt;=5),"핵심사례",IF(R45&gt;=3,"보조사례","경계사례"))</x:f>
        <x:v>보조사례</x:v>
      </x:c>
    </x:row>
    <x:row r="46" ht="39" customHeight="1">
      <x:c r="A46" s="69" t="str">
        <x:v>KR-X002</x:v>
      </x:c>
      <x:c r="B46" s="69" t="str">
        <x:v>EV0071</x:v>
      </x:c>
      <x:c r="C46" s="70" t="n">
        <x:v>2023</x:v>
      </x:c>
      <x:c r="D46" s="156" t="str">
        <x:v>디지털·플랫폼</x:v>
      </x:c>
      <x:c r="E46" s="69" t="str">
        <x:v>LK-99 상온 초전도체 주장</x:v>
      </x:c>
      <x:c r="F46" s="69" t="str">
        <x:v>파워로직스 (047310)</x:v>
      </x:c>
      <x:c r="G46" s="69" t="str">
        <x:v>KOSDAQ</x:v>
      </x:c>
      <x:c r="H46" s="69" t="str">
        <x:v>급등→급락</x:v>
      </x:c>
      <x:c r="I46" s="34" t="str">
        <x:v>이틀 연속 상한가 뒤 16.49% 급락</x:v>
      </x:c>
      <x:c r="J46" s="34" t="str">
        <x:v>간접·테마</x:v>
      </x:c>
      <x:c r="K46" s="160" t="str">
        <x:v>SNS·커뮤니티</x:v>
      </x:c>
      <x:c r="L46" s="34" t="str">
        <x:v>직접 사업 수혜보다 온라인 테마 분류 영향이 큼</x:v>
      </x:c>
      <x:c r="M46" s="34" t="str">
        <x:v>S119;S120</x:v>
      </x:c>
      <x:c r="N46" s="78" t="n">
        <x:v>2</x:v>
      </x:c>
      <x:c r="O46" s="78" t="n">
        <x:v>0</x:v>
      </x:c>
      <x:c r="P46" s="78" t="n">
        <x:v>2</x:v>
      </x:c>
      <x:c r="Q46" s="78" t="n">
        <x:v>0</x:v>
      </x:c>
      <x:c r="R46" s="78" t="n">
        <x:f>SUM(N46:P46)</x:f>
        <x:v>4</x:v>
      </x:c>
      <x:c r="S46" s="77" t="str">
        <x:f>IF(AND(N46=2,P46=2,R46&gt;=5),"핵심사례",IF(R46&gt;=3,"보조사례","경계사례"))</x:f>
        <x:v>보조사례</x:v>
      </x:c>
    </x:row>
    <x:row r="47" ht="39" customHeight="1">
      <x:c r="A47" s="67" t="str">
        <x:v>KR-SNS007</x:v>
      </x:c>
      <x:c r="B47" s="67" t="str">
        <x:v>EV0060</x:v>
      </x:c>
      <x:c r="C47" s="68" t="n">
        <x:v>2023</x:v>
      </x:c>
      <x:c r="D47" s="155" t="str">
        <x:v>패션·뷰티</x:v>
      </x:c>
      <x:c r="E47" s="67" t="str">
        <x:v>리들샷</x:v>
      </x:c>
      <x:c r="F47" s="67" t="str">
        <x:v>브이티 (018290)</x:v>
      </x:c>
      <x:c r="G47" s="67" t="str">
        <x:v>KOSDAQ</x:v>
      </x:c>
      <x:c r="H47" s="67" t="str">
        <x:v>상승</x:v>
      </x:c>
      <x:c r="I47" s="59" t="str">
        <x:v>2023년 당시 연초 대비 3배 이상 상승</x:v>
      </x:c>
      <x:c r="J47" s="59" t="str">
        <x:v>강한사례</x:v>
      </x:c>
      <x:c r="K47" s="159" t="str">
        <x:v>뷰티·화장품</x:v>
      </x:c>
      <x:c r="L47" s="59" t="str">
        <x:v>바이럴-사업직결 | 완료 | 뷰티 분야의 두쫀쿠형 직접 수혜 사례</x:v>
      </x:c>
      <x:c r="M47" s="59" t="str">
        <x:v>S56</x:v>
      </x:c>
      <x:c r="N47" s="76" t="n">
        <x:v>2</x:v>
      </x:c>
      <x:c r="O47" s="76" t="n">
        <x:v>2</x:v>
      </x:c>
      <x:c r="P47" s="76" t="n">
        <x:v>2</x:v>
      </x:c>
      <x:c r="Q47" s="76" t="n">
        <x:v>1</x:v>
      </x:c>
      <x:c r="R47" s="76" t="n">
        <x:f>SUM(N47:P47)</x:f>
        <x:v>6</x:v>
      </x:c>
      <x:c r="S47" s="75" t="str">
        <x:f>IF(AND(N47=2,P47=2,R47&gt;=5),"핵심사례",IF(R47&gt;=3,"보조사례","경계사례"))</x:f>
        <x:v>핵심사례</x:v>
      </x:c>
    </x:row>
    <x:row r="48" ht="39" customHeight="1">
      <x:c r="A48" s="69" t="str">
        <x:v>KR-X012</x:v>
      </x:c>
      <x:c r="B48" s="69" t="str">
        <x:v>EV0064</x:v>
      </x:c>
      <x:c r="C48" s="70" t="n">
        <x:v>2023</x:v>
      </x:c>
      <x:c r="D48" s="156" t="str">
        <x:v>스포츠·건강</x:v>
      </x:c>
      <x:c r="E48" s="69" t="str">
        <x:v>빈대 공포 확산</x:v>
      </x:c>
      <x:c r="F48" s="69" t="str">
        <x:v>경남제약 (053950)</x:v>
      </x:c>
      <x:c r="G48" s="69" t="str">
        <x:v>KOSDAQ</x:v>
      </x:c>
      <x:c r="H48" s="69" t="str">
        <x:v>상승</x:v>
      </x:c>
      <x:c r="I48" s="34" t="str">
        <x:v>한 주 39.2% 상승</x:v>
      </x:c>
      <x:c r="J48" s="34" t="str">
        <x:v>제품·판매</x:v>
      </x:c>
      <x:c r="K48" s="160" t="str">
        <x:v>건강·방역</x:v>
      </x:c>
      <x:c r="L48" s="34" t="str">
        <x:v>모기·진드기 기피제 판매 증가</x:v>
      </x:c>
      <x:c r="M48" s="34" t="str">
        <x:v>S124</x:v>
      </x:c>
      <x:c r="N48" s="78" t="n">
        <x:v>2</x:v>
      </x:c>
      <x:c r="O48" s="78" t="n">
        <x:v>2</x:v>
      </x:c>
      <x:c r="P48" s="78" t="n">
        <x:v>2</x:v>
      </x:c>
      <x:c r="Q48" s="78" t="n">
        <x:v>0</x:v>
      </x:c>
      <x:c r="R48" s="78" t="n">
        <x:f>SUM(N48:P48)</x:f>
        <x:v>6</x:v>
      </x:c>
      <x:c r="S48" s="77" t="str">
        <x:f>IF(AND(N48=2,P48=2,R48&gt;=5),"핵심사례",IF(R48&gt;=3,"보조사례","경계사례"))</x:f>
        <x:v>핵심사례</x:v>
      </x:c>
    </x:row>
    <x:row r="49" ht="39" customHeight="1">
      <x:c r="A49" s="67" t="str">
        <x:v>KR-X013</x:v>
      </x:c>
      <x:c r="B49" s="67" t="str">
        <x:v>EV0064</x:v>
      </x:c>
      <x:c r="C49" s="68" t="n">
        <x:v>2023</x:v>
      </x:c>
      <x:c r="D49" s="155" t="str">
        <x:v>스포츠·건강</x:v>
      </x:c>
      <x:c r="E49" s="67" t="str">
        <x:v>빈대 공포 확산</x:v>
      </x:c>
      <x:c r="F49" s="67" t="str">
        <x:v>동성제약 (002210)</x:v>
      </x:c>
      <x:c r="G49" s="67" t="str">
        <x:v>KOSPI</x:v>
      </x:c>
      <x:c r="H49" s="67" t="str">
        <x:v>상승</x:v>
      </x:c>
      <x:c r="I49" s="59" t="str">
        <x:v>한 주 16.2% 상승</x:v>
      </x:c>
      <x:c r="J49" s="59" t="str">
        <x:v>제품·판매</x:v>
      </x:c>
      <x:c r="K49" s="159" t="str">
        <x:v>건강·방역</x:v>
      </x:c>
      <x:c r="L49" s="59" t="str">
        <x:v>살충제 판매가 평시 대비 크게 증가</x:v>
      </x:c>
      <x:c r="M49" s="59" t="str">
        <x:v>S124</x:v>
      </x:c>
      <x:c r="N49" s="76" t="n">
        <x:v>2</x:v>
      </x:c>
      <x:c r="O49" s="76" t="n">
        <x:v>2</x:v>
      </x:c>
      <x:c r="P49" s="76" t="n">
        <x:v>2</x:v>
      </x:c>
      <x:c r="Q49" s="76" t="n">
        <x:v>0</x:v>
      </x:c>
      <x:c r="R49" s="76" t="n">
        <x:f>SUM(N49:P49)</x:f>
        <x:v>6</x:v>
      </x:c>
      <x:c r="S49" s="75" t="str">
        <x:f>IF(AND(N49=2,P49=2,R49&gt;=5),"핵심사례",IF(R49&gt;=3,"보조사례","경계사례"))</x:f>
        <x:v>핵심사례</x:v>
      </x:c>
    </x:row>
    <x:row r="50" ht="39" customHeight="1">
      <x:c r="A50" s="69" t="str">
        <x:v>KR-X011</x:v>
      </x:c>
      <x:c r="B50" s="69" t="str">
        <x:v>EV0061</x:v>
      </x:c>
      <x:c r="C50" s="70" t="n">
        <x:v>2023</x:v>
      </x:c>
      <x:c r="D50" s="156" t="str">
        <x:v>사회·온라인문화</x:v>
      </x:c>
      <x:c r="E50" s="69" t="str">
        <x:v>맥신 상용화 기대</x:v>
      </x:c>
      <x:c r="F50" s="69" t="str">
        <x:v>경동인베스트 (012320)</x:v>
      </x:c>
      <x:c r="G50" s="69" t="str">
        <x:v>KOSPI</x:v>
      </x:c>
      <x:c r="H50" s="69" t="str">
        <x:v>상승</x:v>
      </x:c>
      <x:c r="I50" s="34" t="str">
        <x:v>당일 상한가</x:v>
      </x:c>
      <x:c r="J50" s="34" t="str">
        <x:v>간접·테마</x:v>
      </x:c>
      <x:c r="K50" s="160" t="str">
        <x:v>밈·유행어</x:v>
      </x:c>
      <x:c r="L50" s="34" t="str">
        <x:v>연구·원료·계열 연결을 시장이 확장 해석</x:v>
      </x:c>
      <x:c r="M50" s="34" t="str">
        <x:v>S123</x:v>
      </x:c>
      <x:c r="N50" s="78" t="n">
        <x:v>2</x:v>
      </x:c>
      <x:c r="O50" s="78" t="n">
        <x:v>0</x:v>
      </x:c>
      <x:c r="P50" s="78" t="n">
        <x:v>2</x:v>
      </x:c>
      <x:c r="Q50" s="78" t="n">
        <x:v>0</x:v>
      </x:c>
      <x:c r="R50" s="78" t="n">
        <x:f>SUM(N50:P50)</x:f>
        <x:v>4</x:v>
      </x:c>
      <x:c r="S50" s="77" t="str">
        <x:f>IF(AND(N50=2,P50=2,R50&gt;=5),"핵심사례",IF(R50&gt;=3,"보조사례","경계사례"))</x:f>
        <x:v>보조사례</x:v>
      </x:c>
    </x:row>
    <x:row r="51" ht="39" customHeight="1">
      <x:c r="A51" s="67" t="str">
        <x:v>KR-X009</x:v>
      </x:c>
      <x:c r="B51" s="67" t="str">
        <x:v>EV0061</x:v>
      </x:c>
      <x:c r="C51" s="68" t="n">
        <x:v>2023</x:v>
      </x:c>
      <x:c r="D51" s="155" t="str">
        <x:v>사회·온라인문화</x:v>
      </x:c>
      <x:c r="E51" s="67" t="str">
        <x:v>맥신 상용화 기대</x:v>
      </x:c>
      <x:c r="F51" s="67" t="str">
        <x:v>태경산업 (015890)</x:v>
      </x:c>
      <x:c r="G51" s="67" t="str">
        <x:v>KOSPI</x:v>
      </x:c>
      <x:c r="H51" s="67" t="str">
        <x:v>상승</x:v>
      </x:c>
      <x:c r="I51" s="59" t="str">
        <x:v>당일 상한가</x:v>
      </x:c>
      <x:c r="J51" s="59" t="str">
        <x:v>간접·테마</x:v>
      </x:c>
      <x:c r="K51" s="159" t="str">
        <x:v>밈·유행어</x:v>
      </x:c>
      <x:c r="L51" s="59" t="str">
        <x:v>연구·원료·계열 연결을 시장이 확장 해석</x:v>
      </x:c>
      <x:c r="M51" s="59" t="str">
        <x:v>S123</x:v>
      </x:c>
      <x:c r="N51" s="76" t="n">
        <x:v>2</x:v>
      </x:c>
      <x:c r="O51" s="76" t="n">
        <x:v>0</x:v>
      </x:c>
      <x:c r="P51" s="76" t="n">
        <x:v>2</x:v>
      </x:c>
      <x:c r="Q51" s="76" t="n">
        <x:v>0</x:v>
      </x:c>
      <x:c r="R51" s="76" t="n">
        <x:f>SUM(N51:P51)</x:f>
        <x:v>4</x:v>
      </x:c>
      <x:c r="S51" s="75" t="str">
        <x:f>IF(AND(N51=2,P51=2,R51&gt;=5),"핵심사례",IF(R51&gt;=3,"보조사례","경계사례"))</x:f>
        <x:v>보조사례</x:v>
      </x:c>
    </x:row>
    <x:row r="52" ht="39" customHeight="1">
      <x:c r="A52" s="69" t="str">
        <x:v>KR-X010</x:v>
      </x:c>
      <x:c r="B52" s="69" t="str">
        <x:v>EV0061</x:v>
      </x:c>
      <x:c r="C52" s="70" t="n">
        <x:v>2023</x:v>
      </x:c>
      <x:c r="D52" s="156" t="str">
        <x:v>사회·온라인문화</x:v>
      </x:c>
      <x:c r="E52" s="69" t="str">
        <x:v>맥신 상용화 기대</x:v>
      </x:c>
      <x:c r="F52" s="69" t="str">
        <x:v>휴비스 (079980)</x:v>
      </x:c>
      <x:c r="G52" s="69" t="str">
        <x:v>KOSPI</x:v>
      </x:c>
      <x:c r="H52" s="69" t="str">
        <x:v>상승</x:v>
      </x:c>
      <x:c r="I52" s="34" t="str">
        <x:v>당일 상한가</x:v>
      </x:c>
      <x:c r="J52" s="34" t="str">
        <x:v>간접·테마</x:v>
      </x:c>
      <x:c r="K52" s="160" t="str">
        <x:v>밈·유행어</x:v>
      </x:c>
      <x:c r="L52" s="34" t="str">
        <x:v>연구·원료·계열 연결을 시장이 확장 해석</x:v>
      </x:c>
      <x:c r="M52" s="34" t="str">
        <x:v>S123</x:v>
      </x:c>
      <x:c r="N52" s="78" t="n">
        <x:v>2</x:v>
      </x:c>
      <x:c r="O52" s="78" t="n">
        <x:v>0</x:v>
      </x:c>
      <x:c r="P52" s="78" t="n">
        <x:v>2</x:v>
      </x:c>
      <x:c r="Q52" s="78" t="n">
        <x:v>0</x:v>
      </x:c>
      <x:c r="R52" s="78" t="n">
        <x:f>SUM(N52:P52)</x:f>
        <x:v>4</x:v>
      </x:c>
      <x:c r="S52" s="77" t="str">
        <x:f>IF(AND(N52=2,P52=2,R52&gt;=5),"핵심사례",IF(R52&gt;=3,"보조사례","경계사례"))</x:f>
        <x:v>보조사례</x:v>
      </x:c>
    </x:row>
    <x:row r="53" ht="39" customHeight="1">
      <x:c r="A53" s="67" t="str">
        <x:v>DISC-2022-02</x:v>
      </x:c>
      <x:c r="B53" s="67" t="str">
        <x:v>EV0051</x:v>
      </x:c>
      <x:c r="C53" s="68" t="n">
        <x:v>2022</x:v>
      </x:c>
      <x:c r="D53" s="155" t="str">
        <x:v>식품·음료</x:v>
      </x:c>
      <x:c r="E53" s="67" t="str">
        <x:v>재벌집 막내아들 흥행</x:v>
      </x:c>
      <x:c r="F53" s="67" t="str">
        <x:v>래몽래인 (200350)</x:v>
      </x:c>
      <x:c r="G53" s="67" t="str">
        <x:v>KOSDAQ</x:v>
      </x:c>
      <x:c r="H53" s="67" t="str">
        <x:v>상승→하락</x:v>
      </x:c>
      <x:c r="I53" s="59" t="str">
        <x:v>첫 주 약 70% 상승 후 고점 대비 30% 이상 하락</x:v>
      </x:c>
      <x:c r="J53" s="59" t="str">
        <x:v>강한사례</x:v>
      </x:c>
      <x:c r="K53" s="159" t="str">
        <x:v>디저트·베이커리</x:v>
      </x:c>
      <x:c r="L53" s="59" t="str">
        <x:v>흥행 기대 선반영과 소멸 비교</x:v>
      </x:c>
      <x:c r="M53" s="59" t="str">
        <x:v>S113</x:v>
      </x:c>
      <x:c r="N53" s="76" t="n">
        <x:v>2</x:v>
      </x:c>
      <x:c r="O53" s="76" t="n">
        <x:v>2</x:v>
      </x:c>
      <x:c r="P53" s="76" t="n">
        <x:v>2</x:v>
      </x:c>
      <x:c r="Q53" s="76" t="n">
        <x:v>1</x:v>
      </x:c>
      <x:c r="R53" s="76" t="n">
        <x:f>SUM(N53:P53)</x:f>
        <x:v>6</x:v>
      </x:c>
      <x:c r="S53" s="75" t="str">
        <x:f>IF(AND(N53=2,P53=2,R53&gt;=5),"핵심사례",IF(R53&gt;=3,"보조사례","경계사례"))</x:f>
        <x:v>핵심사례</x:v>
      </x:c>
    </x:row>
    <x:row r="54" ht="39" customHeight="1">
      <x:c r="A54" s="69" t="str">
        <x:v>KR-SNS005</x:v>
      </x:c>
      <x:c r="B54" s="69" t="str">
        <x:v>EV0054</x:v>
      </x:c>
      <x:c r="C54" s="70" t="n">
        <x:v>2022</x:v>
      </x:c>
      <x:c r="D54" s="156" t="str">
        <x:v>식품·음료</x:v>
      </x:c>
      <x:c r="E54" s="69" t="str">
        <x:v>포켓몬빵·띠부씰</x:v>
      </x:c>
      <x:c r="F54" s="69" t="str">
        <x:v>SPC삼립 (005610)</x:v>
      </x:c>
      <x:c r="G54" s="69" t="str">
        <x:v>KOSPI</x:v>
      </x:c>
      <x:c r="H54" s="69" t="str">
        <x:v>상승</x:v>
      </x:c>
      <x:c r="I54" s="34" t="str">
        <x:v>2월 20% 상승 뒤 열풍이 주가를 추가로 밀어올림</x:v>
      </x:c>
      <x:c r="J54" s="34" t="str">
        <x:v>강한사례</x:v>
      </x:c>
      <x:c r="K54" s="160" t="str">
        <x:v>디저트·베이커리</x:v>
      </x:c>
      <x:c r="L54" s="34" t="str">
        <x:v>바이럴-사업직결 | 완료 | SNS 유행과 실제 판매가 결합된 사례</x:v>
      </x:c>
      <x:c r="M54" s="34" t="str">
        <x:v>S54</x:v>
      </x:c>
      <x:c r="N54" s="78" t="n">
        <x:v>2</x:v>
      </x:c>
      <x:c r="O54" s="78" t="n">
        <x:v>2</x:v>
      </x:c>
      <x:c r="P54" s="78" t="n">
        <x:v>2</x:v>
      </x:c>
      <x:c r="Q54" s="78" t="n">
        <x:v>1</x:v>
      </x:c>
      <x:c r="R54" s="78" t="n">
        <x:f>SUM(N54:P54)</x:f>
        <x:v>6</x:v>
      </x:c>
      <x:c r="S54" s="77" t="str">
        <x:f>IF(AND(N54=2,P54=2,R54&gt;=5),"핵심사례",IF(R54&gt;=3,"보조사례","경계사례"))</x:f>
        <x:v>핵심사례</x:v>
      </x:c>
    </x:row>
    <x:row r="55" ht="39" customHeight="1">
      <x:c r="A55" s="67" t="str">
        <x:v>KR-X026</x:v>
      </x:c>
      <x:c r="B55" s="67" t="str">
        <x:v>EV0057</x:v>
      </x:c>
      <x:c r="C55" s="68" t="n">
        <x:v>2022</x:v>
      </x:c>
      <x:c r="D55" s="155" t="str">
        <x:v>식품·음료</x:v>
      </x:c>
      <x:c r="E55" s="67" t="str">
        <x:v>SPC 공장 사고 불매운동</x:v>
      </x:c>
      <x:c r="F55" s="67" t="str">
        <x:v>SPC삼립 (005610)</x:v>
      </x:c>
      <x:c r="G55" s="67" t="str">
        <x:v>KOSPI</x:v>
      </x:c>
      <x:c r="H55" s="67" t="str">
        <x:v>하락</x:v>
      </x:c>
      <x:c r="I55" s="59" t="str">
        <x:v>4.3% 하락</x:v>
      </x:c>
      <x:c r="J55" s="59" t="str">
        <x:v>그룹·브랜드</x:v>
      </x:c>
      <x:c r="K55" s="159" t="str">
        <x:v>식품 유행 일반</x:v>
      </x:c>
      <x:c r="L55" s="59" t="str">
        <x:v>SPC 계열 브랜드 불매의 상장사 연결</x:v>
      </x:c>
      <x:c r="M55" s="59" t="str">
        <x:v>S134</x:v>
      </x:c>
      <x:c r="N55" s="76" t="n">
        <x:v>2</x:v>
      </x:c>
      <x:c r="O55" s="76" t="n">
        <x:v>2</x:v>
      </x:c>
      <x:c r="P55" s="76" t="n">
        <x:v>2</x:v>
      </x:c>
      <x:c r="Q55" s="76" t="n">
        <x:v>1</x:v>
      </x:c>
      <x:c r="R55" s="76" t="n">
        <x:f>SUM(N55:P55)</x:f>
        <x:v>6</x:v>
      </x:c>
      <x:c r="S55" s="75" t="str">
        <x:f>IF(AND(N55=2,P55=2,R55&gt;=5),"핵심사례",IF(R55&gt;=3,"보조사례","경계사례"))</x:f>
        <x:v>핵심사례</x:v>
      </x:c>
    </x:row>
    <x:row r="56" ht="39" customHeight="1">
      <x:c r="A56" s="69" t="str">
        <x:v>DISC-2022-06</x:v>
      </x:c>
      <x:c r="B56" s="69" t="str">
        <x:v>EV0053</x:v>
      </x:c>
      <x:c r="C56" s="70" t="n">
        <x:v>2022</x:v>
      </x:c>
      <x:c r="D56" s="156" t="str">
        <x:v>식품·음료</x:v>
      </x:c>
      <x:c r="E56" s="69" t="str">
        <x:v>카타르월드컵 치킨 수요</x:v>
      </x:c>
      <x:c r="F56" s="69" t="str">
        <x:v>마니커 (027740)</x:v>
      </x:c>
      <x:c r="G56" s="69" t="str">
        <x:v>KOSPI</x:v>
      </x:c>
      <x:c r="H56" s="69" t="str">
        <x:v>상승</x:v>
      </x:c>
      <x:c r="I56" s="34" t="str">
        <x:v>월드컵 기대 구간 약 25% 상승</x:v>
      </x:c>
      <x:c r="J56" s="34" t="str">
        <x:v>강한사례</x:v>
      </x:c>
      <x:c r="K56" s="160" t="str">
        <x:v>외식·프랜차이즈</x:v>
      </x:c>
      <x:c r="L56" s="34" t="str">
        <x:v>스포츠 소비 테마</x:v>
      </x:c>
      <x:c r="M56" s="34" t="str">
        <x:v>S114</x:v>
      </x:c>
      <x:c r="N56" s="78" t="n">
        <x:v>2</x:v>
      </x:c>
      <x:c r="O56" s="78" t="n">
        <x:v>2</x:v>
      </x:c>
      <x:c r="P56" s="78" t="n">
        <x:v>2</x:v>
      </x:c>
      <x:c r="Q56" s="78" t="n">
        <x:v>1</x:v>
      </x:c>
      <x:c r="R56" s="78" t="n">
        <x:f>SUM(N56:P56)</x:f>
        <x:v>6</x:v>
      </x:c>
      <x:c r="S56" s="77" t="str">
        <x:f>IF(AND(N56=2,P56=2,R56&gt;=5),"핵심사례",IF(R56&gt;=3,"보조사례","경계사례"))</x:f>
        <x:v>핵심사례</x:v>
      </x:c>
    </x:row>
    <x:row r="57" ht="39" customHeight="1">
      <x:c r="A57" s="67" t="str">
        <x:v>DISC-2022-05</x:v>
      </x:c>
      <x:c r="B57" s="67" t="str">
        <x:v>EV0053</x:v>
      </x:c>
      <x:c r="C57" s="68" t="n">
        <x:v>2022</x:v>
      </x:c>
      <x:c r="D57" s="155" t="str">
        <x:v>식품·음료</x:v>
      </x:c>
      <x:c r="E57" s="67" t="str">
        <x:v>카타르월드컵 치킨 수요</x:v>
      </x:c>
      <x:c r="F57" s="67" t="str">
        <x:v>하림 (136480)</x:v>
      </x:c>
      <x:c r="G57" s="67" t="str">
        <x:v>KOSDAQ</x:v>
      </x:c>
      <x:c r="H57" s="67" t="str">
        <x:v>상승·하락</x:v>
      </x:c>
      <x:c r="I57" s="59" t="str">
        <x:v>16강 진출 후 강세, 가나전 패배 후 하락</x:v>
      </x:c>
      <x:c r="J57" s="59" t="str">
        <x:v>강한사례</x:v>
      </x:c>
      <x:c r="K57" s="159" t="str">
        <x:v>외식·프랜차이즈</x:v>
      </x:c>
      <x:c r="L57" s="59" t="str">
        <x:v>육계 수요 기대</x:v>
      </x:c>
      <x:c r="M57" s="59" t="str">
        <x:v>S114</x:v>
      </x:c>
      <x:c r="N57" s="76" t="n">
        <x:v>2</x:v>
      </x:c>
      <x:c r="O57" s="76" t="n">
        <x:v>2</x:v>
      </x:c>
      <x:c r="P57" s="76" t="n">
        <x:v>1</x:v>
      </x:c>
      <x:c r="Q57" s="76" t="n">
        <x:v>1</x:v>
      </x:c>
      <x:c r="R57" s="76" t="n">
        <x:f>SUM(N57:P57)</x:f>
        <x:v>5</x:v>
      </x:c>
      <x:c r="S57" s="75" t="str">
        <x:f>IF(AND(N57=2,P57=2,R57&gt;=5),"핵심사례",IF(R57&gt;=3,"보조사례","경계사례"))</x:f>
        <x:v>보조사례</x:v>
      </x:c>
    </x:row>
    <x:row r="58" ht="39" customHeight="1">
      <x:c r="A58" s="69" t="str">
        <x:v>DISC-2022-01</x:v>
      </x:c>
      <x:c r="B58" s="69" t="str">
        <x:v>EV0050</x:v>
      </x:c>
      <x:c r="C58" s="70" t="n">
        <x:v>2022</x:v>
      </x:c>
      <x:c r="D58" s="156" t="str">
        <x:v>콘텐츠·엔터</x:v>
      </x:c>
      <x:c r="E58" s="69" t="str">
        <x:v>이상한 변호사 우영우 신드롬</x:v>
      </x:c>
      <x:c r="F58" s="69" t="str">
        <x:v>에이스토리 (241840)</x:v>
      </x:c>
      <x:c r="G58" s="69" t="str">
        <x:v>KOSDAQ</x:v>
      </x:c>
      <x:c r="H58" s="69" t="str">
        <x:v>상승</x:v>
      </x:c>
      <x:c r="I58" s="34" t="str">
        <x:v>11거래일 89.5% 상승</x:v>
      </x:c>
      <x:c r="J58" s="34" t="str">
        <x:v>강한사례</x:v>
      </x:c>
      <x:c r="K58" s="160" t="str">
        <x:v>드라마·OTT</x:v>
      </x:c>
      <x:c r="L58" s="34" t="str">
        <x:v>제작사 직접 연결</x:v>
      </x:c>
      <x:c r="M58" s="34" t="str">
        <x:v>S112</x:v>
      </x:c>
      <x:c r="N58" s="78" t="n">
        <x:v>2</x:v>
      </x:c>
      <x:c r="O58" s="78" t="n">
        <x:v>2</x:v>
      </x:c>
      <x:c r="P58" s="78" t="n">
        <x:v>2</x:v>
      </x:c>
      <x:c r="Q58" s="78" t="n">
        <x:v>1</x:v>
      </x:c>
      <x:c r="R58" s="78" t="n">
        <x:f>SUM(N58:P58)</x:f>
        <x:v>6</x:v>
      </x:c>
      <x:c r="S58" s="77" t="str">
        <x:f>IF(AND(N58=2,P58=2,R58&gt;=5),"핵심사례",IF(R58&gt;=3,"보조사례","경계사례"))</x:f>
        <x:v>핵심사례</x:v>
      </x:c>
    </x:row>
    <x:row r="59" ht="39" customHeight="1">
      <x:c r="A59" s="67" t="str">
        <x:v>KR-X029</x:v>
      </x:c>
      <x:c r="B59" s="67" t="str">
        <x:v>EV0055</x:v>
      </x:c>
      <x:c r="C59" s="68" t="n">
        <x:v>2022</x:v>
      </x:c>
      <x:c r="D59" s="155" t="str">
        <x:v>콘텐츠·엔터</x:v>
      </x:c>
      <x:c r="E59" s="67" t="str">
        <x:v>BTS 단체활동 중단 발언</x:v>
      </x:c>
      <x:c r="F59" s="67" t="str">
        <x:v>하이브 (352820)</x:v>
      </x:c>
      <x:c r="G59" s="67" t="str">
        <x:v>KOSPI</x:v>
      </x:c>
      <x:c r="H59" s="67" t="str">
        <x:v>하락</x:v>
      </x:c>
      <x:c r="I59" s="59" t="str">
        <x:v>하루 21% 급락</x:v>
      </x:c>
      <x:c r="J59" s="59" t="str">
        <x:v>직접 아티스트</x:v>
      </x:c>
      <x:c r="K59" s="159" t="str">
        <x:v>음악·댄스</x:v>
      </x:c>
      <x:c r="L59" s="59" t="str">
        <x:v>핵심 아티스트 활동 불확실성</x:v>
      </x:c>
      <x:c r="M59" s="59" t="str">
        <x:v>S138</x:v>
      </x:c>
      <x:c r="N59" s="76" t="n">
        <x:v>2</x:v>
      </x:c>
      <x:c r="O59" s="76" t="n">
        <x:v>2</x:v>
      </x:c>
      <x:c r="P59" s="76" t="n">
        <x:v>2</x:v>
      </x:c>
      <x:c r="Q59" s="76" t="n">
        <x:v>1</x:v>
      </x:c>
      <x:c r="R59" s="76" t="n">
        <x:f>SUM(N59:P59)</x:f>
        <x:v>6</x:v>
      </x:c>
      <x:c r="S59" s="75" t="str">
        <x:f>IF(AND(N59=2,P59=2,R59&gt;=5),"핵심사례",IF(R59&gt;=3,"보조사례","경계사례"))</x:f>
        <x:v>핵심사례</x:v>
      </x:c>
    </x:row>
    <x:row r="60" ht="39" customHeight="1">
      <x:c r="A60" s="69" t="str">
        <x:v>KR-X030</x:v>
      </x:c>
      <x:c r="B60" s="69" t="str">
        <x:v>EV0056</x:v>
      </x:c>
      <x:c r="C60" s="70" t="n">
        <x:v>2022</x:v>
      </x:c>
      <x:c r="D60" s="156" t="str">
        <x:v>콘텐츠·엔터</x:v>
      </x:c>
      <x:c r="E60" s="69" t="str">
        <x:v>BTS 입대 발표·불확실성 완화</x:v>
      </x:c>
      <x:c r="F60" s="69" t="str">
        <x:v>하이브 (352820)</x:v>
      </x:c>
      <x:c r="G60" s="69" t="str">
        <x:v>KOSPI</x:v>
      </x:c>
      <x:c r="H60" s="69" t="str">
        <x:v>상승</x:v>
      </x:c>
      <x:c r="I60" s="34" t="str">
        <x:v>5.22% 상승</x:v>
      </x:c>
      <x:c r="J60" s="34" t="str">
        <x:v>직접 아티스트</x:v>
      </x:c>
      <x:c r="K60" s="160" t="str">
        <x:v>음악·댄스</x:v>
      </x:c>
      <x:c r="L60" s="34" t="str">
        <x:v>장기 병역 불확실성 해소 해석</x:v>
      </x:c>
      <x:c r="M60" s="34" t="str">
        <x:v>S139</x:v>
      </x:c>
      <x:c r="N60" s="78" t="n">
        <x:v>2</x:v>
      </x:c>
      <x:c r="O60" s="78" t="n">
        <x:v>2</x:v>
      </x:c>
      <x:c r="P60" s="78" t="n">
        <x:v>2</x:v>
      </x:c>
      <x:c r="Q60" s="78" t="n">
        <x:v>1</x:v>
      </x:c>
      <x:c r="R60" s="78" t="n">
        <x:f>SUM(N60:P60)</x:f>
        <x:v>6</x:v>
      </x:c>
      <x:c r="S60" s="77" t="str">
        <x:f>IF(AND(N60=2,P60=2,R60&gt;=5),"핵심사례",IF(R60&gt;=3,"보조사례","경계사례"))</x:f>
        <x:v>핵심사례</x:v>
      </x:c>
    </x:row>
    <x:row r="61" ht="39" customHeight="1">
      <x:c r="A61" s="67" t="str">
        <x:v>DISC-2022-04</x:v>
      </x:c>
      <x:c r="B61" s="67" t="str">
        <x:v>EV0052</x:v>
      </x:c>
      <x:c r="C61" s="68" t="n">
        <x:v>2022</x:v>
      </x:c>
      <x:c r="D61" s="155" t="str">
        <x:v>콘텐츠·엔터</x:v>
      </x:c>
      <x:c r="E61" s="67" t="str">
        <x:v>카타르월드컵 치맥 소비</x:v>
      </x:c>
      <x:c r="F61" s="67" t="str">
        <x:v>교촌에프앤비 (339770)</x:v>
      </x:c>
      <x:c r="G61" s="67" t="str">
        <x:v>KOSPI</x:v>
      </x:c>
      <x:c r="H61" s="67" t="str">
        <x:v>상승·하락</x:v>
      </x:c>
      <x:c r="I61" s="59" t="str">
        <x:v>16강 진출 후 강세, 가나전 패배 후 하락</x:v>
      </x:c>
      <x:c r="J61" s="59" t="str">
        <x:v>강한사례</x:v>
      </x:c>
      <x:c r="K61" s="159" t="str">
        <x:v>팬덤·공연</x:v>
      </x:c>
      <x:c r="L61" s="59" t="str">
        <x:v>실제 주문 폭주와 단기 테마</x:v>
      </x:c>
      <x:c r="M61" s="59" t="str">
        <x:v>S114</x:v>
      </x:c>
      <x:c r="N61" s="76" t="n">
        <x:v>2</x:v>
      </x:c>
      <x:c r="O61" s="76" t="n">
        <x:v>2</x:v>
      </x:c>
      <x:c r="P61" s="76" t="n">
        <x:v>1</x:v>
      </x:c>
      <x:c r="Q61" s="76" t="n">
        <x:v>1</x:v>
      </x:c>
      <x:c r="R61" s="76" t="n">
        <x:f>SUM(N61:P61)</x:f>
        <x:v>5</x:v>
      </x:c>
      <x:c r="S61" s="75" t="str">
        <x:f>IF(AND(N61=2,P61=2,R61&gt;=5),"핵심사례",IF(R61&gt;=3,"보조사례","경계사례"))</x:f>
        <x:v>보조사례</x:v>
      </x:c>
    </x:row>
    <x:row r="62" ht="39" customHeight="1">
      <x:c r="A62" s="69" t="str">
        <x:v>DISC-2022-03</x:v>
      </x:c>
      <x:c r="B62" s="69" t="str">
        <x:v>EV0052</x:v>
      </x:c>
      <x:c r="C62" s="70" t="n">
        <x:v>2022</x:v>
      </x:c>
      <x:c r="D62" s="156" t="str">
        <x:v>콘텐츠·엔터</x:v>
      </x:c>
      <x:c r="E62" s="69" t="str">
        <x:v>카타르월드컵 치맥 소비</x:v>
      </x:c>
      <x:c r="F62" s="69" t="str">
        <x:v>제주맥주 (276730)</x:v>
      </x:c>
      <x:c r="G62" s="69" t="str">
        <x:v>KOSDAQ</x:v>
      </x:c>
      <x:c r="H62" s="69" t="str">
        <x:v>상승·하락</x:v>
      </x:c>
      <x:c r="I62" s="34" t="str">
        <x:v>16강 진출 후 강세, 가나전 패배 후 하락</x:v>
      </x:c>
      <x:c r="J62" s="34" t="str">
        <x:v>강한사례</x:v>
      </x:c>
      <x:c r="K62" s="160" t="str">
        <x:v>팬덤·공연</x:v>
      </x:c>
      <x:c r="L62" s="34" t="str">
        <x:v>경기 결과 감응형</x:v>
      </x:c>
      <x:c r="M62" s="34" t="str">
        <x:v>S114</x:v>
      </x:c>
      <x:c r="N62" s="78" t="n">
        <x:v>2</x:v>
      </x:c>
      <x:c r="O62" s="78" t="n">
        <x:v>2</x:v>
      </x:c>
      <x:c r="P62" s="78" t="n">
        <x:v>1</x:v>
      </x:c>
      <x:c r="Q62" s="78" t="n">
        <x:v>1</x:v>
      </x:c>
      <x:c r="R62" s="78" t="n">
        <x:f>SUM(N62:P62)</x:f>
        <x:v>5</x:v>
      </x:c>
      <x:c r="S62" s="77" t="str">
        <x:f>IF(AND(N62=2,P62=2,R62&gt;=5),"핵심사례",IF(R62&gt;=3,"보조사례","경계사례"))</x:f>
        <x:v>보조사례</x:v>
      </x:c>
    </x:row>
    <x:row r="63" ht="39" customHeight="1">
      <x:c r="A63" s="67" t="str">
        <x:v>KR-X023</x:v>
      </x:c>
      <x:c r="B63" s="67" t="str">
        <x:v>EV0049</x:v>
      </x:c>
      <x:c r="C63" s="68" t="n">
        <x:v>2022</x:v>
      </x:c>
      <x:c r="D63" s="155" t="str">
        <x:v>게임·e스포츠</x:v>
      </x:c>
      <x:c r="E63" s="67" t="str">
        <x:v>우마무스메 이용자 마차 시위</x:v>
      </x:c>
      <x:c r="F63" s="67" t="str">
        <x:v>카카오게임즈 (293490)</x:v>
      </x:c>
      <x:c r="G63" s="67" t="str">
        <x:v>KOSDAQ</x:v>
      </x:c>
      <x:c r="H63" s="67" t="str">
        <x:v>하락</x:v>
      </x:c>
      <x:c r="I63" s="59" t="str">
        <x:v>열흘 약 13% 하락·간담회 날 장중 5.97% 하락</x:v>
      </x:c>
      <x:c r="J63" s="59" t="str">
        <x:v>직접 서비스</x:v>
      </x:c>
      <x:c r="K63" s="159" t="str">
        <x:v>PC·콘솔게임</x:v>
      </x:c>
      <x:c r="L63" s="59" t="str">
        <x:v>이용자 신뢰·운영 리스크가 직접 연결</x:v>
      </x:c>
      <x:c r="M63" s="59" t="str">
        <x:v>S128;S129</x:v>
      </x:c>
      <x:c r="N63" s="76" t="n">
        <x:v>2</x:v>
      </x:c>
      <x:c r="O63" s="76" t="n">
        <x:v>2</x:v>
      </x:c>
      <x:c r="P63" s="76" t="n">
        <x:v>2</x:v>
      </x:c>
      <x:c r="Q63" s="76" t="n">
        <x:v>1</x:v>
      </x:c>
      <x:c r="R63" s="76" t="n">
        <x:f>SUM(N63:P63)</x:f>
        <x:v>6</x:v>
      </x:c>
      <x:c r="S63" s="75" t="str">
        <x:f>IF(AND(N63=2,P63=2,R63&gt;=5),"핵심사례",IF(R63&gt;=3,"보조사례","경계사례"))</x:f>
        <x:v>핵심사례</x:v>
      </x:c>
    </x:row>
    <x:row r="64" ht="39" customHeight="1">
      <x:c r="A64" s="69" t="str">
        <x:v>KR-X027</x:v>
      </x:c>
      <x:c r="B64" s="69" t="str">
        <x:v>EV0043</x:v>
      </x:c>
      <x:c r="C64" s="70" t="n">
        <x:v>2021</x:v>
      </x:c>
      <x:c r="D64" s="156" t="str">
        <x:v>식품·음료</x:v>
      </x:c>
      <x:c r="E64" s="69" t="str">
        <x:v>불가리스 코로나 억제 주장</x:v>
      </x:c>
      <x:c r="F64" s="69" t="str">
        <x:v>남양유업 (003920)</x:v>
      </x:c>
      <x:c r="G64" s="69" t="str">
        <x:v>KOSPI</x:v>
      </x:c>
      <x:c r="H64" s="69" t="str">
        <x:v>급등→급락</x:v>
      </x:c>
      <x:c r="I64" s="34" t="str">
        <x:v>장중 상한가 뒤 다음날 5%대 하락</x:v>
      </x:c>
      <x:c r="J64" s="34" t="str">
        <x:v>직접 제품</x:v>
      </x:c>
      <x:c r="K64" s="160" t="str">
        <x:v>식품 유행 일반</x:v>
      </x:c>
      <x:c r="L64" s="34" t="str">
        <x:v>기업 발표 자체가 발화점이나 검증 실패</x:v>
      </x:c>
      <x:c r="M64" s="34" t="str">
        <x:v>S135;S136</x:v>
      </x:c>
      <x:c r="N64" s="78" t="n">
        <x:v>2</x:v>
      </x:c>
      <x:c r="O64" s="78" t="n">
        <x:v>2</x:v>
      </x:c>
      <x:c r="P64" s="78" t="n">
        <x:v>2</x:v>
      </x:c>
      <x:c r="Q64" s="78" t="n">
        <x:v>0</x:v>
      </x:c>
      <x:c r="R64" s="78" t="n">
        <x:f>SUM(N64:P64)</x:f>
        <x:v>6</x:v>
      </x:c>
      <x:c r="S64" s="77" t="str">
        <x:f>IF(AND(N64=2,P64=2,R64&gt;=5),"핵심사례",IF(R64&gt;=3,"보조사례","경계사례"))</x:f>
        <x:v>핵심사례</x:v>
      </x:c>
    </x:row>
    <x:row r="65" ht="39" customHeight="1">
      <x:c r="A65" s="67" t="str">
        <x:v>KR-X061</x:v>
      </x:c>
      <x:c r="B65" s="67" t="str">
        <x:v>EV0047</x:v>
      </x:c>
      <x:c r="C65" s="68" t="n">
        <x:v>2021</x:v>
      </x:c>
      <x:c r="D65" s="155" t="str">
        <x:v>콘텐츠·엔터</x:v>
      </x:c>
      <x:c r="E65" s="67" t="str">
        <x:v>조선구마사 역사왜곡 논란</x:v>
      </x:c>
      <x:c r="F65" s="67" t="str">
        <x:v>와이지엔터테인먼트 (122870)</x:v>
      </x:c>
      <x:c r="G65" s="67" t="str">
        <x:v>KOSDAQ</x:v>
      </x:c>
      <x:c r="H65" s="67" t="str">
        <x:v>하락</x:v>
      </x:c>
      <x:c r="I65" s="59" t="str">
        <x:v>5.63% 하락</x:v>
      </x:c>
      <x:c r="J65" s="59" t="str">
        <x:v>제작·방송 연결</x:v>
      </x:c>
      <x:c r="K65" s="159" t="str">
        <x:v>드라마·OTT</x:v>
      </x:c>
      <x:c r="L65" s="59" t="str">
        <x:v>온라인 광고주 압박과 폐지 영향</x:v>
      </x:c>
      <x:c r="M65" s="59" t="str">
        <x:v>S155</x:v>
      </x:c>
      <x:c r="N65" s="76" t="n">
        <x:v>2</x:v>
      </x:c>
      <x:c r="O65" s="76" t="n">
        <x:v>1</x:v>
      </x:c>
      <x:c r="P65" s="76" t="n">
        <x:v>2</x:v>
      </x:c>
      <x:c r="Q65" s="76" t="n">
        <x:v>1</x:v>
      </x:c>
      <x:c r="R65" s="76" t="n">
        <x:f>SUM(N65:P65)</x:f>
        <x:v>5</x:v>
      </x:c>
      <x:c r="S65" s="75" t="str">
        <x:f>IF(AND(N65=2,P65=2,R65&gt;=5),"핵심사례",IF(R65&gt;=3,"보조사례","경계사례"))</x:f>
        <x:v>핵심사례</x:v>
      </x:c>
    </x:row>
    <x:row r="66" ht="39" customHeight="1">
      <x:c r="A66" s="69" t="str">
        <x:v>KR-X062</x:v>
      </x:c>
      <x:c r="B66" s="69" t="str">
        <x:v>EV0047</x:v>
      </x:c>
      <x:c r="C66" s="70" t="n">
        <x:v>2021</x:v>
      </x:c>
      <x:c r="D66" s="156" t="str">
        <x:v>콘텐츠·엔터</x:v>
      </x:c>
      <x:c r="E66" s="69" t="str">
        <x:v>조선구마사 역사왜곡 논란</x:v>
      </x:c>
      <x:c r="F66" s="69" t="str">
        <x:v>SBS (034120)</x:v>
      </x:c>
      <x:c r="G66" s="69" t="str">
        <x:v>KOSPI</x:v>
      </x:c>
      <x:c r="H66" s="69" t="str">
        <x:v>하락</x:v>
      </x:c>
      <x:c r="I66" s="34" t="str">
        <x:v>5.24% 하락</x:v>
      </x:c>
      <x:c r="J66" s="34" t="str">
        <x:v>제작·방송 연결</x:v>
      </x:c>
      <x:c r="K66" s="160" t="str">
        <x:v>드라마·OTT</x:v>
      </x:c>
      <x:c r="L66" s="34" t="str">
        <x:v>온라인 광고주 압박과 폐지 영향</x:v>
      </x:c>
      <x:c r="M66" s="34" t="str">
        <x:v>S155</x:v>
      </x:c>
      <x:c r="N66" s="78" t="n">
        <x:v>2</x:v>
      </x:c>
      <x:c r="O66" s="78" t="n">
        <x:v>1</x:v>
      </x:c>
      <x:c r="P66" s="78" t="n">
        <x:v>2</x:v>
      </x:c>
      <x:c r="Q66" s="78" t="n">
        <x:v>1</x:v>
      </x:c>
      <x:c r="R66" s="78" t="n">
        <x:f>SUM(N66:P66)</x:f>
        <x:v>5</x:v>
      </x:c>
      <x:c r="S66" s="77" t="str">
        <x:f>IF(AND(N66=2,P66=2,R66&gt;=5),"핵심사례",IF(R66&gt;=3,"보조사례","경계사례"))</x:f>
        <x:v>핵심사례</x:v>
      </x:c>
    </x:row>
    <x:row r="67" ht="39" customHeight="1">
      <x:c r="A67" s="67" t="str">
        <x:v>KR-X063</x:v>
      </x:c>
      <x:c r="B67" s="67" t="str">
        <x:v>EV0047</x:v>
      </x:c>
      <x:c r="C67" s="68" t="n">
        <x:v>2021</x:v>
      </x:c>
      <x:c r="D67" s="155" t="str">
        <x:v>콘텐츠·엔터</x:v>
      </x:c>
      <x:c r="E67" s="67" t="str">
        <x:v>조선구마사 역사왜곡 논란</x:v>
      </x:c>
      <x:c r="F67" s="67" t="str">
        <x:v>YG PLUS (037270)</x:v>
      </x:c>
      <x:c r="G67" s="67" t="str">
        <x:v>KOSPI</x:v>
      </x:c>
      <x:c r="H67" s="67" t="str">
        <x:v>하락</x:v>
      </x:c>
      <x:c r="I67" s="59" t="str">
        <x:v>2.64% 하락</x:v>
      </x:c>
      <x:c r="J67" s="59" t="str">
        <x:v>제작·방송 연결</x:v>
      </x:c>
      <x:c r="K67" s="159" t="str">
        <x:v>드라마·OTT</x:v>
      </x:c>
      <x:c r="L67" s="59" t="str">
        <x:v>온라인 광고주 압박과 폐지 영향</x:v>
      </x:c>
      <x:c r="M67" s="59" t="str">
        <x:v>S155</x:v>
      </x:c>
      <x:c r="N67" s="76" t="n">
        <x:v>2</x:v>
      </x:c>
      <x:c r="O67" s="76" t="n">
        <x:v>1</x:v>
      </x:c>
      <x:c r="P67" s="76" t="n">
        <x:v>2</x:v>
      </x:c>
      <x:c r="Q67" s="76" t="n">
        <x:v>1</x:v>
      </x:c>
      <x:c r="R67" s="76" t="n">
        <x:f>SUM(N67:P67)</x:f>
        <x:v>5</x:v>
      </x:c>
      <x:c r="S67" s="75" t="str">
        <x:f>IF(AND(N67=2,P67=2,R67&gt;=5),"핵심사례",IF(R67&gt;=3,"보조사례","경계사례"))</x:f>
        <x:v>핵심사례</x:v>
      </x:c>
    </x:row>
    <x:row r="68" ht="39" customHeight="1">
      <x:c r="A68" s="69" t="str">
        <x:v>DISC-2021-03</x:v>
      </x:c>
      <x:c r="B68" s="69" t="str">
        <x:v>EV0041</x:v>
      </x:c>
      <x:c r="C68" s="70" t="n">
        <x:v>2021</x:v>
      </x:c>
      <x:c r="D68" s="156" t="str">
        <x:v>디지털·플랫폼</x:v>
      </x:c>
      <x:c r="E68" s="69" t="str">
        <x:v>메타버스 열풍</x:v>
      </x:c>
      <x:c r="F68" s="69" t="str">
        <x:v>덱스터 (206560)</x:v>
      </x:c>
      <x:c r="G68" s="69" t="str">
        <x:v>KOSDAQ</x:v>
      </x:c>
      <x:c r="H68" s="69" t="str">
        <x:v>상승</x:v>
      </x:c>
      <x:c r="I68" s="34" t="str">
        <x:v>당일 18.98% 상승</x:v>
      </x:c>
      <x:c r="J68" s="34" t="str">
        <x:v>강한사례</x:v>
      </x:c>
      <x:c r="K68" s="160" t="str">
        <x:v>모바일·플랫폼</x:v>
      </x:c>
      <x:c r="L68" s="34" t="str">
        <x:v>VFX 사업 직접성</x:v>
      </x:c>
      <x:c r="M68" s="34" t="str">
        <x:v>S111</x:v>
      </x:c>
      <x:c r="N68" s="78" t="n">
        <x:v>2</x:v>
      </x:c>
      <x:c r="O68" s="78" t="n">
        <x:v>2</x:v>
      </x:c>
      <x:c r="P68" s="78" t="n">
        <x:v>2</x:v>
      </x:c>
      <x:c r="Q68" s="78" t="n">
        <x:v>1</x:v>
      </x:c>
      <x:c r="R68" s="78" t="n">
        <x:f>SUM(N68:P68)</x:f>
        <x:v>6</x:v>
      </x:c>
      <x:c r="S68" s="77" t="str">
        <x:f>IF(AND(N68=2,P68=2,R68&gt;=5),"핵심사례",IF(R68&gt;=3,"보조사례","경계사례"))</x:f>
        <x:v>핵심사례</x:v>
      </x:c>
    </x:row>
    <x:row r="69" ht="39" customHeight="1">
      <x:c r="A69" s="67" t="str">
        <x:v>DISC-2021-01</x:v>
      </x:c>
      <x:c r="B69" s="67" t="str">
        <x:v>EV0041</x:v>
      </x:c>
      <x:c r="C69" s="68" t="n">
        <x:v>2021</x:v>
      </x:c>
      <x:c r="D69" s="155" t="str">
        <x:v>디지털·플랫폼</x:v>
      </x:c>
      <x:c r="E69" s="67" t="str">
        <x:v>메타버스 열풍</x:v>
      </x:c>
      <x:c r="F69" s="67" t="str">
        <x:v>맥스트 (377030)</x:v>
      </x:c>
      <x:c r="G69" s="67" t="str">
        <x:v>KOSDAQ</x:v>
      </x:c>
      <x:c r="H69" s="67" t="str">
        <x:v>상승</x:v>
      </x:c>
      <x:c r="I69" s="59" t="str">
        <x:v>상장 후 따상상상</x:v>
      </x:c>
      <x:c r="J69" s="59" t="str">
        <x:v>강한사례</x:v>
      </x:c>
      <x:c r="K69" s="159" t="str">
        <x:v>모바일·플랫폼</x:v>
      </x:c>
      <x:c r="L69" s="59" t="str">
        <x:v>산업 초기 기대와 IPO 수급 혼합</x:v>
      </x:c>
      <x:c r="M69" s="59" t="str">
        <x:v>S110</x:v>
      </x:c>
      <x:c r="N69" s="76" t="n">
        <x:v>2</x:v>
      </x:c>
      <x:c r="O69" s="76" t="n">
        <x:v>2</x:v>
      </x:c>
      <x:c r="P69" s="76" t="n">
        <x:v>1</x:v>
      </x:c>
      <x:c r="Q69" s="76" t="n">
        <x:v>1</x:v>
      </x:c>
      <x:c r="R69" s="76" t="n">
        <x:f>SUM(N69:P69)</x:f>
        <x:v>5</x:v>
      </x:c>
      <x:c r="S69" s="75" t="str">
        <x:f>IF(AND(N69=2,P69=2,R69&gt;=5),"핵심사례",IF(R69&gt;=3,"보조사례","경계사례"))</x:f>
        <x:v>보조사례</x:v>
      </x:c>
    </x:row>
    <x:row r="70" ht="39" customHeight="1">
      <x:c r="A70" s="69" t="str">
        <x:v>DISC-2021-04</x:v>
      </x:c>
      <x:c r="B70" s="69" t="str">
        <x:v>EV0041</x:v>
      </x:c>
      <x:c r="C70" s="70" t="n">
        <x:v>2021</x:v>
      </x:c>
      <x:c r="D70" s="156" t="str">
        <x:v>디지털·플랫폼</x:v>
      </x:c>
      <x:c r="E70" s="69" t="str">
        <x:v>메타버스 열풍</x:v>
      </x:c>
      <x:c r="F70" s="69" t="str">
        <x:v>엔피 (291230)</x:v>
      </x:c>
      <x:c r="G70" s="69" t="str">
        <x:v>KOSDAQ</x:v>
      </x:c>
      <x:c r="H70" s="69" t="str">
        <x:v>상승</x:v>
      </x:c>
      <x:c r="I70" s="34" t="str">
        <x:v>관련주 강세로 보도</x:v>
      </x:c>
      <x:c r="J70" s="34" t="str">
        <x:v>강한사례</x:v>
      </x:c>
      <x:c r="K70" s="160" t="str">
        <x:v>모바일·플랫폼</x:v>
      </x:c>
      <x:c r="L70" s="34" t="str">
        <x:v>XR 콘텐츠 직접성, 수치 후속검증</x:v>
      </x:c>
      <x:c r="M70" s="34" t="str">
        <x:v>S111</x:v>
      </x:c>
      <x:c r="N70" s="78" t="n">
        <x:v>2</x:v>
      </x:c>
      <x:c r="O70" s="78" t="n">
        <x:v>2</x:v>
      </x:c>
      <x:c r="P70" s="78" t="n">
        <x:v>1</x:v>
      </x:c>
      <x:c r="Q70" s="78" t="n">
        <x:v>1</x:v>
      </x:c>
      <x:c r="R70" s="78" t="n">
        <x:f>SUM(N70:P70)</x:f>
        <x:v>5</x:v>
      </x:c>
      <x:c r="S70" s="77" t="str">
        <x:f>IF(AND(N70=2,P70=2,R70&gt;=5),"핵심사례",IF(R70&gt;=3,"보조사례","경계사례"))</x:f>
        <x:v>보조사례</x:v>
      </x:c>
    </x:row>
    <x:row r="71" ht="39" customHeight="1">
      <x:c r="A71" s="67" t="str">
        <x:v>DISC-2021-05</x:v>
      </x:c>
      <x:c r="B71" s="67" t="str">
        <x:v>EV0041</x:v>
      </x:c>
      <x:c r="C71" s="68" t="n">
        <x:v>2021</x:v>
      </x:c>
      <x:c r="D71" s="155" t="str">
        <x:v>디지털·플랫폼</x:v>
      </x:c>
      <x:c r="E71" s="67" t="str">
        <x:v>메타버스 열풍</x:v>
      </x:c>
      <x:c r="F71" s="67" t="str">
        <x:v>위지윅스튜디오 (299900)</x:v>
      </x:c>
      <x:c r="G71" s="67" t="str">
        <x:v>KOSDAQ</x:v>
      </x:c>
      <x:c r="H71" s="67" t="str">
        <x:v>상승</x:v>
      </x:c>
      <x:c r="I71" s="59" t="str">
        <x:v>메타버스 관련주 묶음</x:v>
      </x:c>
      <x:c r="J71" s="59" t="str">
        <x:v>강한사례</x:v>
      </x:c>
      <x:c r="K71" s="159" t="str">
        <x:v>모바일·플랫폼</x:v>
      </x:c>
      <x:c r="L71" s="59" t="str">
        <x:v>VFX·콘텐츠 직접성, 수치 후속검증</x:v>
      </x:c>
      <x:c r="M71" s="59" t="str">
        <x:v>S110</x:v>
      </x:c>
      <x:c r="N71" s="76" t="n">
        <x:v>2</x:v>
      </x:c>
      <x:c r="O71" s="76" t="n">
        <x:v>2</x:v>
      </x:c>
      <x:c r="P71" s="76" t="n">
        <x:v>1</x:v>
      </x:c>
      <x:c r="Q71" s="76" t="n">
        <x:v>1</x:v>
      </x:c>
      <x:c r="R71" s="76" t="n">
        <x:f>SUM(N71:P71)</x:f>
        <x:v>5</x:v>
      </x:c>
      <x:c r="S71" s="75" t="str">
        <x:f>IF(AND(N71=2,P71=2,R71&gt;=5),"핵심사례",IF(R71&gt;=3,"보조사례","경계사례"))</x:f>
        <x:v>보조사례</x:v>
      </x:c>
    </x:row>
    <x:row r="72" ht="39" customHeight="1">
      <x:c r="A72" s="69" t="str">
        <x:v>DISC-2021-02</x:v>
      </x:c>
      <x:c r="B72" s="69" t="str">
        <x:v>EV0042</x:v>
      </x:c>
      <x:c r="C72" s="70" t="n">
        <x:v>2021</x:v>
      </x:c>
      <x:c r="D72" s="156" t="str">
        <x:v>디지털·플랫폼</x:v>
      </x:c>
      <x:c r="E72" s="69" t="str">
        <x:v>메타버스·버추얼 아바타</x:v>
      </x:c>
      <x:c r="F72" s="69" t="str">
        <x:v>자이언트스텝 (289220)</x:v>
      </x:c>
      <x:c r="G72" s="69" t="str">
        <x:v>KOSDAQ</x:v>
      </x:c>
      <x:c r="H72" s="69" t="str">
        <x:v>상승</x:v>
      </x:c>
      <x:c r="I72" s="34" t="str">
        <x:v>테마 급등 및 별도일 12.96% 상승</x:v>
      </x:c>
      <x:c r="J72" s="34" t="str">
        <x:v>강한사례</x:v>
      </x:c>
      <x:c r="K72" s="160" t="str">
        <x:v>모바일·플랫폼</x:v>
      </x:c>
      <x:c r="L72" s="34" t="str">
        <x:v>에스파 버추얼 아바타 제작</x:v>
      </x:c>
      <x:c r="M72" s="34" t="str">
        <x:v>S110;S111</x:v>
      </x:c>
      <x:c r="N72" s="78" t="n">
        <x:v>2</x:v>
      </x:c>
      <x:c r="O72" s="78" t="n">
        <x:v>2</x:v>
      </x:c>
      <x:c r="P72" s="78" t="n">
        <x:v>2</x:v>
      </x:c>
      <x:c r="Q72" s="78" t="n">
        <x:v>1</x:v>
      </x:c>
      <x:c r="R72" s="78" t="n">
        <x:f>SUM(N72:P72)</x:f>
        <x:v>6</x:v>
      </x:c>
      <x:c r="S72" s="77" t="str">
        <x:f>IF(AND(N72=2,P72=2,R72&gt;=5),"핵심사례",IF(R72&gt;=3,"보조사례","경계사례"))</x:f>
        <x:v>핵심사례</x:v>
      </x:c>
    </x:row>
    <x:row r="73" ht="39" customHeight="1">
      <x:c r="A73" s="67" t="str">
        <x:v>KR-C002</x:v>
      </x:c>
      <x:c r="B73" s="67" t="str">
        <x:v>EV0045</x:v>
      </x:c>
      <x:c r="C73" s="68" t="n">
        <x:v>2021</x:v>
      </x:c>
      <x:c r="D73" s="155" t="str">
        <x:v>게임·e스포츠</x:v>
      </x:c>
      <x:c r="E73" s="67" t="str">
        <x:v>오징어게임</x:v>
      </x:c>
      <x:c r="F73" s="67" t="str">
        <x:v>버킷스튜디오 (066410)</x:v>
      </x:c>
      <x:c r="G73" s="67" t="str">
        <x:v>KOSDAQ</x:v>
      </x:c>
      <x:c r="H73" s="67" t="str">
        <x:v>미확인</x:v>
      </x:c>
      <x:c r="I73" s="59" t="str">
        <x:v>상한가를 거듭</x:v>
      </x:c>
      <x:c r="J73" s="59" t="str">
        <x:v>경계사례</x:v>
      </x:c>
      <x:c r="K73" s="159" t="str">
        <x:v>PC·콘솔게임</x:v>
      </x:c>
      <x:c r="L73" s="59" t="str">
        <x:v>혼합-테마 주도 | 완료 | 배우 소속사 지분의 간접성</x:v>
      </x:c>
      <x:c r="M73" s="59" t="str">
        <x:v>S33;S34</x:v>
      </x:c>
      <x:c r="N73" s="76" t="n">
        <x:v>2</x:v>
      </x:c>
      <x:c r="O73" s="76" t="n">
        <x:v>1</x:v>
      </x:c>
      <x:c r="P73" s="76" t="n">
        <x:v>1</x:v>
      </x:c>
      <x:c r="Q73" s="76" t="n">
        <x:v>1</x:v>
      </x:c>
      <x:c r="R73" s="76" t="n">
        <x:f>SUM(N73:P73)</x:f>
        <x:v>4</x:v>
      </x:c>
      <x:c r="S73" s="75" t="str">
        <x:f>IF(AND(N73=2,P73=2,R73&gt;=5),"핵심사례",IF(R73&gt;=3,"보조사례","경계사례"))</x:f>
        <x:v>보조사례</x:v>
      </x:c>
    </x:row>
    <x:row r="74" ht="39" customHeight="1">
      <x:c r="A74" s="69" t="str">
        <x:v>KR-C003</x:v>
      </x:c>
      <x:c r="B74" s="69" t="str">
        <x:v>EV0045</x:v>
      </x:c>
      <x:c r="C74" s="70" t="n">
        <x:v>2021</x:v>
      </x:c>
      <x:c r="D74" s="156" t="str">
        <x:v>게임·e스포츠</x:v>
      </x:c>
      <x:c r="E74" s="69" t="str">
        <x:v>오징어게임</x:v>
      </x:c>
      <x:c r="F74" s="69" t="str">
        <x:v>쇼박스 (086980)</x:v>
      </x:c>
      <x:c r="G74" s="69" t="str">
        <x:v>KOSDAQ</x:v>
      </x:c>
      <x:c r="H74" s="69" t="str">
        <x:v>미확인</x:v>
      </x:c>
      <x:c r="I74" s="34" t="str">
        <x:v>흥행 뉴스 뒤 급등</x:v>
      </x:c>
      <x:c r="J74" s="34" t="str">
        <x:v>경계사례</x:v>
      </x:c>
      <x:c r="K74" s="160" t="str">
        <x:v>PC·콘솔게임</x:v>
      </x:c>
      <x:c r="L74" s="34" t="str">
        <x:v>강한 밈 | 완료 | 과거 인연 재소환</x:v>
      </x:c>
      <x:c r="M74" s="34" t="str">
        <x:v>S34</x:v>
      </x:c>
      <x:c r="N74" s="78" t="n">
        <x:v>2</x:v>
      </x:c>
      <x:c r="O74" s="78" t="n">
        <x:v>1</x:v>
      </x:c>
      <x:c r="P74" s="78" t="n">
        <x:v>1</x:v>
      </x:c>
      <x:c r="Q74" s="78" t="n">
        <x:v>1</x:v>
      </x:c>
      <x:c r="R74" s="78" t="n">
        <x:f>SUM(N74:P74)</x:f>
        <x:v>4</x:v>
      </x:c>
      <x:c r="S74" s="77" t="str">
        <x:f>IF(AND(N74=2,P74=2,R74&gt;=5),"핵심사례",IF(R74&gt;=3,"보조사례","경계사례"))</x:f>
        <x:v>보조사례</x:v>
      </x:c>
    </x:row>
    <x:row r="75" ht="39" customHeight="1">
      <x:c r="A75" s="67" t="str">
        <x:v>KR-X025</x:v>
      </x:c>
      <x:c r="B75" s="67" t="str">
        <x:v>EV0048</x:v>
      </x:c>
      <x:c r="C75" s="68" t="n">
        <x:v>2021</x:v>
      </x:c>
      <x:c r="D75" s="155" t="str">
        <x:v>생활·소비</x:v>
      </x:c>
      <x:c r="E75" s="67" t="str">
        <x:v>GS25 손가락 포스터 논란</x:v>
      </x:c>
      <x:c r="F75" s="67" t="str">
        <x:v>GS리테일 (007070)</x:v>
      </x:c>
      <x:c r="G75" s="67" t="str">
        <x:v>KOSPI</x:v>
      </x:c>
      <x:c r="H75" s="67" t="str">
        <x:v>하락</x:v>
      </x:c>
      <x:c r="I75" s="59" t="str">
        <x:v>5거래일 연속 하락·당일 3.35% 하락</x:v>
      </x:c>
      <x:c r="J75" s="59" t="str">
        <x:v>직접 브랜드</x:v>
      </x:c>
      <x:c r="K75" s="159" t="str">
        <x:v>유통·쇼핑</x:v>
      </x:c>
      <x:c r="L75" s="59" t="str">
        <x:v>GS25 브랜드 불매와 직접 연결</x:v>
      </x:c>
      <x:c r="M75" s="59" t="str">
        <x:v>S132;S133</x:v>
      </x:c>
      <x:c r="N75" s="76" t="n">
        <x:v>2</x:v>
      </x:c>
      <x:c r="O75" s="76" t="n">
        <x:v>2</x:v>
      </x:c>
      <x:c r="P75" s="76" t="n">
        <x:v>2</x:v>
      </x:c>
      <x:c r="Q75" s="76" t="n">
        <x:v>1</x:v>
      </x:c>
      <x:c r="R75" s="76" t="n">
        <x:f>SUM(N75:P75)</x:f>
        <x:v>6</x:v>
      </x:c>
      <x:c r="S75" s="75" t="str">
        <x:f>IF(AND(N75=2,P75=2,R75&gt;=5),"핵심사례",IF(R75&gt;=3,"보조사례","경계사례"))</x:f>
        <x:v>핵심사례</x:v>
      </x:c>
    </x:row>
    <x:row r="76" ht="39" customHeight="1">
      <x:c r="A76" s="69" t="str">
        <x:v>KR-X055</x:v>
      </x:c>
      <x:c r="B76" s="69" t="str">
        <x:v>EV0040</x:v>
      </x:c>
      <x:c r="C76" s="70" t="n">
        <x:v>2021</x:v>
      </x:c>
      <x:c r="D76" s="156" t="str">
        <x:v>금융·시장현상</x:v>
      </x:c>
      <x:c r="E76" s="69" t="str">
        <x:v>두나무 미국 상장설</x:v>
      </x:c>
      <x:c r="F76" s="69" t="str">
        <x:v>에이티넘인베스트 (021080)</x:v>
      </x:c>
      <x:c r="G76" s="69" t="str">
        <x:v>KOSDAQ</x:v>
      </x:c>
      <x:c r="H76" s="69" t="str">
        <x:v>상승</x:v>
      </x:c>
      <x:c r="I76" s="34" t="str">
        <x:v>상한가</x:v>
      </x:c>
      <x:c r="J76" s="34" t="str">
        <x:v>지분 연결</x:v>
      </x:c>
      <x:c r="K76" s="160" t="str">
        <x:v>풍문·군중매매</x:v>
      </x:c>
      <x:c r="L76" s="34" t="str">
        <x:v>상장 계획은 당시 확정되지 않음</x:v>
      </x:c>
      <x:c r="M76" s="34" t="str">
        <x:v>S151;S152</x:v>
      </x:c>
      <x:c r="N76" s="78" t="n">
        <x:v>2</x:v>
      </x:c>
      <x:c r="O76" s="78" t="n">
        <x:v>1</x:v>
      </x:c>
      <x:c r="P76" s="78" t="n">
        <x:v>2</x:v>
      </x:c>
      <x:c r="Q76" s="78" t="n">
        <x:v>1</x:v>
      </x:c>
      <x:c r="R76" s="78" t="n">
        <x:f>SUM(N76:P76)</x:f>
        <x:v>5</x:v>
      </x:c>
      <x:c r="S76" s="77" t="str">
        <x:f>IF(AND(N76=2,P76=2,R76&gt;=5),"핵심사례",IF(R76&gt;=3,"보조사례","경계사례"))</x:f>
        <x:v>핵심사례</x:v>
      </x:c>
    </x:row>
    <x:row r="77" ht="39" customHeight="1">
      <x:c r="A77" s="67" t="str">
        <x:v>KR-X056</x:v>
      </x:c>
      <x:c r="B77" s="67" t="str">
        <x:v>EV0040</x:v>
      </x:c>
      <x:c r="C77" s="68" t="n">
        <x:v>2021</x:v>
      </x:c>
      <x:c r="D77" s="155" t="str">
        <x:v>금융·시장현상</x:v>
      </x:c>
      <x:c r="E77" s="67" t="str">
        <x:v>두나무 미국 상장설</x:v>
      </x:c>
      <x:c r="F77" s="67" t="str">
        <x:v>우리기술투자 (041190)</x:v>
      </x:c>
      <x:c r="G77" s="67" t="str">
        <x:v>KOSDAQ</x:v>
      </x:c>
      <x:c r="H77" s="67" t="str">
        <x:v>상승</x:v>
      </x:c>
      <x:c r="I77" s="59" t="str">
        <x:v>상한가·급등</x:v>
      </x:c>
      <x:c r="J77" s="59" t="str">
        <x:v>지분 연결</x:v>
      </x:c>
      <x:c r="K77" s="159" t="str">
        <x:v>풍문·군중매매</x:v>
      </x:c>
      <x:c r="L77" s="59" t="str">
        <x:v>상장 계획은 당시 확정되지 않음</x:v>
      </x:c>
      <x:c r="M77" s="59" t="str">
        <x:v>S151;S152</x:v>
      </x:c>
      <x:c r="N77" s="76" t="n">
        <x:v>2</x:v>
      </x:c>
      <x:c r="O77" s="76" t="n">
        <x:v>1</x:v>
      </x:c>
      <x:c r="P77" s="76" t="n">
        <x:v>2</x:v>
      </x:c>
      <x:c r="Q77" s="76" t="n">
        <x:v>1</x:v>
      </x:c>
      <x:c r="R77" s="76" t="n">
        <x:f>SUM(N77:P77)</x:f>
        <x:v>5</x:v>
      </x:c>
      <x:c r="S77" s="75" t="str">
        <x:f>IF(AND(N77=2,P77=2,R77&gt;=5),"핵심사례",IF(R77&gt;=3,"보조사례","경계사례"))</x:f>
        <x:v>핵심사례</x:v>
      </x:c>
    </x:row>
    <x:row r="78" ht="39" customHeight="1">
      <x:c r="A78" s="69" t="str">
        <x:v>KR-X058</x:v>
      </x:c>
      <x:c r="B78" s="69" t="str">
        <x:v>EV0040</x:v>
      </x:c>
      <x:c r="C78" s="70" t="n">
        <x:v>2021</x:v>
      </x:c>
      <x:c r="D78" s="156" t="str">
        <x:v>금융·시장현상</x:v>
      </x:c>
      <x:c r="E78" s="69" t="str">
        <x:v>두나무 미국 상장설</x:v>
      </x:c>
      <x:c r="F78" s="69" t="str">
        <x:v>카카오 (035720)</x:v>
      </x:c>
      <x:c r="G78" s="69" t="str">
        <x:v>KOSPI</x:v>
      </x:c>
      <x:c r="H78" s="69" t="str">
        <x:v>상승</x:v>
      </x:c>
      <x:c r="I78" s="34" t="str">
        <x:v>지분 보유사로 동반 관심</x:v>
      </x:c>
      <x:c r="J78" s="34" t="str">
        <x:v>지분 연결</x:v>
      </x:c>
      <x:c r="K78" s="160" t="str">
        <x:v>풍문·군중매매</x:v>
      </x:c>
      <x:c r="L78" s="34" t="str">
        <x:v>상장 계획은 당시 확정되지 않음</x:v>
      </x:c>
      <x:c r="M78" s="34" t="str">
        <x:v>S151;S152</x:v>
      </x:c>
      <x:c r="N78" s="78" t="n">
        <x:v>2</x:v>
      </x:c>
      <x:c r="O78" s="78" t="n">
        <x:v>1</x:v>
      </x:c>
      <x:c r="P78" s="78" t="n">
        <x:v>1</x:v>
      </x:c>
      <x:c r="Q78" s="78" t="n">
        <x:v>1</x:v>
      </x:c>
      <x:c r="R78" s="78" t="n">
        <x:f>SUM(N78:P78)</x:f>
        <x:v>4</x:v>
      </x:c>
      <x:c r="S78" s="77" t="str">
        <x:f>IF(AND(N78=2,P78=2,R78&gt;=5),"핵심사례",IF(R78&gt;=3,"보조사례","경계사례"))</x:f>
        <x:v>보조사례</x:v>
      </x:c>
    </x:row>
    <x:row r="79" ht="39" customHeight="1">
      <x:c r="A79" s="67" t="str">
        <x:v>KR-X057</x:v>
      </x:c>
      <x:c r="B79" s="67" t="str">
        <x:v>EV0040</x:v>
      </x:c>
      <x:c r="C79" s="68" t="n">
        <x:v>2021</x:v>
      </x:c>
      <x:c r="D79" s="155" t="str">
        <x:v>금융·시장현상</x:v>
      </x:c>
      <x:c r="E79" s="67" t="str">
        <x:v>두나무 미국 상장설</x:v>
      </x:c>
      <x:c r="F79" s="67" t="str">
        <x:v>한화투자증권 (003530)</x:v>
      </x:c>
      <x:c r="G79" s="67" t="str">
        <x:v>KOSPI</x:v>
      </x:c>
      <x:c r="H79" s="67" t="str">
        <x:v>상승</x:v>
      </x:c>
      <x:c r="I79" s="59" t="str">
        <x:v>두나무 지분 기대 급등</x:v>
      </x:c>
      <x:c r="J79" s="59" t="str">
        <x:v>지분 연결</x:v>
      </x:c>
      <x:c r="K79" s="159" t="str">
        <x:v>풍문·군중매매</x:v>
      </x:c>
      <x:c r="L79" s="59" t="str">
        <x:v>상장 계획은 당시 확정되지 않음</x:v>
      </x:c>
      <x:c r="M79" s="59" t="str">
        <x:v>S151;S152</x:v>
      </x:c>
      <x:c r="N79" s="76" t="n">
        <x:v>2</x:v>
      </x:c>
      <x:c r="O79" s="76" t="n">
        <x:v>1</x:v>
      </x:c>
      <x:c r="P79" s="76" t="n">
        <x:v>1</x:v>
      </x:c>
      <x:c r="Q79" s="76" t="n">
        <x:v>1</x:v>
      </x:c>
      <x:c r="R79" s="76" t="n">
        <x:f>SUM(N79:P79)</x:f>
        <x:v>4</x:v>
      </x:c>
      <x:c r="S79" s="75" t="str">
        <x:f>IF(AND(N79=2,P79=2,R79&gt;=5),"핵심사례",IF(R79&gt;=3,"보조사례","경계사례"))</x:f>
        <x:v>보조사례</x:v>
      </x:c>
    </x:row>
    <x:row r="80" ht="39" customHeight="1">
      <x:c r="A80" s="69" t="str">
        <x:v>KR-X051</x:v>
      </x:c>
      <x:c r="B80" s="69" t="str">
        <x:v>EV0044</x:v>
      </x:c>
      <x:c r="C80" s="70" t="n">
        <x:v>2021</x:v>
      </x:c>
      <x:c r="D80" s="156" t="str">
        <x:v>금융·시장현상</x:v>
      </x:c>
      <x:c r="E80" s="69" t="str">
        <x:v>애플카-현대차 협력설→중단</x:v>
      </x:c>
      <x:c r="F80" s="69" t="str">
        <x:v>기아 (000270)</x:v>
      </x:c>
      <x:c r="G80" s="69" t="str">
        <x:v>KOSPI</x:v>
      </x:c>
      <x:c r="H80" s="69" t="str">
        <x:v>급등→급락</x:v>
      </x:c>
      <x:c r="I80" s="34" t="str">
        <x:v>협력설 뒤 약 39% 상승·중단일 약 15% 하락</x:v>
      </x:c>
      <x:c r="J80" s="34" t="str">
        <x:v>계열·공급 기대</x:v>
      </x:c>
      <x:c r="K80" s="160" t="str">
        <x:v>풍문·군중매매</x:v>
      </x:c>
      <x:c r="L80" s="34" t="str">
        <x:v>확정 계약 전 보도와 추정이 선반영</x:v>
      </x:c>
      <x:c r="M80" s="34" t="str">
        <x:v>S149;S150</x:v>
      </x:c>
      <x:c r="N80" s="78" t="n">
        <x:v>2</x:v>
      </x:c>
      <x:c r="O80" s="78" t="n">
        <x:v>1</x:v>
      </x:c>
      <x:c r="P80" s="78" t="n">
        <x:v>2</x:v>
      </x:c>
      <x:c r="Q80" s="78" t="n">
        <x:v>0</x:v>
      </x:c>
      <x:c r="R80" s="78" t="n">
        <x:f>SUM(N80:P80)</x:f>
        <x:v>5</x:v>
      </x:c>
      <x:c r="S80" s="77" t="str">
        <x:f>IF(AND(N80=2,P80=2,R80&gt;=5),"핵심사례",IF(R80&gt;=3,"보조사례","경계사례"))</x:f>
        <x:v>핵심사례</x:v>
      </x:c>
    </x:row>
    <x:row r="81" ht="39" customHeight="1">
      <x:c r="A81" s="67" t="str">
        <x:v>KR-X052</x:v>
      </x:c>
      <x:c r="B81" s="67" t="str">
        <x:v>EV0044</x:v>
      </x:c>
      <x:c r="C81" s="68" t="n">
        <x:v>2021</x:v>
      </x:c>
      <x:c r="D81" s="155" t="str">
        <x:v>금융·시장현상</x:v>
      </x:c>
      <x:c r="E81" s="67" t="str">
        <x:v>애플카-현대차 협력설→중단</x:v>
      </x:c>
      <x:c r="F81" s="67" t="str">
        <x:v>현대모비스 (012330)</x:v>
      </x:c>
      <x:c r="G81" s="67" t="str">
        <x:v>KOSPI</x:v>
      </x:c>
      <x:c r="H81" s="67" t="str">
        <x:v>급등→급락</x:v>
      </x:c>
      <x:c r="I81" s="59" t="str">
        <x:v>협력 보도일 장중 18%대 상승·중단일 8% 하락</x:v>
      </x:c>
      <x:c r="J81" s="59" t="str">
        <x:v>계열·공급 기대</x:v>
      </x:c>
      <x:c r="K81" s="159" t="str">
        <x:v>풍문·군중매매</x:v>
      </x:c>
      <x:c r="L81" s="59" t="str">
        <x:v>확정 계약 전 보도와 추정이 선반영</x:v>
      </x:c>
      <x:c r="M81" s="59" t="str">
        <x:v>S149;S150</x:v>
      </x:c>
      <x:c r="N81" s="76" t="n">
        <x:v>2</x:v>
      </x:c>
      <x:c r="O81" s="76" t="n">
        <x:v>1</x:v>
      </x:c>
      <x:c r="P81" s="76" t="n">
        <x:v>2</x:v>
      </x:c>
      <x:c r="Q81" s="76" t="n">
        <x:v>0</x:v>
      </x:c>
      <x:c r="R81" s="76" t="n">
        <x:f>SUM(N81:P81)</x:f>
        <x:v>5</x:v>
      </x:c>
      <x:c r="S81" s="75" t="str">
        <x:f>IF(AND(N81=2,P81=2,R81&gt;=5),"핵심사례",IF(R81&gt;=3,"보조사례","경계사례"))</x:f>
        <x:v>핵심사례</x:v>
      </x:c>
    </x:row>
    <x:row r="82" ht="39" customHeight="1">
      <x:c r="A82" s="69" t="str">
        <x:v>KR-X053</x:v>
      </x:c>
      <x:c r="B82" s="69" t="str">
        <x:v>EV0044</x:v>
      </x:c>
      <x:c r="C82" s="70" t="n">
        <x:v>2021</x:v>
      </x:c>
      <x:c r="D82" s="156" t="str">
        <x:v>금융·시장현상</x:v>
      </x:c>
      <x:c r="E82" s="69" t="str">
        <x:v>애플카-현대차 협력설→중단</x:v>
      </x:c>
      <x:c r="F82" s="69" t="str">
        <x:v>현대위아 (011210)</x:v>
      </x:c>
      <x:c r="G82" s="69" t="str">
        <x:v>KOSPI</x:v>
      </x:c>
      <x:c r="H82" s="69" t="str">
        <x:v>급등→급락</x:v>
      </x:c>
      <x:c r="I82" s="34" t="str">
        <x:v>협력 보도일 장중 16%대 상승</x:v>
      </x:c>
      <x:c r="J82" s="34" t="str">
        <x:v>계열·공급 기대</x:v>
      </x:c>
      <x:c r="K82" s="160" t="str">
        <x:v>풍문·군중매매</x:v>
      </x:c>
      <x:c r="L82" s="34" t="str">
        <x:v>확정 계약 전 보도와 추정이 선반영</x:v>
      </x:c>
      <x:c r="M82" s="34" t="str">
        <x:v>S149;S150</x:v>
      </x:c>
      <x:c r="N82" s="78" t="n">
        <x:v>2</x:v>
      </x:c>
      <x:c r="O82" s="78" t="n">
        <x:v>1</x:v>
      </x:c>
      <x:c r="P82" s="78" t="n">
        <x:v>2</x:v>
      </x:c>
      <x:c r="Q82" s="78" t="n">
        <x:v>0</x:v>
      </x:c>
      <x:c r="R82" s="78" t="n">
        <x:f>SUM(N82:P82)</x:f>
        <x:v>5</x:v>
      </x:c>
      <x:c r="S82" s="77" t="str">
        <x:f>IF(AND(N82=2,P82=2,R82&gt;=5),"핵심사례",IF(R82&gt;=3,"보조사례","경계사례"))</x:f>
        <x:v>핵심사례</x:v>
      </x:c>
    </x:row>
    <x:row r="83" ht="39" customHeight="1">
      <x:c r="A83" s="67" t="str">
        <x:v>KR-X050</x:v>
      </x:c>
      <x:c r="B83" s="67" t="str">
        <x:v>EV0044</x:v>
      </x:c>
      <x:c r="C83" s="68" t="n">
        <x:v>2021</x:v>
      </x:c>
      <x:c r="D83" s="155" t="str">
        <x:v>금융·시장현상</x:v>
      </x:c>
      <x:c r="E83" s="67" t="str">
        <x:v>애플카-현대차 협력설→중단</x:v>
      </x:c>
      <x:c r="F83" s="67" t="str">
        <x:v>현대차 (005380)</x:v>
      </x:c>
      <x:c r="G83" s="67" t="str">
        <x:v>KOSPI</x:v>
      </x:c>
      <x:c r="H83" s="67" t="str">
        <x:v>급등→급락</x:v>
      </x:c>
      <x:c r="I83" s="59" t="str">
        <x:v>협력설 뒤 약 25% 상승·중단일 6% 하락</x:v>
      </x:c>
      <x:c r="J83" s="59" t="str">
        <x:v>계열·공급 기대</x:v>
      </x:c>
      <x:c r="K83" s="159" t="str">
        <x:v>풍문·군중매매</x:v>
      </x:c>
      <x:c r="L83" s="59" t="str">
        <x:v>확정 계약 전 보도와 추정이 선반영</x:v>
      </x:c>
      <x:c r="M83" s="59" t="str">
        <x:v>S149;S150</x:v>
      </x:c>
      <x:c r="N83" s="76" t="n">
        <x:v>2</x:v>
      </x:c>
      <x:c r="O83" s="76" t="n">
        <x:v>1</x:v>
      </x:c>
      <x:c r="P83" s="76" t="n">
        <x:v>2</x:v>
      </x:c>
      <x:c r="Q83" s="76" t="n">
        <x:v>0</x:v>
      </x:c>
      <x:c r="R83" s="76" t="n">
        <x:f>SUM(N83:P83)</x:f>
        <x:v>5</x:v>
      </x:c>
      <x:c r="S83" s="75" t="str">
        <x:f>IF(AND(N83=2,P83=2,R83&gt;=5),"핵심사례",IF(R83&gt;=3,"보조사례","경계사례"))</x:f>
        <x:v>핵심사례</x:v>
      </x:c>
    </x:row>
    <x:row r="84" ht="39" customHeight="1">
      <x:c r="A84" s="69" t="str">
        <x:v>KR-X054</x:v>
      </x:c>
      <x:c r="B84" s="69" t="str">
        <x:v>EV0044</x:v>
      </x:c>
      <x:c r="C84" s="70" t="n">
        <x:v>2021</x:v>
      </x:c>
      <x:c r="D84" s="156" t="str">
        <x:v>금융·시장현상</x:v>
      </x:c>
      <x:c r="E84" s="69" t="str">
        <x:v>애플카-현대차 협력설→중단</x:v>
      </x:c>
      <x:c r="F84" s="69" t="str">
        <x:v>HL만도 (204320)</x:v>
      </x:c>
      <x:c r="G84" s="69" t="str">
        <x:v>KOSPI</x:v>
      </x:c>
      <x:c r="H84" s="69" t="str">
        <x:v>급등→급락</x:v>
      </x:c>
      <x:c r="I84" s="34" t="str">
        <x:v>협력 보도일 장중 12%대 상승</x:v>
      </x:c>
      <x:c r="J84" s="34" t="str">
        <x:v>계열·공급 기대</x:v>
      </x:c>
      <x:c r="K84" s="160" t="str">
        <x:v>풍문·군중매매</x:v>
      </x:c>
      <x:c r="L84" s="34" t="str">
        <x:v>확정 계약 전 보도와 추정이 선반영</x:v>
      </x:c>
      <x:c r="M84" s="34" t="str">
        <x:v>S149;S150</x:v>
      </x:c>
      <x:c r="N84" s="78" t="n">
        <x:v>2</x:v>
      </x:c>
      <x:c r="O84" s="78" t="n">
        <x:v>1</x:v>
      </x:c>
      <x:c r="P84" s="78" t="n">
        <x:v>2</x:v>
      </x:c>
      <x:c r="Q84" s="78" t="n">
        <x:v>0</x:v>
      </x:c>
      <x:c r="R84" s="78" t="n">
        <x:f>SUM(N84:P84)</x:f>
        <x:v>5</x:v>
      </x:c>
      <x:c r="S84" s="77" t="str">
        <x:f>IF(AND(N84=2,P84=2,R84&gt;=5),"핵심사례",IF(R84&gt;=3,"보조사례","경계사례"))</x:f>
        <x:v>핵심사례</x:v>
      </x:c>
    </x:row>
    <x:row r="85" ht="39" customHeight="1">
      <x:c r="A85" s="67" t="str">
        <x:v>KR-SNS012</x:v>
      </x:c>
      <x:c r="B85" s="67" t="str">
        <x:v>EV0035</x:v>
      </x:c>
      <x:c r="C85" s="68" t="n">
        <x:v>2020</x:v>
      </x:c>
      <x:c r="D85" s="155" t="str">
        <x:v>식품·음료</x:v>
      </x:c>
      <x:c r="E85" s="67" t="str">
        <x:v>기생충 짜파구리</x:v>
      </x:c>
      <x:c r="F85" s="67" t="str">
        <x:v>농심 (004370)</x:v>
      </x:c>
      <x:c r="G85" s="67" t="str">
        <x:v>KOSPI</x:v>
      </x:c>
      <x:c r="H85" s="67" t="str">
        <x:v>미확인</x:v>
      </x:c>
      <x:c r="I85" s="59" t="str">
        <x:v>농심 주가도 급등 보도; 정확 수치 미기재</x:v>
      </x:c>
      <x:c r="J85" s="59" t="str">
        <x:v>강한사례</x:v>
      </x:c>
      <x:c r="K85" s="159" t="str">
        <x:v>식품 유행 일반</x:v>
      </x:c>
      <x:c r="L85" s="59" t="str">
        <x:v>바이럴-사업직결 | 완료 | 콘텐츠 노출이 실물 소비와 주가에 동시에 연결</x:v>
      </x:c>
      <x:c r="M85" s="59" t="str">
        <x:v>S61</x:v>
      </x:c>
      <x:c r="N85" s="76" t="n">
        <x:v>2</x:v>
      </x:c>
      <x:c r="O85" s="76" t="n">
        <x:v>2</x:v>
      </x:c>
      <x:c r="P85" s="76" t="n">
        <x:v>1</x:v>
      </x:c>
      <x:c r="Q85" s="76" t="n">
        <x:v>1</x:v>
      </x:c>
      <x:c r="R85" s="76" t="n">
        <x:f>SUM(N85:P85)</x:f>
        <x:v>5</x:v>
      </x:c>
      <x:c r="S85" s="75" t="str">
        <x:f>IF(AND(N85=2,P85=2,R85&gt;=5),"핵심사례",IF(R85&gt;=3,"보조사례","경계사례"))</x:f>
        <x:v>보조사례</x:v>
      </x:c>
    </x:row>
    <x:row r="86" ht="39" customHeight="1">
      <x:c r="A86" s="69" t="str">
        <x:v>KR-X002</x:v>
      </x:c>
      <x:c r="B86" s="69" t="str">
        <x:v>EV0034</x:v>
      </x:c>
      <x:c r="C86" s="70" t="n">
        <x:v>2020</x:v>
      </x:c>
      <x:c r="D86" s="156" t="str">
        <x:v>콘텐츠·엔터</x:v>
      </x:c>
      <x:c r="E86" s="69" t="str">
        <x:v>기생충</x:v>
      </x:c>
      <x:c r="F86" s="69" t="str">
        <x:v>바른손 (018700)</x:v>
      </x:c>
      <x:c r="G86" s="69" t="str">
        <x:v>KOSDAQ</x:v>
      </x:c>
      <x:c r="H86" s="69" t="str">
        <x:v>상승</x:v>
      </x:c>
      <x:c r="I86" s="34" t="str">
        <x:v>당일 상한가</x:v>
      </x:c>
      <x:c r="J86" s="34" t="str">
        <x:v>강한사례</x:v>
      </x:c>
      <x:c r="K86" s="160" t="str">
        <x:v>영화·애니메이션</x:v>
      </x:c>
      <x:c r="L86" s="34" t="str">
        <x:v>제외-직접 사업 | 완료 | 비교용 제외 사례</x:v>
      </x:c>
      <x:c r="M86" s="34" t="str">
        <x:v>S35</x:v>
      </x:c>
      <x:c r="N86" s="78" t="n">
        <x:v>2</x:v>
      </x:c>
      <x:c r="O86" s="78" t="n">
        <x:v>1</x:v>
      </x:c>
      <x:c r="P86" s="78" t="n">
        <x:v>2</x:v>
      </x:c>
      <x:c r="Q86" s="78" t="n">
        <x:v>1</x:v>
      </x:c>
      <x:c r="R86" s="78" t="n">
        <x:f>SUM(N86:P86)</x:f>
        <x:v>5</x:v>
      </x:c>
      <x:c r="S86" s="77" t="str">
        <x:f>IF(AND(N86=2,P86=2,R86&gt;=5),"핵심사례",IF(R86&gt;=3,"보조사례","경계사례"))</x:f>
        <x:v>핵심사례</x:v>
      </x:c>
    </x:row>
    <x:row r="87" ht="39" customHeight="1">
      <x:c r="A87" s="67" t="str">
        <x:v>KR-X001</x:v>
      </x:c>
      <x:c r="B87" s="67" t="str">
        <x:v>EV0034</x:v>
      </x:c>
      <x:c r="C87" s="68" t="n">
        <x:v>2020</x:v>
      </x:c>
      <x:c r="D87" s="155" t="str">
        <x:v>콘텐츠·엔터</x:v>
      </x:c>
      <x:c r="E87" s="67" t="str">
        <x:v>기생충</x:v>
      </x:c>
      <x:c r="F87" s="67" t="str">
        <x:v>바른손이앤에이 (035620)</x:v>
      </x:c>
      <x:c r="G87" s="67" t="str">
        <x:v>KOSDAQ</x:v>
      </x:c>
      <x:c r="H87" s="67" t="str">
        <x:v>미확인</x:v>
      </x:c>
      <x:c r="I87" s="59" t="str">
        <x:v>수상 당일 급등</x:v>
      </x:c>
      <x:c r="J87" s="59" t="str">
        <x:v>경계사례</x:v>
      </x:c>
      <x:c r="K87" s="159" t="str">
        <x:v>영화·애니메이션</x:v>
      </x:c>
      <x:c r="L87" s="59" t="str">
        <x:v>제외-직접 사업 | 완료 | 순수 밈이 아니라 사업 성과</x:v>
      </x:c>
      <x:c r="M87" s="59" t="str">
        <x:v>S35</x:v>
      </x:c>
      <x:c r="N87" s="76" t="n">
        <x:v>2</x:v>
      </x:c>
      <x:c r="O87" s="76" t="n">
        <x:v>1</x:v>
      </x:c>
      <x:c r="P87" s="76" t="n">
        <x:v>1</x:v>
      </x:c>
      <x:c r="Q87" s="76" t="n">
        <x:v>1</x:v>
      </x:c>
      <x:c r="R87" s="76" t="n">
        <x:f>SUM(N87:P87)</x:f>
        <x:v>4</x:v>
      </x:c>
      <x:c r="S87" s="75" t="str">
        <x:f>IF(AND(N87=2,P87=2,R87&gt;=5),"핵심사례",IF(R87&gt;=3,"보조사례","경계사례"))</x:f>
        <x:v>보조사례</x:v>
      </x:c>
    </x:row>
    <x:row r="88" ht="39" customHeight="1">
      <x:c r="A88" s="69" t="str">
        <x:v>KR-SNS010</x:v>
      </x:c>
      <x:c r="B88" s="69" t="str">
        <x:v>EV0036</x:v>
      </x:c>
      <x:c r="C88" s="70" t="n">
        <x:v>2020</x:v>
      </x:c>
      <x:c r="D88" s="156" t="str">
        <x:v>콘텐츠·엔터</x:v>
      </x:c>
      <x:c r="E88" s="69" t="str">
        <x:v>아기상어 유튜브 세계 1위</x:v>
      </x:c>
      <x:c r="F88" s="69" t="str">
        <x:v>삼성출판사 (068290)</x:v>
      </x:c>
      <x:c r="G88" s="69" t="str">
        <x:v>KOSPI</x:v>
      </x:c>
      <x:c r="H88" s="69" t="str">
        <x:v>상승</x:v>
      </x:c>
      <x:c r="I88" s="34" t="str">
        <x:v>당일 약 10% 상승</x:v>
      </x:c>
      <x:c r="J88" s="34" t="str">
        <x:v>강한사례</x:v>
      </x:c>
      <x:c r="K88" s="160" t="str">
        <x:v>팬덤·공연</x:v>
      </x:c>
      <x:c r="L88" s="34" t="str">
        <x:v>혼합-테마 주도 | 완료 | 조회수 이벤트가 지분 테마로 번진 사례</x:v>
      </x:c>
      <x:c r="M88" s="34" t="str">
        <x:v>S59</x:v>
      </x:c>
      <x:c r="N88" s="78" t="n">
        <x:v>2</x:v>
      </x:c>
      <x:c r="O88" s="78" t="n">
        <x:v>2</x:v>
      </x:c>
      <x:c r="P88" s="78" t="n">
        <x:v>2</x:v>
      </x:c>
      <x:c r="Q88" s="78" t="n">
        <x:v>0</x:v>
      </x:c>
      <x:c r="R88" s="78" t="n">
        <x:f>SUM(N88:P88)</x:f>
        <x:v>6</x:v>
      </x:c>
      <x:c r="S88" s="77" t="str">
        <x:f>IF(AND(N88=2,P88=2,R88&gt;=5),"핵심사례",IF(R88&gt;=3,"보조사례","경계사례"))</x:f>
        <x:v>핵심사례</x:v>
      </x:c>
    </x:row>
    <x:row r="89" ht="39" customHeight="1">
      <x:c r="A89" s="67" t="str">
        <x:v>DISC-2020-09</x:v>
      </x:c>
      <x:c r="B89" s="67" t="str">
        <x:v>EV0037</x:v>
      </x:c>
      <x:c r="C89" s="68" t="n">
        <x:v>2020</x:v>
      </x:c>
      <x:c r="D89" s="155" t="str">
        <x:v>생활·소비</x:v>
      </x:c>
      <x:c r="E89" s="67" t="str">
        <x:v>온라인교육 확산</x:v>
      </x:c>
      <x:c r="F89" s="67" t="str">
        <x:v>메가엠디 (133750)</x:v>
      </x:c>
      <x:c r="G89" s="67" t="str">
        <x:v>KOSDAQ</x:v>
      </x:c>
      <x:c r="H89" s="67" t="str">
        <x:v>상승</x:v>
      </x:c>
      <x:c r="I89" s="59" t="str">
        <x:v>당일 4.82% 상승</x:v>
      </x:c>
      <x:c r="J89" s="59" t="str">
        <x:v>강한사례</x:v>
      </x:c>
      <x:c r="K89" s="159" t="str">
        <x:v>자기관리·라이프스타일</x:v>
      </x:c>
      <x:c r="L89" s="59" t="str">
        <x:v>온라인교육 직접 연결</x:v>
      </x:c>
      <x:c r="M89" s="59" t="str">
        <x:v>S109</x:v>
      </x:c>
      <x:c r="N89" s="76" t="n">
        <x:v>2</x:v>
      </x:c>
      <x:c r="O89" s="76" t="n">
        <x:v>2</x:v>
      </x:c>
      <x:c r="P89" s="76" t="n">
        <x:v>2</x:v>
      </x:c>
      <x:c r="Q89" s="76" t="n">
        <x:v>1</x:v>
      </x:c>
      <x:c r="R89" s="76" t="n">
        <x:f>SUM(N89:P89)</x:f>
        <x:v>6</x:v>
      </x:c>
      <x:c r="S89" s="75" t="str">
        <x:f>IF(AND(N89=2,P89=2,R89&gt;=5),"핵심사례",IF(R89&gt;=3,"보조사례","경계사례"))</x:f>
        <x:v>핵심사례</x:v>
      </x:c>
    </x:row>
    <x:row r="90" ht="39" customHeight="1">
      <x:c r="A90" s="69" t="str">
        <x:v>DISC-2020-10</x:v>
      </x:c>
      <x:c r="B90" s="69" t="str">
        <x:v>EV0037</x:v>
      </x:c>
      <x:c r="C90" s="70" t="n">
        <x:v>2020</x:v>
      </x:c>
      <x:c r="D90" s="156" t="str">
        <x:v>생활·소비</x:v>
      </x:c>
      <x:c r="E90" s="69" t="str">
        <x:v>온라인교육 확산</x:v>
      </x:c>
      <x:c r="F90" s="69" t="str">
        <x:v>아이스크림에듀 (289010)</x:v>
      </x:c>
      <x:c r="G90" s="69" t="str">
        <x:v>KOSDAQ</x:v>
      </x:c>
      <x:c r="H90" s="69" t="str">
        <x:v>상승</x:v>
      </x:c>
      <x:c r="I90" s="34" t="str">
        <x:v>당일 2.41% 상승</x:v>
      </x:c>
      <x:c r="J90" s="34" t="str">
        <x:v>강한사례</x:v>
      </x:c>
      <x:c r="K90" s="160" t="str">
        <x:v>자기관리·라이프스타일</x:v>
      </x:c>
      <x:c r="L90" s="34" t="str">
        <x:v>초등 에듀테크 직접 연결</x:v>
      </x:c>
      <x:c r="M90" s="34" t="str">
        <x:v>S109</x:v>
      </x:c>
      <x:c r="N90" s="78" t="n">
        <x:v>2</x:v>
      </x:c>
      <x:c r="O90" s="78" t="n">
        <x:v>2</x:v>
      </x:c>
      <x:c r="P90" s="78" t="n">
        <x:v>2</x:v>
      </x:c>
      <x:c r="Q90" s="78" t="n">
        <x:v>1</x:v>
      </x:c>
      <x:c r="R90" s="78" t="n">
        <x:f>SUM(N90:P90)</x:f>
        <x:v>6</x:v>
      </x:c>
      <x:c r="S90" s="77" t="str">
        <x:f>IF(AND(N90=2,P90=2,R90&gt;=5),"핵심사례",IF(R90&gt;=3,"보조사례","경계사례"))</x:f>
        <x:v>핵심사례</x:v>
      </x:c>
    </x:row>
    <x:row r="91" ht="39" customHeight="1">
      <x:c r="A91" s="67" t="str">
        <x:v>DISC-2020-08</x:v>
      </x:c>
      <x:c r="B91" s="67" t="str">
        <x:v>EV0037</x:v>
      </x:c>
      <x:c r="C91" s="68" t="n">
        <x:v>2020</x:v>
      </x:c>
      <x:c r="D91" s="155" t="str">
        <x:v>생활·소비</x:v>
      </x:c>
      <x:c r="E91" s="67" t="str">
        <x:v>온라인교육 확산</x:v>
      </x:c>
      <x:c r="F91" s="67" t="str">
        <x:v>YBM넷 (057030)</x:v>
      </x:c>
      <x:c r="G91" s="67" t="str">
        <x:v>KOSDAQ</x:v>
      </x:c>
      <x:c r="H91" s="67" t="str">
        <x:v>상승</x:v>
      </x:c>
      <x:c r="I91" s="59" t="str">
        <x:v>당일 4.93% 상승</x:v>
      </x:c>
      <x:c r="J91" s="59" t="str">
        <x:v>강한사례</x:v>
      </x:c>
      <x:c r="K91" s="159" t="str">
        <x:v>자기관리·라이프스타일</x:v>
      </x:c>
      <x:c r="L91" s="59" t="str">
        <x:v>온라인교육 직접 연결</x:v>
      </x:c>
      <x:c r="M91" s="59" t="str">
        <x:v>S109</x:v>
      </x:c>
      <x:c r="N91" s="76" t="n">
        <x:v>2</x:v>
      </x:c>
      <x:c r="O91" s="76" t="n">
        <x:v>2</x:v>
      </x:c>
      <x:c r="P91" s="76" t="n">
        <x:v>2</x:v>
      </x:c>
      <x:c r="Q91" s="76" t="n">
        <x:v>1</x:v>
      </x:c>
      <x:c r="R91" s="76" t="n">
        <x:f>SUM(N91:P91)</x:f>
        <x:v>6</x:v>
      </x:c>
      <x:c r="S91" s="75" t="str">
        <x:f>IF(AND(N91=2,P91=2,R91&gt;=5),"핵심사례",IF(R91&gt;=3,"보조사례","경계사례"))</x:f>
        <x:v>핵심사례</x:v>
      </x:c>
    </x:row>
    <x:row r="92" ht="39" customHeight="1">
      <x:c r="A92" s="69" t="str">
        <x:v>DISC-2020-06</x:v>
      </x:c>
      <x:c r="B92" s="69" t="str">
        <x:v>EV0038</x:v>
      </x:c>
      <x:c r="C92" s="70" t="n">
        <x:v>2020</x:v>
      </x:c>
      <x:c r="D92" s="156" t="str">
        <x:v>생활·소비</x:v>
      </x:c>
      <x:c r="E92" s="69" t="str">
        <x:v>재택근무 확산</x:v>
      </x:c>
      <x:c r="F92" s="69" t="str">
        <x:v>링네트 (042500)</x:v>
      </x:c>
      <x:c r="G92" s="69" t="str">
        <x:v>KOSDAQ</x:v>
      </x:c>
      <x:c r="H92" s="69" t="str">
        <x:v>상승</x:v>
      </x:c>
      <x:c r="I92" s="34" t="str">
        <x:v>당일 8.04% 상승</x:v>
      </x:c>
      <x:c r="J92" s="34" t="str">
        <x:v>강한사례</x:v>
      </x:c>
      <x:c r="K92" s="160" t="str">
        <x:v>자기관리·라이프스타일</x:v>
      </x:c>
      <x:c r="L92" s="34" t="str">
        <x:v>네트워크 인프라 연결</x:v>
      </x:c>
      <x:c r="M92" s="34" t="str">
        <x:v>S109</x:v>
      </x:c>
      <x:c r="N92" s="78" t="n">
        <x:v>2</x:v>
      </x:c>
      <x:c r="O92" s="78" t="n">
        <x:v>2</x:v>
      </x:c>
      <x:c r="P92" s="78" t="n">
        <x:v>2</x:v>
      </x:c>
      <x:c r="Q92" s="78" t="n">
        <x:v>1</x:v>
      </x:c>
      <x:c r="R92" s="78" t="n">
        <x:f>SUM(N92:P92)</x:f>
        <x:v>6</x:v>
      </x:c>
      <x:c r="S92" s="77" t="str">
        <x:f>IF(AND(N92=2,P92=2,R92&gt;=5),"핵심사례",IF(R92&gt;=3,"보조사례","경계사례"))</x:f>
        <x:v>핵심사례</x:v>
      </x:c>
    </x:row>
    <x:row r="93" ht="39" customHeight="1">
      <x:c r="A93" s="67" t="str">
        <x:v>DISC-2020-05</x:v>
      </x:c>
      <x:c r="B93" s="67" t="str">
        <x:v>EV0038</x:v>
      </x:c>
      <x:c r="C93" s="68" t="n">
        <x:v>2020</x:v>
      </x:c>
      <x:c r="D93" s="155" t="str">
        <x:v>생활·소비</x:v>
      </x:c>
      <x:c r="E93" s="67" t="str">
        <x:v>재택근무 확산</x:v>
      </x:c>
      <x:c r="F93" s="67" t="str">
        <x:v>소프트캠프 (258790)</x:v>
      </x:c>
      <x:c r="G93" s="67" t="str">
        <x:v>KOSDAQ</x:v>
      </x:c>
      <x:c r="H93" s="67" t="str">
        <x:v>상승</x:v>
      </x:c>
      <x:c r="I93" s="59" t="str">
        <x:v>당일 11.46% 상승</x:v>
      </x:c>
      <x:c r="J93" s="59" t="str">
        <x:v>강한사례</x:v>
      </x:c>
      <x:c r="K93" s="159" t="str">
        <x:v>자기관리·라이프스타일</x:v>
      </x:c>
      <x:c r="L93" s="59" t="str">
        <x:v>원격보안 직접 연결</x:v>
      </x:c>
      <x:c r="M93" s="59" t="str">
        <x:v>S109</x:v>
      </x:c>
      <x:c r="N93" s="76" t="n">
        <x:v>2</x:v>
      </x:c>
      <x:c r="O93" s="76" t="n">
        <x:v>2</x:v>
      </x:c>
      <x:c r="P93" s="76" t="n">
        <x:v>2</x:v>
      </x:c>
      <x:c r="Q93" s="76" t="n">
        <x:v>1</x:v>
      </x:c>
      <x:c r="R93" s="76" t="n">
        <x:f>SUM(N93:P93)</x:f>
        <x:v>6</x:v>
      </x:c>
      <x:c r="S93" s="75" t="str">
        <x:f>IF(AND(N93=2,P93=2,R93&gt;=5),"핵심사례",IF(R93&gt;=3,"보조사례","경계사례"))</x:f>
        <x:v>핵심사례</x:v>
      </x:c>
    </x:row>
    <x:row r="94" ht="39" customHeight="1">
      <x:c r="A94" s="69" t="str">
        <x:v>DISC-2020-07</x:v>
      </x:c>
      <x:c r="B94" s="69" t="str">
        <x:v>EV0038</x:v>
      </x:c>
      <x:c r="C94" s="70" t="n">
        <x:v>2020</x:v>
      </x:c>
      <x:c r="D94" s="156" t="str">
        <x:v>생활·소비</x:v>
      </x:c>
      <x:c r="E94" s="69" t="str">
        <x:v>재택근무 확산</x:v>
      </x:c>
      <x:c r="F94" s="69" t="str">
        <x:v>알서포트 (131370)</x:v>
      </x:c>
      <x:c r="G94" s="69" t="str">
        <x:v>KOSDAQ</x:v>
      </x:c>
      <x:c r="H94" s="69" t="str">
        <x:v>상승</x:v>
      </x:c>
      <x:c r="I94" s="34" t="str">
        <x:v>당일 6.58% 상승</x:v>
      </x:c>
      <x:c r="J94" s="34" t="str">
        <x:v>강한사례</x:v>
      </x:c>
      <x:c r="K94" s="160" t="str">
        <x:v>자기관리·라이프스타일</x:v>
      </x:c>
      <x:c r="L94" s="34" t="str">
        <x:v>원격지원 직접 연결</x:v>
      </x:c>
      <x:c r="M94" s="34" t="str">
        <x:v>S109</x:v>
      </x:c>
      <x:c r="N94" s="78" t="n">
        <x:v>2</x:v>
      </x:c>
      <x:c r="O94" s="78" t="n">
        <x:v>2</x:v>
      </x:c>
      <x:c r="P94" s="78" t="n">
        <x:v>2</x:v>
      </x:c>
      <x:c r="Q94" s="78" t="n">
        <x:v>1</x:v>
      </x:c>
      <x:c r="R94" s="78" t="n">
        <x:f>SUM(N94:P94)</x:f>
        <x:v>6</x:v>
      </x:c>
      <x:c r="S94" s="77" t="str">
        <x:f>IF(AND(N94=2,P94=2,R94&gt;=5),"핵심사례",IF(R94&gt;=3,"보조사례","경계사례"))</x:f>
        <x:v>핵심사례</x:v>
      </x:c>
    </x:row>
    <x:row r="95" ht="39" customHeight="1">
      <x:c r="A95" s="67" t="str">
        <x:v>DISC-2020-03</x:v>
      </x:c>
      <x:c r="B95" s="67" t="str">
        <x:v>EV0039</x:v>
      </x:c>
      <x:c r="C95" s="68" t="n">
        <x:v>2020</x:v>
      </x:c>
      <x:c r="D95" s="155" t="str">
        <x:v>스포츠·건강</x:v>
      </x:c>
      <x:c r="E95" s="67" t="str">
        <x:v>코로나19 진단 수요</x:v>
      </x:c>
      <x:c r="F95" s="67" t="str">
        <x:v>랩지노믹스 (084650)</x:v>
      </x:c>
      <x:c r="G95" s="67" t="str">
        <x:v>KOSDAQ</x:v>
      </x:c>
      <x:c r="H95" s="67" t="str">
        <x:v>상승</x:v>
      </x:c>
      <x:c r="I95" s="59" t="str">
        <x:v>2020 상반기 약 388% 상승</x:v>
      </x:c>
      <x:c r="J95" s="59" t="str">
        <x:v>강한사례</x:v>
      </x:c>
      <x:c r="K95" s="159" t="str">
        <x:v>건강·방역</x:v>
      </x:c>
      <x:c r="L95" s="59" t="str">
        <x:v>진단검사 직접 수혜</x:v>
      </x:c>
      <x:c r="M95" s="59" t="str">
        <x:v>S108</x:v>
      </x:c>
      <x:c r="N95" s="76" t="n">
        <x:v>2</x:v>
      </x:c>
      <x:c r="O95" s="76" t="n">
        <x:v>2</x:v>
      </x:c>
      <x:c r="P95" s="76" t="n">
        <x:v>2</x:v>
      </x:c>
      <x:c r="Q95" s="76" t="n">
        <x:v>2</x:v>
      </x:c>
      <x:c r="R95" s="76" t="n">
        <x:f>SUM(N95:P95)</x:f>
        <x:v>6</x:v>
      </x:c>
      <x:c r="S95" s="75" t="str">
        <x:f>IF(AND(N95=2,P95=2,R95&gt;=5),"핵심사례",IF(R95&gt;=3,"보조사례","경계사례"))</x:f>
        <x:v>핵심사례</x:v>
      </x:c>
    </x:row>
    <x:row r="96" ht="39" customHeight="1">
      <x:c r="A96" s="69" t="str">
        <x:v>DISC-2020-01</x:v>
      </x:c>
      <x:c r="B96" s="69" t="str">
        <x:v>EV0039</x:v>
      </x:c>
      <x:c r="C96" s="70" t="n">
        <x:v>2020</x:v>
      </x:c>
      <x:c r="D96" s="156" t="str">
        <x:v>스포츠·건강</x:v>
      </x:c>
      <x:c r="E96" s="69" t="str">
        <x:v>코로나19 진단 수요</x:v>
      </x:c>
      <x:c r="F96" s="69" t="str">
        <x:v>맥아이씨에스 (058110)</x:v>
      </x:c>
      <x:c r="G96" s="69" t="str">
        <x:v>KOSDAQ</x:v>
      </x:c>
      <x:c r="H96" s="69" t="str">
        <x:v>상승</x:v>
      </x:c>
      <x:c r="I96" s="34" t="str">
        <x:v>2020 상반기 약 690% 상승</x:v>
      </x:c>
      <x:c r="J96" s="34" t="str">
        <x:v>강한사례</x:v>
      </x:c>
      <x:c r="K96" s="160" t="str">
        <x:v>건강·방역</x:v>
      </x:c>
      <x:c r="L96" s="34" t="str">
        <x:v>호흡기 의료기기·실적 동반</x:v>
      </x:c>
      <x:c r="M96" s="34" t="str">
        <x:v>S108</x:v>
      </x:c>
      <x:c r="N96" s="78" t="n">
        <x:v>2</x:v>
      </x:c>
      <x:c r="O96" s="78" t="n">
        <x:v>2</x:v>
      </x:c>
      <x:c r="P96" s="78" t="n">
        <x:v>2</x:v>
      </x:c>
      <x:c r="Q96" s="78" t="n">
        <x:v>2</x:v>
      </x:c>
      <x:c r="R96" s="78" t="n">
        <x:f>SUM(N96:P96)</x:f>
        <x:v>6</x:v>
      </x:c>
      <x:c r="S96" s="77" t="str">
        <x:f>IF(AND(N96=2,P96=2,R96&gt;=5),"핵심사례",IF(R96&gt;=3,"보조사례","경계사례"))</x:f>
        <x:v>핵심사례</x:v>
      </x:c>
    </x:row>
    <x:row r="97" ht="39" customHeight="1">
      <x:c r="A97" s="67" t="str">
        <x:v>DISC-2020-02</x:v>
      </x:c>
      <x:c r="B97" s="67" t="str">
        <x:v>EV0039</x:v>
      </x:c>
      <x:c r="C97" s="68" t="n">
        <x:v>2020</x:v>
      </x:c>
      <x:c r="D97" s="155" t="str">
        <x:v>스포츠·건강</x:v>
      </x:c>
      <x:c r="E97" s="67" t="str">
        <x:v>코로나19 진단 수요</x:v>
      </x:c>
      <x:c r="F97" s="67" t="str">
        <x:v>수젠텍 (253840)</x:v>
      </x:c>
      <x:c r="G97" s="67" t="str">
        <x:v>KOSDAQ</x:v>
      </x:c>
      <x:c r="H97" s="67" t="str">
        <x:v>상승</x:v>
      </x:c>
      <x:c r="I97" s="59" t="str">
        <x:v>2020 상반기 약 402% 상승</x:v>
      </x:c>
      <x:c r="J97" s="59" t="str">
        <x:v>강한사례</x:v>
      </x:c>
      <x:c r="K97" s="159" t="str">
        <x:v>건강·방역</x:v>
      </x:c>
      <x:c r="L97" s="59" t="str">
        <x:v>진단키트 직접 수혜</x:v>
      </x:c>
      <x:c r="M97" s="59" t="str">
        <x:v>S108</x:v>
      </x:c>
      <x:c r="N97" s="76" t="n">
        <x:v>2</x:v>
      </x:c>
      <x:c r="O97" s="76" t="n">
        <x:v>2</x:v>
      </x:c>
      <x:c r="P97" s="76" t="n">
        <x:v>2</x:v>
      </x:c>
      <x:c r="Q97" s="76" t="n">
        <x:v>2</x:v>
      </x:c>
      <x:c r="R97" s="76" t="n">
        <x:f>SUM(N97:P97)</x:f>
        <x:v>6</x:v>
      </x:c>
      <x:c r="S97" s="75" t="str">
        <x:f>IF(AND(N97=2,P97=2,R97&gt;=5),"핵심사례",IF(R97&gt;=3,"보조사례","경계사례"))</x:f>
        <x:v>핵심사례</x:v>
      </x:c>
    </x:row>
    <x:row r="98" ht="39" customHeight="1">
      <x:c r="A98" s="69" t="str">
        <x:v>DISC-2020-04</x:v>
      </x:c>
      <x:c r="B98" s="69" t="str">
        <x:v>EV0039</x:v>
      </x:c>
      <x:c r="C98" s="70" t="n">
        <x:v>2020</x:v>
      </x:c>
      <x:c r="D98" s="156" t="str">
        <x:v>스포츠·건강</x:v>
      </x:c>
      <x:c r="E98" s="69" t="str">
        <x:v>코로나19 진단 수요</x:v>
      </x:c>
      <x:c r="F98" s="69" t="str">
        <x:v>씨젠 (096530)</x:v>
      </x:c>
      <x:c r="G98" s="69" t="str">
        <x:v>KOSDAQ</x:v>
      </x:c>
      <x:c r="H98" s="69" t="str">
        <x:v>상승</x:v>
      </x:c>
      <x:c r="I98" s="34" t="str">
        <x:v>2020 상반기 약 277% 상승</x:v>
      </x:c>
      <x:c r="J98" s="34" t="str">
        <x:v>강한사례</x:v>
      </x:c>
      <x:c r="K98" s="160" t="str">
        <x:v>건강·방역</x:v>
      </x:c>
      <x:c r="L98" s="34" t="str">
        <x:v>실적과 대중 관심이 함께 작동</x:v>
      </x:c>
      <x:c r="M98" s="34" t="str">
        <x:v>S108</x:v>
      </x:c>
      <x:c r="N98" s="78" t="n">
        <x:v>2</x:v>
      </x:c>
      <x:c r="O98" s="78" t="n">
        <x:v>2</x:v>
      </x:c>
      <x:c r="P98" s="78" t="n">
        <x:v>2</x:v>
      </x:c>
      <x:c r="Q98" s="78" t="n">
        <x:v>2</x:v>
      </x:c>
      <x:c r="R98" s="78" t="n">
        <x:f>SUM(N98:P98)</x:f>
        <x:v>6</x:v>
      </x:c>
      <x:c r="S98" s="77" t="str">
        <x:f>IF(AND(N98=2,P98=2,R98&gt;=5),"핵심사례",IF(R98&gt;=3,"보조사례","경계사례"))</x:f>
        <x:v>핵심사례</x:v>
      </x:c>
    </x:row>
    <x:row r="99" ht="39" customHeight="1">
      <x:c r="A99" s="67" t="str">
        <x:v>KR-X020</x:v>
      </x:c>
      <x:c r="B99" s="67" t="str">
        <x:v>EV0032</x:v>
      </x:c>
      <x:c r="C99" s="68" t="n">
        <x:v>2020</x:v>
      </x:c>
      <x:c r="D99" s="155" t="str">
        <x:v>금융·시장현상</x:v>
      </x:c>
      <x:c r="E99" s="67" t="str">
        <x:v>2020 우선주 광풍</x:v>
      </x:c>
      <x:c r="F99" s="67" t="str">
        <x:v>남양유업우</x:v>
      </x:c>
      <x:c r="G99" s="67" t="str">
        <x:v>KOSPI</x:v>
      </x:c>
      <x:c r="H99" s="67" t="str">
        <x:v>상승</x:v>
      </x:c>
      <x:c r="I99" s="59" t="str">
        <x:v>상한가</x:v>
      </x:c>
      <x:c r="J99" s="59" t="str">
        <x:v>수급·테마</x:v>
      </x:c>
      <x:c r="K99" s="159" t="str">
        <x:v>품절주·수급</x:v>
      </x:c>
      <x:c r="L99" s="59" t="str">
        <x:v>실적보다 저유통·추종매수 영향</x:v>
      </x:c>
      <x:c r="M99" s="59" t="str">
        <x:v>S125;S126</x:v>
      </x:c>
      <x:c r="N99" s="76" t="n">
        <x:v>2</x:v>
      </x:c>
      <x:c r="O99" s="76" t="n">
        <x:v>0</x:v>
      </x:c>
      <x:c r="P99" s="76" t="n">
        <x:v>2</x:v>
      </x:c>
      <x:c r="Q99" s="76" t="n">
        <x:v>0</x:v>
      </x:c>
      <x:c r="R99" s="76" t="n">
        <x:f>SUM(N99:P99)</x:f>
        <x:v>4</x:v>
      </x:c>
      <x:c r="S99" s="75" t="str">
        <x:f>IF(AND(N99=2,P99=2,R99&gt;=5),"핵심사례",IF(R99&gt;=3,"보조사례","경계사례"))</x:f>
        <x:v>보조사례</x:v>
      </x:c>
    </x:row>
    <x:row r="100" ht="39" customHeight="1">
      <x:c r="A100" s="69" t="str">
        <x:v>KR-X019</x:v>
      </x:c>
      <x:c r="B100" s="69" t="str">
        <x:v>EV0032</x:v>
      </x:c>
      <x:c r="C100" s="70" t="n">
        <x:v>2020</x:v>
      </x:c>
      <x:c r="D100" s="156" t="str">
        <x:v>금융·시장현상</x:v>
      </x:c>
      <x:c r="E100" s="69" t="str">
        <x:v>2020 우선주 광풍</x:v>
      </x:c>
      <x:c r="F100" s="69" t="str">
        <x:v>넥센우</x:v>
      </x:c>
      <x:c r="G100" s="69" t="str">
        <x:v>KOSPI</x:v>
      </x:c>
      <x:c r="H100" s="69" t="str">
        <x:v>상승</x:v>
      </x:c>
      <x:c r="I100" s="34" t="str">
        <x:v>상한가</x:v>
      </x:c>
      <x:c r="J100" s="34" t="str">
        <x:v>수급·테마</x:v>
      </x:c>
      <x:c r="K100" s="160" t="str">
        <x:v>품절주·수급</x:v>
      </x:c>
      <x:c r="L100" s="34" t="str">
        <x:v>실적보다 저유통·추종매수 영향</x:v>
      </x:c>
      <x:c r="M100" s="34" t="str">
        <x:v>S125;S126</x:v>
      </x:c>
      <x:c r="N100" s="78" t="n">
        <x:v>2</x:v>
      </x:c>
      <x:c r="O100" s="78" t="n">
        <x:v>0</x:v>
      </x:c>
      <x:c r="P100" s="78" t="n">
        <x:v>2</x:v>
      </x:c>
      <x:c r="Q100" s="78" t="n">
        <x:v>0</x:v>
      </x:c>
      <x:c r="R100" s="78" t="n">
        <x:f>SUM(N100:P100)</x:f>
        <x:v>4</x:v>
      </x:c>
      <x:c r="S100" s="77" t="str">
        <x:f>IF(AND(N100=2,P100=2,R100&gt;=5),"핵심사례",IF(R100&gt;=3,"보조사례","경계사례"))</x:f>
        <x:v>보조사례</x:v>
      </x:c>
    </x:row>
    <x:row r="101" ht="39" customHeight="1">
      <x:c r="A101" s="67" t="str">
        <x:v>KR-X018</x:v>
      </x:c>
      <x:c r="B101" s="67" t="str">
        <x:v>EV0032</x:v>
      </x:c>
      <x:c r="C101" s="68" t="n">
        <x:v>2020</x:v>
      </x:c>
      <x:c r="D101" s="155" t="str">
        <x:v>금융·시장현상</x:v>
      </x:c>
      <x:c r="E101" s="67" t="str">
        <x:v>2020 우선주 광풍</x:v>
      </x:c>
      <x:c r="F101" s="67" t="str">
        <x:v>두산2우B</x:v>
      </x:c>
      <x:c r="G101" s="67" t="str">
        <x:v>KOSPI</x:v>
      </x:c>
      <x:c r="H101" s="67" t="str">
        <x:v>상승</x:v>
      </x:c>
      <x:c r="I101" s="59" t="str">
        <x:v>상한가</x:v>
      </x:c>
      <x:c r="J101" s="59" t="str">
        <x:v>수급·테마</x:v>
      </x:c>
      <x:c r="K101" s="159" t="str">
        <x:v>품절주·수급</x:v>
      </x:c>
      <x:c r="L101" s="59" t="str">
        <x:v>실적보다 저유통·추종매수 영향</x:v>
      </x:c>
      <x:c r="M101" s="59" t="str">
        <x:v>S125;S126</x:v>
      </x:c>
      <x:c r="N101" s="76" t="n">
        <x:v>2</x:v>
      </x:c>
      <x:c r="O101" s="76" t="n">
        <x:v>0</x:v>
      </x:c>
      <x:c r="P101" s="76" t="n">
        <x:v>2</x:v>
      </x:c>
      <x:c r="Q101" s="76" t="n">
        <x:v>0</x:v>
      </x:c>
      <x:c r="R101" s="76" t="n">
        <x:f>SUM(N101:P101)</x:f>
        <x:v>4</x:v>
      </x:c>
      <x:c r="S101" s="75" t="str">
        <x:f>IF(AND(N101=2,P101=2,R101&gt;=5),"핵심사례",IF(R101&gt;=3,"보조사례","경계사례"))</x:f>
        <x:v>보조사례</x:v>
      </x:c>
    </x:row>
    <x:row r="102" ht="39" customHeight="1">
      <x:c r="A102" s="69" t="str">
        <x:v>KR-X014</x:v>
      </x:c>
      <x:c r="B102" s="69" t="str">
        <x:v>EV0032</x:v>
      </x:c>
      <x:c r="C102" s="70" t="n">
        <x:v>2020</x:v>
      </x:c>
      <x:c r="D102" s="156" t="str">
        <x:v>금융·시장현상</x:v>
      </x:c>
      <x:c r="E102" s="69" t="str">
        <x:v>2020 우선주 광풍</x:v>
      </x:c>
      <x:c r="F102" s="69" t="str">
        <x:v>삼성중공업우</x:v>
      </x:c>
      <x:c r="G102" s="69" t="str">
        <x:v>KOSPI</x:v>
      </x:c>
      <x:c r="H102" s="69" t="str">
        <x:v>상승</x:v>
      </x:c>
      <x:c r="I102" s="34" t="str">
        <x:v>10연속 상한가·약 13.7배</x:v>
      </x:c>
      <x:c r="J102" s="34" t="str">
        <x:v>수급·테마</x:v>
      </x:c>
      <x:c r="K102" s="160" t="str">
        <x:v>품절주·수급</x:v>
      </x:c>
      <x:c r="L102" s="34" t="str">
        <x:v>실적보다 저유통·추종매수 영향</x:v>
      </x:c>
      <x:c r="M102" s="34" t="str">
        <x:v>S125;S126</x:v>
      </x:c>
      <x:c r="N102" s="78" t="n">
        <x:v>2</x:v>
      </x:c>
      <x:c r="O102" s="78" t="n">
        <x:v>0</x:v>
      </x:c>
      <x:c r="P102" s="78" t="n">
        <x:v>2</x:v>
      </x:c>
      <x:c r="Q102" s="78" t="n">
        <x:v>0</x:v>
      </x:c>
      <x:c r="R102" s="78" t="n">
        <x:f>SUM(N102:P102)</x:f>
        <x:v>4</x:v>
      </x:c>
      <x:c r="S102" s="77" t="str">
        <x:f>IF(AND(N102=2,P102=2,R102&gt;=5),"핵심사례",IF(R102&gt;=3,"보조사례","경계사례"))</x:f>
        <x:v>보조사례</x:v>
      </x:c>
    </x:row>
    <x:row r="103" ht="39" customHeight="1">
      <x:c r="A103" s="67" t="str">
        <x:v>KR-X017</x:v>
      </x:c>
      <x:c r="B103" s="67" t="str">
        <x:v>EV0032</x:v>
      </x:c>
      <x:c r="C103" s="68" t="n">
        <x:v>2020</x:v>
      </x:c>
      <x:c r="D103" s="155" t="str">
        <x:v>금융·시장현상</x:v>
      </x:c>
      <x:c r="E103" s="67" t="str">
        <x:v>2020 우선주 광풍</x:v>
      </x:c>
      <x:c r="F103" s="67" t="str">
        <x:v>일양약품우</x:v>
      </x:c>
      <x:c r="G103" s="67" t="str">
        <x:v>KOSPI</x:v>
      </x:c>
      <x:c r="H103" s="67" t="str">
        <x:v>상승</x:v>
      </x:c>
      <x:c r="I103" s="59" t="str">
        <x:v>상한가</x:v>
      </x:c>
      <x:c r="J103" s="59" t="str">
        <x:v>수급·테마</x:v>
      </x:c>
      <x:c r="K103" s="159" t="str">
        <x:v>품절주·수급</x:v>
      </x:c>
      <x:c r="L103" s="59" t="str">
        <x:v>실적보다 저유통·추종매수 영향</x:v>
      </x:c>
      <x:c r="M103" s="59" t="str">
        <x:v>S125;S126</x:v>
      </x:c>
      <x:c r="N103" s="76" t="n">
        <x:v>2</x:v>
      </x:c>
      <x:c r="O103" s="76" t="n">
        <x:v>0</x:v>
      </x:c>
      <x:c r="P103" s="76" t="n">
        <x:v>2</x:v>
      </x:c>
      <x:c r="Q103" s="76" t="n">
        <x:v>0</x:v>
      </x:c>
      <x:c r="R103" s="76" t="n">
        <x:f>SUM(N103:P103)</x:f>
        <x:v>4</x:v>
      </x:c>
      <x:c r="S103" s="75" t="str">
        <x:f>IF(AND(N103=2,P103=2,R103&gt;=5),"핵심사례",IF(R103&gt;=3,"보조사례","경계사례"))</x:f>
        <x:v>보조사례</x:v>
      </x:c>
    </x:row>
    <x:row r="104" ht="39" customHeight="1">
      <x:c r="A104" s="69" t="str">
        <x:v>KR-X015</x:v>
      </x:c>
      <x:c r="B104" s="69" t="str">
        <x:v>EV0032</x:v>
      </x:c>
      <x:c r="C104" s="70" t="n">
        <x:v>2020</x:v>
      </x:c>
      <x:c r="D104" s="156" t="str">
        <x:v>금융·시장현상</x:v>
      </x:c>
      <x:c r="E104" s="69" t="str">
        <x:v>2020 우선주 광풍</x:v>
      </x:c>
      <x:c r="F104" s="69" t="str">
        <x:v>한화우</x:v>
      </x:c>
      <x:c r="G104" s="69" t="str">
        <x:v>KOSPI</x:v>
      </x:c>
      <x:c r="H104" s="69" t="str">
        <x:v>상승</x:v>
      </x:c>
      <x:c r="I104" s="34" t="str">
        <x:v>상한가</x:v>
      </x:c>
      <x:c r="J104" s="34" t="str">
        <x:v>수급·테마</x:v>
      </x:c>
      <x:c r="K104" s="160" t="str">
        <x:v>품절주·수급</x:v>
      </x:c>
      <x:c r="L104" s="34" t="str">
        <x:v>실적보다 저유통·추종매수 영향</x:v>
      </x:c>
      <x:c r="M104" s="34" t="str">
        <x:v>S125;S126</x:v>
      </x:c>
      <x:c r="N104" s="78" t="n">
        <x:v>2</x:v>
      </x:c>
      <x:c r="O104" s="78" t="n">
        <x:v>0</x:v>
      </x:c>
      <x:c r="P104" s="78" t="n">
        <x:v>2</x:v>
      </x:c>
      <x:c r="Q104" s="78" t="n">
        <x:v>0</x:v>
      </x:c>
      <x:c r="R104" s="78" t="n">
        <x:f>SUM(N104:P104)</x:f>
        <x:v>4</x:v>
      </x:c>
      <x:c r="S104" s="77" t="str">
        <x:f>IF(AND(N104=2,P104=2,R104&gt;=5),"핵심사례",IF(R104&gt;=3,"보조사례","경계사례"))</x:f>
        <x:v>보조사례</x:v>
      </x:c>
    </x:row>
    <x:row r="105" ht="39" customHeight="1">
      <x:c r="A105" s="67" t="str">
        <x:v>KR-X016</x:v>
      </x:c>
      <x:c r="B105" s="67" t="str">
        <x:v>EV0032</x:v>
      </x:c>
      <x:c r="C105" s="68" t="n">
        <x:v>2020</x:v>
      </x:c>
      <x:c r="D105" s="155" t="str">
        <x:v>금융·시장현상</x:v>
      </x:c>
      <x:c r="E105" s="67" t="str">
        <x:v>2020 우선주 광풍</x:v>
      </x:c>
      <x:c r="F105" s="67" t="str">
        <x:v>한화투자증권우</x:v>
      </x:c>
      <x:c r="G105" s="67" t="str">
        <x:v>KOSPI</x:v>
      </x:c>
      <x:c r="H105" s="67" t="str">
        <x:v>상승</x:v>
      </x:c>
      <x:c r="I105" s="59" t="str">
        <x:v>상한가</x:v>
      </x:c>
      <x:c r="J105" s="59" t="str">
        <x:v>수급·테마</x:v>
      </x:c>
      <x:c r="K105" s="159" t="str">
        <x:v>품절주·수급</x:v>
      </x:c>
      <x:c r="L105" s="59" t="str">
        <x:v>실적보다 저유통·추종매수 영향</x:v>
      </x:c>
      <x:c r="M105" s="59" t="str">
        <x:v>S125;S126</x:v>
      </x:c>
      <x:c r="N105" s="76" t="n">
        <x:v>2</x:v>
      </x:c>
      <x:c r="O105" s="76" t="n">
        <x:v>0</x:v>
      </x:c>
      <x:c r="P105" s="76" t="n">
        <x:v>2</x:v>
      </x:c>
      <x:c r="Q105" s="76" t="n">
        <x:v>0</x:v>
      </x:c>
      <x:c r="R105" s="76" t="n">
        <x:f>SUM(N105:P105)</x:f>
        <x:v>4</x:v>
      </x:c>
      <x:c r="S105" s="75" t="str">
        <x:f>IF(AND(N105=2,P105=2,R105&gt;=5),"핵심사례",IF(R105&gt;=3,"보조사례","경계사례"))</x:f>
        <x:v>보조사례</x:v>
      </x:c>
    </x:row>
    <x:row r="106" ht="39" customHeight="1">
      <x:c r="A106" s="69" t="str">
        <x:v>KR-X049</x:v>
      </x:c>
      <x:c r="B106" s="69" t="str">
        <x:v>EV0029</x:v>
      </x:c>
      <x:c r="C106" s="70" t="n">
        <x:v>2019</x:v>
      </x:c>
      <x:c r="D106" s="156" t="str">
        <x:v>식품·음료</x:v>
      </x:c>
      <x:c r="E106" s="69" t="str">
        <x:v>아프리카돼지열병 국내 발생</x:v>
      </x:c>
      <x:c r="F106" s="69" t="str">
        <x:v>마니커 (027740)</x:v>
      </x:c>
      <x:c r="G106" s="69" t="str">
        <x:v>KOSPI</x:v>
      </x:c>
      <x:c r="H106" s="69" t="str">
        <x:v>상승</x:v>
      </x:c>
      <x:c r="I106" s="34" t="str">
        <x:v>당일 상한가</x:v>
      </x:c>
      <x:c r="J106" s="34" t="str">
        <x:v>대체소비</x:v>
      </x:c>
      <x:c r="K106" s="160" t="str">
        <x:v>식품 유행 일반</x:v>
      </x:c>
      <x:c r="L106" s="34" t="str">
        <x:v>돼지고기 대체재 기대</x:v>
      </x:c>
      <x:c r="M106" s="34" t="str">
        <x:v>S148</x:v>
      </x:c>
      <x:c r="N106" s="78" t="n">
        <x:v>2</x:v>
      </x:c>
      <x:c r="O106" s="78" t="n">
        <x:v>1</x:v>
      </x:c>
      <x:c r="P106" s="78" t="n">
        <x:v>2</x:v>
      </x:c>
      <x:c r="Q106" s="78" t="n">
        <x:v>1</x:v>
      </x:c>
      <x:c r="R106" s="78" t="n">
        <x:f>SUM(N106:P106)</x:f>
        <x:v>5</x:v>
      </x:c>
      <x:c r="S106" s="77" t="str">
        <x:f>IF(AND(N106=2,P106=2,R106&gt;=5),"핵심사례",IF(R106&gt;=3,"보조사례","경계사례"))</x:f>
        <x:v>핵심사례</x:v>
      </x:c>
    </x:row>
    <x:row r="107" ht="39" customHeight="1">
      <x:c r="A107" s="67" t="str">
        <x:v>KR-X048</x:v>
      </x:c>
      <x:c r="B107" s="67" t="str">
        <x:v>EV0029</x:v>
      </x:c>
      <x:c r="C107" s="68" t="n">
        <x:v>2019</x:v>
      </x:c>
      <x:c r="D107" s="155" t="str">
        <x:v>식품·음료</x:v>
      </x:c>
      <x:c r="E107" s="67" t="str">
        <x:v>아프리카돼지열병 국내 발생</x:v>
      </x:c>
      <x:c r="F107" s="67" t="str">
        <x:v>하림 (136480)</x:v>
      </x:c>
      <x:c r="G107" s="67" t="str">
        <x:v>KOSDAQ</x:v>
      </x:c>
      <x:c r="H107" s="67" t="str">
        <x:v>상승</x:v>
      </x:c>
      <x:c r="I107" s="59" t="str">
        <x:v>당일 상한가</x:v>
      </x:c>
      <x:c r="J107" s="59" t="str">
        <x:v>대체소비</x:v>
      </x:c>
      <x:c r="K107" s="159" t="str">
        <x:v>식품 유행 일반</x:v>
      </x:c>
      <x:c r="L107" s="59" t="str">
        <x:v>돼지고기 대체재 기대</x:v>
      </x:c>
      <x:c r="M107" s="59" t="str">
        <x:v>S148</x:v>
      </x:c>
      <x:c r="N107" s="76" t="n">
        <x:v>2</x:v>
      </x:c>
      <x:c r="O107" s="76" t="n">
        <x:v>1</x:v>
      </x:c>
      <x:c r="P107" s="76" t="n">
        <x:v>2</x:v>
      </x:c>
      <x:c r="Q107" s="76" t="n">
        <x:v>1</x:v>
      </x:c>
      <x:c r="R107" s="76" t="n">
        <x:f>SUM(N107:P107)</x:f>
        <x:v>5</x:v>
      </x:c>
      <x:c r="S107" s="75" t="str">
        <x:f>IF(AND(N107=2,P107=2,R107&gt;=5),"핵심사례",IF(R107&gt;=3,"보조사례","경계사례"))</x:f>
        <x:v>핵심사례</x:v>
      </x:c>
    </x:row>
    <x:row r="108" ht="39" customHeight="1">
      <x:c r="A108" s="69" t="str">
        <x:v>KR-X072</x:v>
      </x:c>
      <x:c r="B108" s="69" t="str">
        <x:v>EV0025</x:v>
      </x:c>
      <x:c r="C108" s="70" t="n">
        <x:v>2019</x:v>
      </x:c>
      <x:c r="D108" s="156" t="str">
        <x:v>콘텐츠·엔터</x:v>
      </x:c>
      <x:c r="E108" s="69" t="str">
        <x:v>극한직업 천만 흥행</x:v>
      </x:c>
      <x:c r="F108" s="69" t="str">
        <x:v>CJ ENM (035760)</x:v>
      </x:c>
      <x:c r="G108" s="69" t="str">
        <x:v>KOSDAQ</x:v>
      </x:c>
      <x:c r="H108" s="69" t="str">
        <x:v>상승</x:v>
      </x:c>
      <x:c r="I108" s="34" t="str">
        <x:v>흥행 기간 주가 강세</x:v>
      </x:c>
      <x:c r="J108" s="34" t="str">
        <x:v>투자·배급</x:v>
      </x:c>
      <x:c r="K108" s="160" t="str">
        <x:v>영화·애니메이션</x:v>
      </x:c>
      <x:c r="L108" s="34" t="str">
        <x:v>자회사 매각 등 동시 재료 존재</x:v>
      </x:c>
      <x:c r="M108" s="34" t="str">
        <x:v>S161</x:v>
      </x:c>
      <x:c r="N108" s="78" t="n">
        <x:v>2</x:v>
      </x:c>
      <x:c r="O108" s="78" t="n">
        <x:v>2</x:v>
      </x:c>
      <x:c r="P108" s="78" t="n">
        <x:v>1</x:v>
      </x:c>
      <x:c r="Q108" s="78" t="n">
        <x:v>2</x:v>
      </x:c>
      <x:c r="R108" s="78" t="n">
        <x:f>SUM(N108:P108)</x:f>
        <x:v>5</x:v>
      </x:c>
      <x:c r="S108" s="77" t="str">
        <x:f>IF(AND(N108=2,P108=2,R108&gt;=5),"핵심사례",IF(R108&gt;=3,"보조사례","경계사례"))</x:f>
        <x:v>보조사례</x:v>
      </x:c>
    </x:row>
    <x:row r="109" ht="39" customHeight="1">
      <x:c r="A109" s="67" t="str">
        <x:v>DISC-2019-04</x:v>
      </x:c>
      <x:c r="B109" s="67" t="str">
        <x:v>EV0026</x:v>
      </x:c>
      <x:c r="C109" s="68" t="n">
        <x:v>2019</x:v>
      </x:c>
      <x:c r="D109" s="155" t="str">
        <x:v>생활·소비</x:v>
      </x:c>
      <x:c r="E109" s="67" t="str">
        <x:v>미세먼지·공기청정기 수요</x:v>
      </x:c>
      <x:c r="F109" s="67" t="str">
        <x:v>대유위니아 (071460)</x:v>
      </x:c>
      <x:c r="G109" s="67" t="str">
        <x:v>KOSDAQ</x:v>
      </x:c>
      <x:c r="H109" s="67" t="str">
        <x:v>상승</x:v>
      </x:c>
      <x:c r="I109" s="59" t="str">
        <x:v>연초 이후 38.7% 상승</x:v>
      </x:c>
      <x:c r="J109" s="59" t="str">
        <x:v>강한사례</x:v>
      </x:c>
      <x:c r="K109" s="159" t="str">
        <x:v>자기관리·라이프스타일</x:v>
      </x:c>
      <x:c r="L109" s="59" t="str">
        <x:v>역사 상장 상태 후속확인</x:v>
      </x:c>
      <x:c r="M109" s="59" t="str">
        <x:v>S106</x:v>
      </x:c>
      <x:c r="N109" s="76" t="n">
        <x:v>2</x:v>
      </x:c>
      <x:c r="O109" s="76" t="n">
        <x:v>2</x:v>
      </x:c>
      <x:c r="P109" s="76" t="n">
        <x:v>2</x:v>
      </x:c>
      <x:c r="Q109" s="76" t="n">
        <x:v>2</x:v>
      </x:c>
      <x:c r="R109" s="76" t="n">
        <x:f>SUM(N109:P109)</x:f>
        <x:v>6</x:v>
      </x:c>
      <x:c r="S109" s="75" t="str">
        <x:f>IF(AND(N109=2,P109=2,R109&gt;=5),"핵심사례",IF(R109&gt;=3,"보조사례","경계사례"))</x:f>
        <x:v>핵심사례</x:v>
      </x:c>
    </x:row>
    <x:row r="110" ht="39" customHeight="1">
      <x:c r="A110" s="69" t="str">
        <x:v>DISC-2019-03</x:v>
      </x:c>
      <x:c r="B110" s="69" t="str">
        <x:v>EV0026</x:v>
      </x:c>
      <x:c r="C110" s="70" t="n">
        <x:v>2019</x:v>
      </x:c>
      <x:c r="D110" s="156" t="str">
        <x:v>생활·소비</x:v>
      </x:c>
      <x:c r="E110" s="69" t="str">
        <x:v>미세먼지·공기청정기 수요</x:v>
      </x:c>
      <x:c r="F110" s="69" t="str">
        <x:v>신일전자(당시 신일산업) (002700)</x:v>
      </x:c>
      <x:c r="G110" s="69" t="str">
        <x:v>KOSPI</x:v>
      </x:c>
      <x:c r="H110" s="69" t="str">
        <x:v>상승</x:v>
      </x:c>
      <x:c r="I110" s="34" t="str">
        <x:v>연초 이후 46% 상승</x:v>
      </x:c>
      <x:c r="J110" s="34" t="str">
        <x:v>강한사례</x:v>
      </x:c>
      <x:c r="K110" s="160" t="str">
        <x:v>자기관리·라이프스타일</x:v>
      </x:c>
      <x:c r="L110" s="34" t="str">
        <x:v>건강가전 수요</x:v>
      </x:c>
      <x:c r="M110" s="34" t="str">
        <x:v>S106</x:v>
      </x:c>
      <x:c r="N110" s="78" t="n">
        <x:v>2</x:v>
      </x:c>
      <x:c r="O110" s="78" t="n">
        <x:v>2</x:v>
      </x:c>
      <x:c r="P110" s="78" t="n">
        <x:v>2</x:v>
      </x:c>
      <x:c r="Q110" s="78" t="n">
        <x:v>2</x:v>
      </x:c>
      <x:c r="R110" s="78" t="n">
        <x:f>SUM(N110:P110)</x:f>
        <x:v>6</x:v>
      </x:c>
      <x:c r="S110" s="77" t="str">
        <x:f>IF(AND(N110=2,P110=2,R110&gt;=5),"핵심사례",IF(R110&gt;=3,"보조사례","경계사례"))</x:f>
        <x:v>핵심사례</x:v>
      </x:c>
    </x:row>
    <x:row r="111" ht="39" customHeight="1">
      <x:c r="A111" s="67" t="str">
        <x:v>DISC-2019-01</x:v>
      </x:c>
      <x:c r="B111" s="67" t="str">
        <x:v>EV0026</x:v>
      </x:c>
      <x:c r="C111" s="68" t="n">
        <x:v>2019</x:v>
      </x:c>
      <x:c r="D111" s="155" t="str">
        <x:v>생활·소비</x:v>
      </x:c>
      <x:c r="E111" s="67" t="str">
        <x:v>미세먼지·공기청정기 수요</x:v>
      </x:c>
      <x:c r="F111" s="67" t="str">
        <x:v>위닉스 (044340)</x:v>
      </x:c>
      <x:c r="G111" s="67" t="str">
        <x:v>KOSDAQ</x:v>
      </x:c>
      <x:c r="H111" s="67" t="str">
        <x:v>상승</x:v>
      </x:c>
      <x:c r="I111" s="59" t="str">
        <x:v>연초 이후 88.3% 상승</x:v>
      </x:c>
      <x:c r="J111" s="59" t="str">
        <x:v>강한사례</x:v>
      </x:c>
      <x:c r="K111" s="159" t="str">
        <x:v>자기관리·라이프스타일</x:v>
      </x:c>
      <x:c r="L111" s="59" t="str">
        <x:v>생활불편과 실제 제품수요 동반</x:v>
      </x:c>
      <x:c r="M111" s="59" t="str">
        <x:v>S106</x:v>
      </x:c>
      <x:c r="N111" s="76" t="n">
        <x:v>2</x:v>
      </x:c>
      <x:c r="O111" s="76" t="n">
        <x:v>2</x:v>
      </x:c>
      <x:c r="P111" s="76" t="n">
        <x:v>2</x:v>
      </x:c>
      <x:c r="Q111" s="76" t="n">
        <x:v>2</x:v>
      </x:c>
      <x:c r="R111" s="76" t="n">
        <x:f>SUM(N111:P111)</x:f>
        <x:v>6</x:v>
      </x:c>
      <x:c r="S111" s="75" t="str">
        <x:f>IF(AND(N111=2,P111=2,R111&gt;=5),"핵심사례",IF(R111&gt;=3,"보조사례","경계사례"))</x:f>
        <x:v>핵심사례</x:v>
      </x:c>
    </x:row>
    <x:row r="112" ht="39" customHeight="1">
      <x:c r="A112" s="69" t="str">
        <x:v>DISC-2019-07</x:v>
      </x:c>
      <x:c r="B112" s="69" t="str">
        <x:v>EV0027</x:v>
      </x:c>
      <x:c r="C112" s="70" t="n">
        <x:v>2019</x:v>
      </x:c>
      <x:c r="D112" s="156" t="str">
        <x:v>스포츠·건강</x:v>
      </x:c>
      <x:c r="E112" s="69" t="str">
        <x:v>미세먼지·마스크 수요</x:v>
      </x:c>
      <x:c r="F112" s="69" t="str">
        <x:v>모나리자 (012690)</x:v>
      </x:c>
      <x:c r="G112" s="69" t="str">
        <x:v>KOSPI</x:v>
      </x:c>
      <x:c r="H112" s="69" t="str">
        <x:v>상승</x:v>
      </x:c>
      <x:c r="I112" s="34" t="str">
        <x:v>연초 이후 27.4% 상승</x:v>
      </x:c>
      <x:c r="J112" s="34" t="str">
        <x:v>강한사례</x:v>
      </x:c>
      <x:c r="K112" s="160" t="str">
        <x:v>건강·방역</x:v>
      </x:c>
      <x:c r="L112" s="34" t="str">
        <x:v>생활용품에서 마스크 테마로 확장</x:v>
      </x:c>
      <x:c r="M112" s="34" t="str">
        <x:v>S106</x:v>
      </x:c>
      <x:c r="N112" s="78" t="n">
        <x:v>2</x:v>
      </x:c>
      <x:c r="O112" s="78" t="n">
        <x:v>1</x:v>
      </x:c>
      <x:c r="P112" s="78" t="n">
        <x:v>2</x:v>
      </x:c>
      <x:c r="Q112" s="78" t="n">
        <x:v>1</x:v>
      </x:c>
      <x:c r="R112" s="78" t="n">
        <x:f>SUM(N112:P112)</x:f>
        <x:v>5</x:v>
      </x:c>
      <x:c r="S112" s="77" t="str">
        <x:f>IF(AND(N112=2,P112=2,R112&gt;=5),"핵심사례",IF(R112&gt;=3,"보조사례","경계사례"))</x:f>
        <x:v>핵심사례</x:v>
      </x:c>
    </x:row>
    <x:row r="113" ht="39" customHeight="1">
      <x:c r="A113" s="67" t="str">
        <x:v>DISC-2019-02</x:v>
      </x:c>
      <x:c r="B113" s="67" t="str">
        <x:v>EV0027</x:v>
      </x:c>
      <x:c r="C113" s="68" t="n">
        <x:v>2019</x:v>
      </x:c>
      <x:c r="D113" s="155" t="str">
        <x:v>스포츠·건강</x:v>
      </x:c>
      <x:c r="E113" s="67" t="str">
        <x:v>미세먼지·마스크 수요</x:v>
      </x:c>
      <x:c r="F113" s="67" t="str">
        <x:v>웰크론 (065950)</x:v>
      </x:c>
      <x:c r="G113" s="67" t="str">
        <x:v>KOSDAQ</x:v>
      </x:c>
      <x:c r="H113" s="67" t="str">
        <x:v>상승</x:v>
      </x:c>
      <x:c r="I113" s="59" t="str">
        <x:v>연초 이후 57.3% 상승</x:v>
      </x:c>
      <x:c r="J113" s="59" t="str">
        <x:v>강한사례</x:v>
      </x:c>
      <x:c r="K113" s="159" t="str">
        <x:v>건강·방역</x:v>
      </x:c>
      <x:c r="L113" s="59" t="str">
        <x:v>마스크 직접 연결</x:v>
      </x:c>
      <x:c r="M113" s="59" t="str">
        <x:v>S106</x:v>
      </x:c>
      <x:c r="N113" s="76" t="n">
        <x:v>2</x:v>
      </x:c>
      <x:c r="O113" s="76" t="n">
        <x:v>2</x:v>
      </x:c>
      <x:c r="P113" s="76" t="n">
        <x:v>2</x:v>
      </x:c>
      <x:c r="Q113" s="76" t="n">
        <x:v>1</x:v>
      </x:c>
      <x:c r="R113" s="76" t="n">
        <x:f>SUM(N113:P113)</x:f>
        <x:v>6</x:v>
      </x:c>
      <x:c r="S113" s="75" t="str">
        <x:f>IF(AND(N113=2,P113=2,R113&gt;=5),"핵심사례",IF(R113&gt;=3,"보조사례","경계사례"))</x:f>
        <x:v>핵심사례</x:v>
      </x:c>
    </x:row>
    <x:row r="114" ht="39" customHeight="1">
      <x:c r="A114" s="69" t="str">
        <x:v>DISC-2019-06</x:v>
      </x:c>
      <x:c r="B114" s="69" t="str">
        <x:v>EV0027</x:v>
      </x:c>
      <x:c r="C114" s="70" t="n">
        <x:v>2019</x:v>
      </x:c>
      <x:c r="D114" s="156" t="str">
        <x:v>스포츠·건강</x:v>
      </x:c>
      <x:c r="E114" s="69" t="str">
        <x:v>미세먼지·마스크 수요</x:v>
      </x:c>
      <x:c r="F114" s="69" t="str">
        <x:v>케이엠 (083550)</x:v>
      </x:c>
      <x:c r="G114" s="69" t="str">
        <x:v>KOSDAQ</x:v>
      </x:c>
      <x:c r="H114" s="69" t="str">
        <x:v>상승</x:v>
      </x:c>
      <x:c r="I114" s="34" t="str">
        <x:v>연초 이후 30% 상승</x:v>
      </x:c>
      <x:c r="J114" s="34" t="str">
        <x:v>강한사례</x:v>
      </x:c>
      <x:c r="K114" s="160" t="str">
        <x:v>건강·방역</x:v>
      </x:c>
      <x:c r="L114" s="34" t="str">
        <x:v>마스크 제품 연결</x:v>
      </x:c>
      <x:c r="M114" s="34" t="str">
        <x:v>S106</x:v>
      </x:c>
      <x:c r="N114" s="78" t="n">
        <x:v>2</x:v>
      </x:c>
      <x:c r="O114" s="78" t="n">
        <x:v>2</x:v>
      </x:c>
      <x:c r="P114" s="78" t="n">
        <x:v>2</x:v>
      </x:c>
      <x:c r="Q114" s="78" t="n">
        <x:v>1</x:v>
      </x:c>
      <x:c r="R114" s="78" t="n">
        <x:f>SUM(N114:P114)</x:f>
        <x:v>6</x:v>
      </x:c>
      <x:c r="S114" s="77" t="str">
        <x:f>IF(AND(N114=2,P114=2,R114&gt;=5),"핵심사례",IF(R114&gt;=3,"보조사례","경계사례"))</x:f>
        <x:v>핵심사례</x:v>
      </x:c>
    </x:row>
    <x:row r="115" ht="39" customHeight="1">
      <x:c r="A115" s="67" t="str">
        <x:v>DISC-2019-05</x:v>
      </x:c>
      <x:c r="B115" s="67" t="str">
        <x:v>EV0027</x:v>
      </x:c>
      <x:c r="C115" s="68" t="n">
        <x:v>2019</x:v>
      </x:c>
      <x:c r="D115" s="155" t="str">
        <x:v>스포츠·건강</x:v>
      </x:c>
      <x:c r="E115" s="67" t="str">
        <x:v>미세먼지·마스크 수요</x:v>
      </x:c>
      <x:c r="F115" s="67" t="str">
        <x:v>KC그린홀딩스 (009440)</x:v>
      </x:c>
      <x:c r="G115" s="67" t="str">
        <x:v>KOSPI</x:v>
      </x:c>
      <x:c r="H115" s="67" t="str">
        <x:v>상승</x:v>
      </x:c>
      <x:c r="I115" s="59" t="str">
        <x:v>연초 이후 34.8% 상승</x:v>
      </x:c>
      <x:c r="J115" s="59" t="str">
        <x:v>강한사례</x:v>
      </x:c>
      <x:c r="K115" s="159" t="str">
        <x:v>건강·방역</x:v>
      </x:c>
      <x:c r="L115" s="59" t="str">
        <x:v>테마 연결 강도 비교용</x:v>
      </x:c>
      <x:c r="M115" s="59" t="str">
        <x:v>S106</x:v>
      </x:c>
      <x:c r="N115" s="76" t="n">
        <x:v>2</x:v>
      </x:c>
      <x:c r="O115" s="76" t="n">
        <x:v>1</x:v>
      </x:c>
      <x:c r="P115" s="76" t="n">
        <x:v>2</x:v>
      </x:c>
      <x:c r="Q115" s="76" t="n">
        <x:v>1</x:v>
      </x:c>
      <x:c r="R115" s="76" t="n">
        <x:f>SUM(N115:P115)</x:f>
        <x:v>5</x:v>
      </x:c>
      <x:c r="S115" s="75" t="str">
        <x:f>IF(AND(N115=2,P115=2,R115&gt;=5),"핵심사례",IF(R115&gt;=3,"보조사례","경계사례"))</x:f>
        <x:v>핵심사례</x:v>
      </x:c>
    </x:row>
    <x:row r="116" ht="39" customHeight="1">
      <x:c r="A116" s="69" t="str">
        <x:v>DISC-2019-08</x:v>
      </x:c>
      <x:c r="B116" s="69" t="str">
        <x:v>EV0030</x:v>
      </x:c>
      <x:c r="C116" s="70" t="n">
        <x:v>2019</x:v>
      </x:c>
      <x:c r="D116" s="156" t="str">
        <x:v>스포츠·건강</x:v>
      </x:c>
      <x:c r="E116" s="69" t="str">
        <x:v>일본제품 불매운동</x:v>
      </x:c>
      <x:c r="F116" s="69" t="str">
        <x:v>모나미 (005360)</x:v>
      </x:c>
      <x:c r="G116" s="69" t="str">
        <x:v>KOSPI</x:v>
      </x:c>
      <x:c r="H116" s="69" t="str">
        <x:v>상승</x:v>
      </x:c>
      <x:c r="I116" s="34" t="str">
        <x:v>6월 말 대비 147% 상승</x:v>
      </x:c>
      <x:c r="J116" s="34" t="str">
        <x:v>강한사례</x:v>
      </x:c>
      <x:c r="K116" s="160" t="str">
        <x:v>운동·피트니스</x:v>
      </x:c>
      <x:c r="L116" s="34" t="str">
        <x:v>일본 필기구 대체 기대</x:v>
      </x:c>
      <x:c r="M116" s="34" t="str">
        <x:v>S107</x:v>
      </x:c>
      <x:c r="N116" s="78" t="n">
        <x:v>2</x:v>
      </x:c>
      <x:c r="O116" s="78" t="n">
        <x:v>2</x:v>
      </x:c>
      <x:c r="P116" s="78" t="n">
        <x:v>2</x:v>
      </x:c>
      <x:c r="Q116" s="78" t="n">
        <x:v>1</x:v>
      </x:c>
      <x:c r="R116" s="78" t="n">
        <x:f>SUM(N116:P116)</x:f>
        <x:v>6</x:v>
      </x:c>
      <x:c r="S116" s="77" t="str">
        <x:f>IF(AND(N116=2,P116=2,R116&gt;=5),"핵심사례",IF(R116&gt;=3,"보조사례","경계사례"))</x:f>
        <x:v>핵심사례</x:v>
      </x:c>
    </x:row>
    <x:row r="117" ht="39" customHeight="1">
      <x:c r="A117" s="67" t="str">
        <x:v>DISC-2019-09</x:v>
      </x:c>
      <x:c r="B117" s="67" t="str">
        <x:v>EV0030</x:v>
      </x:c>
      <x:c r="C117" s="68" t="n">
        <x:v>2019</x:v>
      </x:c>
      <x:c r="D117" s="155" t="str">
        <x:v>스포츠·건강</x:v>
      </x:c>
      <x:c r="E117" s="67" t="str">
        <x:v>일본제품 불매운동</x:v>
      </x:c>
      <x:c r="F117" s="67" t="str">
        <x:v>신성통상 (005390)</x:v>
      </x:c>
      <x:c r="G117" s="67" t="str">
        <x:v>KOSPI</x:v>
      </x:c>
      <x:c r="H117" s="67" t="str">
        <x:v>상승</x:v>
      </x:c>
      <x:c r="I117" s="59" t="str">
        <x:v>6월 말 대비 82% 상승</x:v>
      </x:c>
      <x:c r="J117" s="59" t="str">
        <x:v>강한사례</x:v>
      </x:c>
      <x:c r="K117" s="159" t="str">
        <x:v>운동·피트니스</x:v>
      </x:c>
      <x:c r="L117" s="59" t="str">
        <x:v>유니클로 대체 브랜드 기대</x:v>
      </x:c>
      <x:c r="M117" s="59" t="str">
        <x:v>S107</x:v>
      </x:c>
      <x:c r="N117" s="76" t="n">
        <x:v>2</x:v>
      </x:c>
      <x:c r="O117" s="76" t="n">
        <x:v>2</x:v>
      </x:c>
      <x:c r="P117" s="76" t="n">
        <x:v>2</x:v>
      </x:c>
      <x:c r="Q117" s="76" t="n">
        <x:v>1</x:v>
      </x:c>
      <x:c r="R117" s="76" t="n">
        <x:f>SUM(N117:P117)</x:f>
        <x:v>6</x:v>
      </x:c>
      <x:c r="S117" s="75" t="str">
        <x:f>IF(AND(N117=2,P117=2,R117&gt;=5),"핵심사례",IF(R117&gt;=3,"보조사례","경계사례"))</x:f>
        <x:v>핵심사례</x:v>
      </x:c>
    </x:row>
    <x:row r="118" ht="39" customHeight="1">
      <x:c r="A118" s="69" t="str">
        <x:v>DISC-2019-10</x:v>
      </x:c>
      <x:c r="B118" s="69" t="str">
        <x:v>EV0030</x:v>
      </x:c>
      <x:c r="C118" s="70" t="n">
        <x:v>2019</x:v>
      </x:c>
      <x:c r="D118" s="156" t="str">
        <x:v>스포츠·건강</x:v>
      </x:c>
      <x:c r="E118" s="69" t="str">
        <x:v>일본제품 불매운동</x:v>
      </x:c>
      <x:c r="F118" s="69" t="str">
        <x:v>쌍방울 (102280)</x:v>
      </x:c>
      <x:c r="G118" s="69" t="str">
        <x:v>KOSPI</x:v>
      </x:c>
      <x:c r="H118" s="69" t="str">
        <x:v>상승</x:v>
      </x:c>
      <x:c r="I118" s="34" t="str">
        <x:v>같은 기간 6% 상승</x:v>
      </x:c>
      <x:c r="J118" s="34" t="str">
        <x:v>강한사례</x:v>
      </x:c>
      <x:c r="K118" s="160" t="str">
        <x:v>운동·피트니스</x:v>
      </x:c>
      <x:c r="L118" s="34" t="str">
        <x:v>대체 소비 연결의 약한 비교군</x:v>
      </x:c>
      <x:c r="M118" s="34" t="str">
        <x:v>S107</x:v>
      </x:c>
      <x:c r="N118" s="78" t="n">
        <x:v>2</x:v>
      </x:c>
      <x:c r="O118" s="78" t="n">
        <x:v>1</x:v>
      </x:c>
      <x:c r="P118" s="78" t="n">
        <x:v>2</x:v>
      </x:c>
      <x:c r="Q118" s="78" t="n">
        <x:v>1</x:v>
      </x:c>
      <x:c r="R118" s="78" t="n">
        <x:f>SUM(N118:P118)</x:f>
        <x:v>5</x:v>
      </x:c>
      <x:c r="S118" s="77" t="str">
        <x:f>IF(AND(N118=2,P118=2,R118&gt;=5),"핵심사례",IF(R118&gt;=3,"보조사례","경계사례"))</x:f>
        <x:v>핵심사례</x:v>
      </x:c>
    </x:row>
    <x:row r="119" ht="39" customHeight="1">
      <x:c r="A119" s="67" t="str">
        <x:v>KR-X033</x:v>
      </x:c>
      <x:c r="B119" s="67" t="str">
        <x:v>EV0028</x:v>
      </x:c>
      <x:c r="C119" s="68" t="n">
        <x:v>2019</x:v>
      </x:c>
      <x:c r="D119" s="155" t="str">
        <x:v>금융·시장현상</x:v>
      </x:c>
      <x:c r="E119" s="67" t="str">
        <x:v>버닝썬·승리 스캔들</x:v>
      </x:c>
      <x:c r="F119" s="67" t="str">
        <x:v>에스엠 (041510)</x:v>
      </x:c>
      <x:c r="G119" s="67" t="str">
        <x:v>KOSDAQ</x:v>
      </x:c>
      <x:c r="H119" s="67" t="str">
        <x:v>하락</x:v>
      </x:c>
      <x:c r="I119" s="59" t="str">
        <x:v>업종 불신과 실적 요인이 겹쳐 하락</x:v>
      </x:c>
      <x:c r="J119" s="59" t="str">
        <x:v>업종 전염</x:v>
      </x:c>
      <x:c r="K119" s="159" t="str">
        <x:v>풍문·군중매매</x:v>
      </x:c>
      <x:c r="L119" s="59" t="str">
        <x:v>YG 외 종목은 직접 연결보다 투자심리 전염 성격</x:v>
      </x:c>
      <x:c r="M119" s="59" t="str">
        <x:v>S140</x:v>
      </x:c>
      <x:c r="N119" s="76" t="n">
        <x:v>2</x:v>
      </x:c>
      <x:c r="O119" s="76" t="n">
        <x:v>0</x:v>
      </x:c>
      <x:c r="P119" s="76" t="n">
        <x:v>2</x:v>
      </x:c>
      <x:c r="Q119" s="76" t="n">
        <x:v>1</x:v>
      </x:c>
      <x:c r="R119" s="76" t="n">
        <x:f>SUM(N119:P119)</x:f>
        <x:v>4</x:v>
      </x:c>
      <x:c r="S119" s="75" t="str">
        <x:f>IF(AND(N119=2,P119=2,R119&gt;=5),"핵심사례",IF(R119&gt;=3,"보조사례","경계사례"))</x:f>
        <x:v>보조사례</x:v>
      </x:c>
    </x:row>
    <x:row r="120" ht="39" customHeight="1">
      <x:c r="A120" s="69" t="str">
        <x:v>KR-X031</x:v>
      </x:c>
      <x:c r="B120" s="69" t="str">
        <x:v>EV0028</x:v>
      </x:c>
      <x:c r="C120" s="70" t="n">
        <x:v>2019</x:v>
      </x:c>
      <x:c r="D120" s="156" t="str">
        <x:v>금융·시장현상</x:v>
      </x:c>
      <x:c r="E120" s="69" t="str">
        <x:v>버닝썬·승리 스캔들</x:v>
      </x:c>
      <x:c r="F120" s="69" t="str">
        <x:v>와이지엔터테인먼트 (122870)</x:v>
      </x:c>
      <x:c r="G120" s="69" t="str">
        <x:v>KOSDAQ</x:v>
      </x:c>
      <x:c r="H120" s="69" t="str">
        <x:v>하락</x:v>
      </x:c>
      <x:c r="I120" s="34" t="str">
        <x:v>하루 14%·한 달 19.38% 하락</x:v>
      </x:c>
      <x:c r="J120" s="34" t="str">
        <x:v>직접 아티스트</x:v>
      </x:c>
      <x:c r="K120" s="160" t="str">
        <x:v>풍문·군중매매</x:v>
      </x:c>
      <x:c r="L120" s="34" t="str">
        <x:v>YG 외 종목은 직접 연결보다 투자심리 전염 성격</x:v>
      </x:c>
      <x:c r="M120" s="34" t="str">
        <x:v>S140</x:v>
      </x:c>
      <x:c r="N120" s="78" t="n">
        <x:v>2</x:v>
      </x:c>
      <x:c r="O120" s="78" t="n">
        <x:v>2</x:v>
      </x:c>
      <x:c r="P120" s="78" t="n">
        <x:v>2</x:v>
      </x:c>
      <x:c r="Q120" s="78" t="n">
        <x:v>1</x:v>
      </x:c>
      <x:c r="R120" s="78" t="n">
        <x:f>SUM(N120:P120)</x:f>
        <x:v>6</x:v>
      </x:c>
      <x:c r="S120" s="77" t="str">
        <x:f>IF(AND(N120=2,P120=2,R120&gt;=5),"핵심사례",IF(R120&gt;=3,"보조사례","경계사례"))</x:f>
        <x:v>핵심사례</x:v>
      </x:c>
    </x:row>
    <x:row r="121" ht="39" customHeight="1">
      <x:c r="A121" s="67" t="str">
        <x:v>KR-X034</x:v>
      </x:c>
      <x:c r="B121" s="67" t="str">
        <x:v>EV0028</x:v>
      </x:c>
      <x:c r="C121" s="68" t="n">
        <x:v>2019</x:v>
      </x:c>
      <x:c r="D121" s="155" t="str">
        <x:v>금융·시장현상</x:v>
      </x:c>
      <x:c r="E121" s="67" t="str">
        <x:v>버닝썬·승리 스캔들</x:v>
      </x:c>
      <x:c r="F121" s="67" t="str">
        <x:v>큐브엔터 (182360)</x:v>
      </x:c>
      <x:c r="G121" s="67" t="str">
        <x:v>KOSDAQ</x:v>
      </x:c>
      <x:c r="H121" s="67" t="str">
        <x:v>하락</x:v>
      </x:c>
      <x:c r="I121" s="59" t="str">
        <x:v>엔터 업종 동반 약세</x:v>
      </x:c>
      <x:c r="J121" s="59" t="str">
        <x:v>업종 전염</x:v>
      </x:c>
      <x:c r="K121" s="159" t="str">
        <x:v>풍문·군중매매</x:v>
      </x:c>
      <x:c r="L121" s="59" t="str">
        <x:v>YG 외 종목은 직접 연결보다 투자심리 전염 성격</x:v>
      </x:c>
      <x:c r="M121" s="59" t="str">
        <x:v>S140</x:v>
      </x:c>
      <x:c r="N121" s="76" t="n">
        <x:v>2</x:v>
      </x:c>
      <x:c r="O121" s="76" t="n">
        <x:v>0</x:v>
      </x:c>
      <x:c r="P121" s="76" t="n">
        <x:v>1</x:v>
      </x:c>
      <x:c r="Q121" s="76" t="n">
        <x:v>1</x:v>
      </x:c>
      <x:c r="R121" s="76" t="n">
        <x:f>SUM(N121:P121)</x:f>
        <x:v>3</x:v>
      </x:c>
      <x:c r="S121" s="75" t="str">
        <x:f>IF(AND(N121=2,P121=2,R121&gt;=5),"핵심사례",IF(R121&gt;=3,"보조사례","경계사례"))</x:f>
        <x:v>보조사례</x:v>
      </x:c>
    </x:row>
    <x:row r="122" ht="39" customHeight="1">
      <x:c r="A122" s="69" t="str">
        <x:v>KR-X035</x:v>
      </x:c>
      <x:c r="B122" s="69" t="str">
        <x:v>EV0028</x:v>
      </x:c>
      <x:c r="C122" s="70" t="n">
        <x:v>2019</x:v>
      </x:c>
      <x:c r="D122" s="156" t="str">
        <x:v>금융·시장현상</x:v>
      </x:c>
      <x:c r="E122" s="69" t="str">
        <x:v>버닝썬·승리 스캔들</x:v>
      </x:c>
      <x:c r="F122" s="69" t="str">
        <x:v>FNC엔터 (173940)</x:v>
      </x:c>
      <x:c r="G122" s="69" t="str">
        <x:v>KOSDAQ</x:v>
      </x:c>
      <x:c r="H122" s="69" t="str">
        <x:v>하락</x:v>
      </x:c>
      <x:c r="I122" s="34" t="str">
        <x:v>엔터 업종 동반 약세</x:v>
      </x:c>
      <x:c r="J122" s="34" t="str">
        <x:v>업종 전염</x:v>
      </x:c>
      <x:c r="K122" s="160" t="str">
        <x:v>풍문·군중매매</x:v>
      </x:c>
      <x:c r="L122" s="34" t="str">
        <x:v>YG 외 종목은 직접 연결보다 투자심리 전염 성격</x:v>
      </x:c>
      <x:c r="M122" s="34" t="str">
        <x:v>S140</x:v>
      </x:c>
      <x:c r="N122" s="78" t="n">
        <x:v>2</x:v>
      </x:c>
      <x:c r="O122" s="78" t="n">
        <x:v>0</x:v>
      </x:c>
      <x:c r="P122" s="78" t="n">
        <x:v>1</x:v>
      </x:c>
      <x:c r="Q122" s="78" t="n">
        <x:v>1</x:v>
      </x:c>
      <x:c r="R122" s="78" t="n">
        <x:f>SUM(N122:P122)</x:f>
        <x:v>3</x:v>
      </x:c>
      <x:c r="S122" s="77" t="str">
        <x:f>IF(AND(N122=2,P122=2,R122&gt;=5),"핵심사례",IF(R122&gt;=3,"보조사례","경계사례"))</x:f>
        <x:v>보조사례</x:v>
      </x:c>
    </x:row>
    <x:row r="123" ht="39" customHeight="1">
      <x:c r="A123" s="67" t="str">
        <x:v>KR-X032</x:v>
      </x:c>
      <x:c r="B123" s="67" t="str">
        <x:v>EV0028</x:v>
      </x:c>
      <x:c r="C123" s="68" t="n">
        <x:v>2019</x:v>
      </x:c>
      <x:c r="D123" s="155" t="str">
        <x:v>금융·시장현상</x:v>
      </x:c>
      <x:c r="E123" s="67" t="str">
        <x:v>버닝썬·승리 스캔들</x:v>
      </x:c>
      <x:c r="F123" s="67" t="str">
        <x:v>JYP Ent. (035900)</x:v>
      </x:c>
      <x:c r="G123" s="67" t="str">
        <x:v>KOSDAQ</x:v>
      </x:c>
      <x:c r="H123" s="67" t="str">
        <x:v>하락</x:v>
      </x:c>
      <x:c r="I123" s="59" t="str">
        <x:v>업종 전염 구간 5.54% 하락</x:v>
      </x:c>
      <x:c r="J123" s="59" t="str">
        <x:v>업종 전염</x:v>
      </x:c>
      <x:c r="K123" s="159" t="str">
        <x:v>풍문·군중매매</x:v>
      </x:c>
      <x:c r="L123" s="59" t="str">
        <x:v>YG 외 종목은 직접 연결보다 투자심리 전염 성격</x:v>
      </x:c>
      <x:c r="M123" s="59" t="str">
        <x:v>S140</x:v>
      </x:c>
      <x:c r="N123" s="76" t="n">
        <x:v>2</x:v>
      </x:c>
      <x:c r="O123" s="76" t="n">
        <x:v>0</x:v>
      </x:c>
      <x:c r="P123" s="76" t="n">
        <x:v>2</x:v>
      </x:c>
      <x:c r="Q123" s="76" t="n">
        <x:v>1</x:v>
      </x:c>
      <x:c r="R123" s="76" t="n">
        <x:f>SUM(N123:P123)</x:f>
        <x:v>4</x:v>
      </x:c>
      <x:c r="S123" s="75" t="str">
        <x:f>IF(AND(N123=2,P123=2,R123&gt;=5),"핵심사례",IF(R123&gt;=3,"보조사례","경계사례"))</x:f>
        <x:v>보조사례</x:v>
      </x:c>
    </x:row>
    <x:row r="124" ht="39" customHeight="1">
      <x:c r="A124" s="69" t="str">
        <x:v>KR-SNS014</x:v>
      </x:c>
      <x:c r="B124" s="69" t="str">
        <x:v>EV0023</x:v>
      </x:c>
      <x:c r="C124" s="70" t="n">
        <x:v>2016</x:v>
      </x:c>
      <x:c r="D124" s="156" t="str">
        <x:v>식품·음료</x:v>
      </x:c>
      <x:c r="E124" s="69" t="str">
        <x:v>허니버터칩 후광</x:v>
      </x:c>
      <x:c r="F124" s="69" t="str">
        <x:v>해태제과식품 (101530)</x:v>
      </x:c>
      <x:c r="G124" s="69" t="str">
        <x:v>KOSPI</x:v>
      </x:c>
      <x:c r="H124" s="69" t="str">
        <x:v>상승</x:v>
      </x:c>
      <x:c r="I124" s="34" t="str">
        <x:v>상장 7일 만에 공모가의 4.5배</x:v>
      </x:c>
      <x:c r="J124" s="34" t="str">
        <x:v>강한사례</x:v>
      </x:c>
      <x:c r="K124" s="160" t="str">
        <x:v>식품 유행 일반</x:v>
      </x:c>
      <x:c r="L124" s="34" t="str">
        <x:v>바이럴-사업직결 | 완료 | 유행 상품의 장기 가치 과대평가 위험을 보여줌</x:v>
      </x:c>
      <x:c r="M124" s="34" t="str">
        <x:v>S63</x:v>
      </x:c>
      <x:c r="N124" s="78" t="n">
        <x:v>2</x:v>
      </x:c>
      <x:c r="O124" s="78" t="n">
        <x:v>2</x:v>
      </x:c>
      <x:c r="P124" s="78" t="n">
        <x:v>2</x:v>
      </x:c>
      <x:c r="Q124" s="78" t="n">
        <x:v>1</x:v>
      </x:c>
      <x:c r="R124" s="78" t="n">
        <x:f>SUM(N124:P124)</x:f>
        <x:v>6</x:v>
      </x:c>
      <x:c r="S124" s="77" t="str">
        <x:f>IF(AND(N124=2,P124=2,R124&gt;=5),"핵심사례",IF(R124&gt;=3,"보조사례","경계사례"))</x:f>
        <x:v>핵심사례</x:v>
      </x:c>
    </x:row>
    <x:row r="125" ht="39" customHeight="1">
      <x:c r="A125" s="67" t="str">
        <x:v>KR-X040</x:v>
      </x:c>
      <x:c r="B125" s="67" t="str">
        <x:v>EV0022</x:v>
      </x:c>
      <x:c r="C125" s="68" t="n">
        <x:v>2016</x:v>
      </x:c>
      <x:c r="D125" s="155" t="str">
        <x:v>콘텐츠·엔터</x:v>
      </x:c>
      <x:c r="E125" s="67" t="str">
        <x:v>태양의 후예 신드롬</x:v>
      </x:c>
      <x:c r="F125" s="67" t="str">
        <x:v>NEW (160550)</x:v>
      </x:c>
      <x:c r="G125" s="67" t="str">
        <x:v>KOSDAQ</x:v>
      </x:c>
      <x:c r="H125" s="67" t="str">
        <x:v>상승</x:v>
      </x:c>
      <x:c r="I125" s="59" t="str">
        <x:v>첫 방송 뒤 48.34% 상승</x:v>
      </x:c>
      <x:c r="J125" s="59" t="str">
        <x:v>제작·투자</x:v>
      </x:c>
      <x:c r="K125" s="159" t="str">
        <x:v>드라마·OTT</x:v>
      </x:c>
      <x:c r="L125" s="59" t="str">
        <x:v>제작사 직접 연결</x:v>
      </x:c>
      <x:c r="M125" s="59" t="str">
        <x:v>S145</x:v>
      </x:c>
      <x:c r="N125" s="76" t="n">
        <x:v>2</x:v>
      </x:c>
      <x:c r="O125" s="76" t="n">
        <x:v>2</x:v>
      </x:c>
      <x:c r="P125" s="76" t="n">
        <x:v>2</x:v>
      </x:c>
      <x:c r="Q125" s="76" t="n">
        <x:v>1</x:v>
      </x:c>
      <x:c r="R125" s="76" t="n">
        <x:f>SUM(N125:P125)</x:f>
        <x:v>6</x:v>
      </x:c>
      <x:c r="S125" s="75" t="str">
        <x:f>IF(AND(N125=2,P125=2,R125&gt;=5),"핵심사례",IF(R125&gt;=3,"보조사례","경계사례"))</x:f>
        <x:v>핵심사례</x:v>
      </x:c>
    </x:row>
    <x:row r="126" ht="39" customHeight="1">
      <x:c r="A126" s="69" t="str">
        <x:v>KR-X073</x:v>
      </x:c>
      <x:c r="B126" s="69" t="str">
        <x:v>EV0021</x:v>
      </x:c>
      <x:c r="C126" s="70" t="n">
        <x:v>2016</x:v>
      </x:c>
      <x:c r="D126" s="156" t="str">
        <x:v>금융·시장현상</x:v>
      </x:c>
      <x:c r="E126" s="69" t="str">
        <x:v>코데즈컴바인 품절주 광풍</x:v>
      </x:c>
      <x:c r="F126" s="69" t="str">
        <x:v>코데즈컴바인 (047770)</x:v>
      </x:c>
      <x:c r="G126" s="69" t="str">
        <x:v>KOSDAQ</x:v>
      </x:c>
      <x:c r="H126" s="69" t="str">
        <x:v>급등→급락</x:v>
      </x:c>
      <x:c r="I126" s="34" t="str">
        <x:v>2만5천원대→15만1천원 약 6배 뒤 급락</x:v>
      </x:c>
      <x:c r="J126" s="34" t="str">
        <x:v>저유통 수급</x:v>
      </x:c>
      <x:c r="K126" s="160" t="str">
        <x:v>품절주·수급</x:v>
      </x:c>
      <x:c r="L126" s="34" t="str">
        <x:v>기업가치보다 0.7% 유통주식·호기심 추종 영향</x:v>
      </x:c>
      <x:c r="M126" s="34" t="str">
        <x:v>S162;S163</x:v>
      </x:c>
      <x:c r="N126" s="78" t="n">
        <x:v>2</x:v>
      </x:c>
      <x:c r="O126" s="78" t="n">
        <x:v>0</x:v>
      </x:c>
      <x:c r="P126" s="78" t="n">
        <x:v>2</x:v>
      </x:c>
      <x:c r="Q126" s="78" t="n">
        <x:v>0</x:v>
      </x:c>
      <x:c r="R126" s="78" t="n">
        <x:f>SUM(N126:P126)</x:f>
        <x:v>4</x:v>
      </x:c>
      <x:c r="S126" s="77" t="str">
        <x:f>IF(AND(N126=2,P126=2,R126&gt;=5),"핵심사례",IF(R126&gt;=3,"보조사례","경계사례"))</x:f>
        <x:v>보조사례</x:v>
      </x:c>
    </x:row>
    <x:row r="127" ht="39" customHeight="1">
      <x:c r="A127" s="67" t="str">
        <x:v>DISC-2015-01</x:v>
      </x:c>
      <x:c r="B127" s="67" t="str">
        <x:v>EV0017</x:v>
      </x:c>
      <x:c r="C127" s="68" t="n">
        <x:v>2015</x:v>
      </x:c>
      <x:c r="D127" s="155" t="str">
        <x:v>생활·소비</x:v>
      </x:c>
      <x:c r="E127" s="67" t="str">
        <x:v>가짜 백수오 파동</x:v>
      </x:c>
      <x:c r="F127" s="67" t="str">
        <x:v>내츄럴엔도텍 (168330)</x:v>
      </x:c>
      <x:c r="G127" s="67" t="str">
        <x:v>KOSDAQ</x:v>
      </x:c>
      <x:c r="H127" s="67" t="str">
        <x:v>하락</x:v>
      </x:c>
      <x:c r="I127" s="59" t="str">
        <x:v>발표 후 연속 급락</x:v>
      </x:c>
      <x:c r="J127" s="59" t="str">
        <x:v>강한사례</x:v>
      </x:c>
      <x:c r="K127" s="159" t="str">
        <x:v>유통·쇼핑</x:v>
      </x:c>
      <x:c r="L127" s="59" t="str">
        <x:v>신뢰 붕괴형 역유행</x:v>
      </x:c>
      <x:c r="M127" s="59" t="str">
        <x:v>S105</x:v>
      </x:c>
      <x:c r="N127" s="76" t="n">
        <x:v>2</x:v>
      </x:c>
      <x:c r="O127" s="76" t="n">
        <x:v>2</x:v>
      </x:c>
      <x:c r="P127" s="76" t="n">
        <x:v>1</x:v>
      </x:c>
      <x:c r="Q127" s="76" t="n">
        <x:v>1</x:v>
      </x:c>
      <x:c r="R127" s="76" t="n">
        <x:f>SUM(N127:P127)</x:f>
        <x:v>5</x:v>
      </x:c>
      <x:c r="S127" s="75" t="str">
        <x:f>IF(AND(N127=2,P127=2,R127&gt;=5),"핵심사례",IF(R127&gt;=3,"보조사례","경계사례"))</x:f>
        <x:v>보조사례</x:v>
      </x:c>
    </x:row>
    <x:row r="128" ht="39" customHeight="1">
      <x:c r="A128" s="69" t="str">
        <x:v>KR-X047</x:v>
      </x:c>
      <x:c r="B128" s="69" t="str">
        <x:v>EV0018</x:v>
      </x:c>
      <x:c r="C128" s="70" t="n">
        <x:v>2015</x:v>
      </x:c>
      <x:c r="D128" s="156" t="str">
        <x:v>스포츠·건강</x:v>
      </x:c>
      <x:c r="E128" s="69" t="str">
        <x:v>메르스 공포·마스크 사재기</x:v>
      </x:c>
      <x:c r="F128" s="69" t="str">
        <x:v>레드캡투어 (038390)</x:v>
      </x:c>
      <x:c r="G128" s="69" t="str">
        <x:v>KOSDAQ</x:v>
      </x:c>
      <x:c r="H128" s="69" t="str">
        <x:v>하락</x:v>
      </x:c>
      <x:c r="I128" s="34" t="str">
        <x:v>5.96% 하락</x:v>
      </x:c>
      <x:c r="J128" s="34" t="str">
        <x:v>여행</x:v>
      </x:c>
      <x:c r="K128" s="160" t="str">
        <x:v>건강·방역</x:v>
      </x:c>
      <x:c r="L128" s="34" t="str">
        <x:v>공포에 따른 소비·이동 변화와 직접 또는 인접 연결</x:v>
      </x:c>
      <x:c r="M128" s="34" t="str">
        <x:v>S146;S147</x:v>
      </x:c>
      <x:c r="N128" s="78" t="n">
        <x:v>2</x:v>
      </x:c>
      <x:c r="O128" s="78" t="n">
        <x:v>1</x:v>
      </x:c>
      <x:c r="P128" s="78" t="n">
        <x:v>2</x:v>
      </x:c>
      <x:c r="Q128" s="78" t="n">
        <x:v>1</x:v>
      </x:c>
      <x:c r="R128" s="78" t="n">
        <x:f>SUM(N128:P128)</x:f>
        <x:v>5</x:v>
      </x:c>
      <x:c r="S128" s="77" t="str">
        <x:f>IF(AND(N128=2,P128=2,R128&gt;=5),"핵심사례",IF(R128&gt;=3,"보조사례","경계사례"))</x:f>
        <x:v>핵심사례</x:v>
      </x:c>
    </x:row>
    <x:row r="129" ht="39" customHeight="1">
      <x:c r="A129" s="67" t="str">
        <x:v>KR-X045</x:v>
      </x:c>
      <x:c r="B129" s="67" t="str">
        <x:v>EV0018</x:v>
      </x:c>
      <x:c r="C129" s="68" t="n">
        <x:v>2015</x:v>
      </x:c>
      <x:c r="D129" s="155" t="str">
        <x:v>스포츠·건강</x:v>
      </x:c>
      <x:c r="E129" s="67" t="str">
        <x:v>메르스 공포·마스크 사재기</x:v>
      </x:c>
      <x:c r="F129" s="67" t="str">
        <x:v>모두투어 (080160)</x:v>
      </x:c>
      <x:c r="G129" s="67" t="str">
        <x:v>KOSDAQ</x:v>
      </x:c>
      <x:c r="H129" s="67" t="str">
        <x:v>하락</x:v>
      </x:c>
      <x:c r="I129" s="59" t="str">
        <x:v>10.31% 하락</x:v>
      </x:c>
      <x:c r="J129" s="59" t="str">
        <x:v>여행</x:v>
      </x:c>
      <x:c r="K129" s="159" t="str">
        <x:v>건강·방역</x:v>
      </x:c>
      <x:c r="L129" s="59" t="str">
        <x:v>공포에 따른 소비·이동 변화와 직접 또는 인접 연결</x:v>
      </x:c>
      <x:c r="M129" s="59" t="str">
        <x:v>S146;S147</x:v>
      </x:c>
      <x:c r="N129" s="76" t="n">
        <x:v>2</x:v>
      </x:c>
      <x:c r="O129" s="76" t="n">
        <x:v>1</x:v>
      </x:c>
      <x:c r="P129" s="76" t="n">
        <x:v>2</x:v>
      </x:c>
      <x:c r="Q129" s="76" t="n">
        <x:v>1</x:v>
      </x:c>
      <x:c r="R129" s="76" t="n">
        <x:f>SUM(N129:P129)</x:f>
        <x:v>5</x:v>
      </x:c>
      <x:c r="S129" s="75" t="str">
        <x:f>IF(AND(N129=2,P129=2,R129&gt;=5),"핵심사례",IF(R129&gt;=3,"보조사례","경계사례"))</x:f>
        <x:v>핵심사례</x:v>
      </x:c>
    </x:row>
    <x:row r="130" ht="39" customHeight="1">
      <x:c r="A130" s="69" t="str">
        <x:v>KR-X046</x:v>
      </x:c>
      <x:c r="B130" s="69" t="str">
        <x:v>EV0018</x:v>
      </x:c>
      <x:c r="C130" s="70" t="n">
        <x:v>2015</x:v>
      </x:c>
      <x:c r="D130" s="156" t="str">
        <x:v>스포츠·건강</x:v>
      </x:c>
      <x:c r="E130" s="69" t="str">
        <x:v>메르스 공포·마스크 사재기</x:v>
      </x:c>
      <x:c r="F130" s="69" t="str">
        <x:v>세중 (039310)</x:v>
      </x:c>
      <x:c r="G130" s="69" t="str">
        <x:v>KOSDAQ</x:v>
      </x:c>
      <x:c r="H130" s="69" t="str">
        <x:v>하락</x:v>
      </x:c>
      <x:c r="I130" s="34" t="str">
        <x:v>7.74% 하락</x:v>
      </x:c>
      <x:c r="J130" s="34" t="str">
        <x:v>여행</x:v>
      </x:c>
      <x:c r="K130" s="160" t="str">
        <x:v>건강·방역</x:v>
      </x:c>
      <x:c r="L130" s="34" t="str">
        <x:v>공포에 따른 소비·이동 변화와 직접 또는 인접 연결</x:v>
      </x:c>
      <x:c r="M130" s="34" t="str">
        <x:v>S146;S147</x:v>
      </x:c>
      <x:c r="N130" s="78" t="n">
        <x:v>2</x:v>
      </x:c>
      <x:c r="O130" s="78" t="n">
        <x:v>1</x:v>
      </x:c>
      <x:c r="P130" s="78" t="n">
        <x:v>2</x:v>
      </x:c>
      <x:c r="Q130" s="78" t="n">
        <x:v>1</x:v>
      </x:c>
      <x:c r="R130" s="78" t="n">
        <x:f>SUM(N130:P130)</x:f>
        <x:v>5</x:v>
      </x:c>
      <x:c r="S130" s="77" t="str">
        <x:f>IF(AND(N130=2,P130=2,R130&gt;=5),"핵심사례",IF(R130&gt;=3,"보조사례","경계사례"))</x:f>
        <x:v>핵심사례</x:v>
      </x:c>
    </x:row>
    <x:row r="131" ht="39" customHeight="1">
      <x:c r="A131" s="67" t="str">
        <x:v>KR-X042</x:v>
      </x:c>
      <x:c r="B131" s="67" t="str">
        <x:v>EV0018</x:v>
      </x:c>
      <x:c r="C131" s="68" t="n">
        <x:v>2015</x:v>
      </x:c>
      <x:c r="D131" s="155" t="str">
        <x:v>스포츠·건강</x:v>
      </x:c>
      <x:c r="E131" s="67" t="str">
        <x:v>메르스 공포·마스크 사재기</x:v>
      </x:c>
      <x:c r="F131" s="67" t="str">
        <x:v>오공 (045060)</x:v>
      </x:c>
      <x:c r="G131" s="67" t="str">
        <x:v>KOSDAQ</x:v>
      </x:c>
      <x:c r="H131" s="67" t="str">
        <x:v>상승</x:v>
      </x:c>
      <x:c r="I131" s="59" t="str">
        <x:v>43.65% 상승</x:v>
      </x:c>
      <x:c r="J131" s="59" t="str">
        <x:v>마스크·접착제</x:v>
      </x:c>
      <x:c r="K131" s="159" t="str">
        <x:v>건강·방역</x:v>
      </x:c>
      <x:c r="L131" s="59" t="str">
        <x:v>공포에 따른 소비·이동 변화와 직접 또는 인접 연결</x:v>
      </x:c>
      <x:c r="M131" s="59" t="str">
        <x:v>S146;S147</x:v>
      </x:c>
      <x:c r="N131" s="76" t="n">
        <x:v>2</x:v>
      </x:c>
      <x:c r="O131" s="76" t="n">
        <x:v>1</x:v>
      </x:c>
      <x:c r="P131" s="76" t="n">
        <x:v>2</x:v>
      </x:c>
      <x:c r="Q131" s="76" t="n">
        <x:v>1</x:v>
      </x:c>
      <x:c r="R131" s="76" t="n">
        <x:f>SUM(N131:P131)</x:f>
        <x:v>5</x:v>
      </x:c>
      <x:c r="S131" s="75" t="str">
        <x:f>IF(AND(N131=2,P131=2,R131&gt;=5),"핵심사례",IF(R131&gt;=3,"보조사례","경계사례"))</x:f>
        <x:v>핵심사례</x:v>
      </x:c>
    </x:row>
    <x:row r="132" ht="39" customHeight="1">
      <x:c r="A132" s="69" t="str">
        <x:v>KR-X041</x:v>
      </x:c>
      <x:c r="B132" s="69" t="str">
        <x:v>EV0018</x:v>
      </x:c>
      <x:c r="C132" s="70" t="n">
        <x:v>2015</x:v>
      </x:c>
      <x:c r="D132" s="156" t="str">
        <x:v>스포츠·건강</x:v>
      </x:c>
      <x:c r="E132" s="69" t="str">
        <x:v>메르스 공포·마스크 사재기</x:v>
      </x:c>
      <x:c r="F132" s="69" t="str">
        <x:v>케이엠 (083550)</x:v>
      </x:c>
      <x:c r="G132" s="69" t="str">
        <x:v>KOSDAQ</x:v>
      </x:c>
      <x:c r="H132" s="69" t="str">
        <x:v>상승</x:v>
      </x:c>
      <x:c r="I132" s="34" t="str">
        <x:v>발생 전 대비 48.53% 상승</x:v>
      </x:c>
      <x:c r="J132" s="34" t="str">
        <x:v>마스크</x:v>
      </x:c>
      <x:c r="K132" s="160" t="str">
        <x:v>건강·방역</x:v>
      </x:c>
      <x:c r="L132" s="34" t="str">
        <x:v>공포에 따른 소비·이동 변화와 직접 또는 인접 연결</x:v>
      </x:c>
      <x:c r="M132" s="34" t="str">
        <x:v>S146;S147</x:v>
      </x:c>
      <x:c r="N132" s="78" t="n">
        <x:v>2</x:v>
      </x:c>
      <x:c r="O132" s="78" t="n">
        <x:v>1</x:v>
      </x:c>
      <x:c r="P132" s="78" t="n">
        <x:v>2</x:v>
      </x:c>
      <x:c r="Q132" s="78" t="n">
        <x:v>1</x:v>
      </x:c>
      <x:c r="R132" s="78" t="n">
        <x:f>SUM(N132:P132)</x:f>
        <x:v>5</x:v>
      </x:c>
      <x:c r="S132" s="77" t="str">
        <x:f>IF(AND(N132=2,P132=2,R132&gt;=5),"핵심사례",IF(R132&gt;=3,"보조사례","경계사례"))</x:f>
        <x:v>핵심사례</x:v>
      </x:c>
    </x:row>
    <x:row r="133" ht="39" customHeight="1">
      <x:c r="A133" s="67" t="str">
        <x:v>KR-X043</x:v>
      </x:c>
      <x:c r="B133" s="67" t="str">
        <x:v>EV0018</x:v>
      </x:c>
      <x:c r="C133" s="68" t="n">
        <x:v>2015</x:v>
      </x:c>
      <x:c r="D133" s="155" t="str">
        <x:v>스포츠·건강</x:v>
      </x:c>
      <x:c r="E133" s="67" t="str">
        <x:v>메르스 공포·마스크 사재기</x:v>
      </x:c>
      <x:c r="F133" s="67" t="str">
        <x:v>파루 (043200)</x:v>
      </x:c>
      <x:c r="G133" s="67" t="str">
        <x:v>KOSDAQ</x:v>
      </x:c>
      <x:c r="H133" s="67" t="str">
        <x:v>상승</x:v>
      </x:c>
      <x:c r="I133" s="59" t="str">
        <x:v>27.29% 상승</x:v>
      </x:c>
      <x:c r="J133" s="59" t="str">
        <x:v>손세정·방역</x:v>
      </x:c>
      <x:c r="K133" s="159" t="str">
        <x:v>건강·방역</x:v>
      </x:c>
      <x:c r="L133" s="59" t="str">
        <x:v>공포에 따른 소비·이동 변화와 직접 또는 인접 연결</x:v>
      </x:c>
      <x:c r="M133" s="59" t="str">
        <x:v>S146;S147</x:v>
      </x:c>
      <x:c r="N133" s="76" t="n">
        <x:v>2</x:v>
      </x:c>
      <x:c r="O133" s="76" t="n">
        <x:v>1</x:v>
      </x:c>
      <x:c r="P133" s="76" t="n">
        <x:v>2</x:v>
      </x:c>
      <x:c r="Q133" s="76" t="n">
        <x:v>1</x:v>
      </x:c>
      <x:c r="R133" s="76" t="n">
        <x:f>SUM(N133:P133)</x:f>
        <x:v>5</x:v>
      </x:c>
      <x:c r="S133" s="75" t="str">
        <x:f>IF(AND(N133=2,P133=2,R133&gt;=5),"핵심사례",IF(R133&gt;=3,"보조사례","경계사례"))</x:f>
        <x:v>핵심사례</x:v>
      </x:c>
    </x:row>
    <x:row r="134" ht="39" customHeight="1">
      <x:c r="A134" s="69" t="str">
        <x:v>KR-X044</x:v>
      </x:c>
      <x:c r="B134" s="69" t="str">
        <x:v>EV0018</x:v>
      </x:c>
      <x:c r="C134" s="70" t="n">
        <x:v>2015</x:v>
      </x:c>
      <x:c r="D134" s="156" t="str">
        <x:v>스포츠·건강</x:v>
      </x:c>
      <x:c r="E134" s="69" t="str">
        <x:v>메르스 공포·마스크 사재기</x:v>
      </x:c>
      <x:c r="F134" s="69" t="str">
        <x:v>하나투어 (039130)</x:v>
      </x:c>
      <x:c r="G134" s="69" t="str">
        <x:v>KOSPI</x:v>
      </x:c>
      <x:c r="H134" s="69" t="str">
        <x:v>하락</x:v>
      </x:c>
      <x:c r="I134" s="34" t="str">
        <x:v>15.27% 하락</x:v>
      </x:c>
      <x:c r="J134" s="34" t="str">
        <x:v>여행</x:v>
      </x:c>
      <x:c r="K134" s="160" t="str">
        <x:v>건강·방역</x:v>
      </x:c>
      <x:c r="L134" s="34" t="str">
        <x:v>공포에 따른 소비·이동 변화와 직접 또는 인접 연결</x:v>
      </x:c>
      <x:c r="M134" s="34" t="str">
        <x:v>S146;S147</x:v>
      </x:c>
      <x:c r="N134" s="78" t="n">
        <x:v>2</x:v>
      </x:c>
      <x:c r="O134" s="78" t="n">
        <x:v>1</x:v>
      </x:c>
      <x:c r="P134" s="78" t="n">
        <x:v>2</x:v>
      </x:c>
      <x:c r="Q134" s="78" t="n">
        <x:v>1</x:v>
      </x:c>
      <x:c r="R134" s="78" t="n">
        <x:f>SUM(N134:P134)</x:f>
        <x:v>5</x:v>
      </x:c>
      <x:c r="S134" s="77" t="str">
        <x:f>IF(AND(N134=2,P134=2,R134&gt;=5),"핵심사례",IF(R134&gt;=3,"보조사례","경계사례"))</x:f>
        <x:v>핵심사례</x:v>
      </x:c>
    </x:row>
    <x:row r="135" ht="39" customHeight="1">
      <x:c r="A135" s="67" t="str">
        <x:v>KR-SNS004</x:v>
      </x:c>
      <x:c r="B135" s="67" t="str">
        <x:v>EV0014</x:v>
      </x:c>
      <x:c r="C135" s="68" t="n">
        <x:v>2014</x:v>
      </x:c>
      <x:c r="D135" s="155" t="str">
        <x:v>식품·음료</x:v>
      </x:c>
      <x:c r="E135" s="67" t="str">
        <x:v>불닭볶음면 챌린지</x:v>
      </x:c>
      <x:c r="F135" s="67" t="str">
        <x:v>삼양식품 (003230)</x:v>
      </x:c>
      <x:c r="G135" s="67" t="str">
        <x:v>KOSPI</x:v>
      </x:c>
      <x:c r="H135" s="67" t="str">
        <x:v>상승</x:v>
      </x:c>
      <x:c r="I135" s="59" t="str">
        <x:v>2024년 주가 254% 상승</x:v>
      </x:c>
      <x:c r="J135" s="59" t="str">
        <x:v>강한사례</x:v>
      </x:c>
      <x:c r="K135" s="159" t="str">
        <x:v>식품 유행 일반</x:v>
      </x:c>
      <x:c r="L135" s="59" t="str">
        <x:v>바이럴-사업직결 | 완료 | 순수 밈주가 아니라 바이럴→매출→주가의 전형</x:v>
      </x:c>
      <x:c r="M135" s="59" t="str">
        <x:v>S53</x:v>
      </x:c>
      <x:c r="N135" s="76" t="n">
        <x:v>2</x:v>
      </x:c>
      <x:c r="O135" s="76" t="n">
        <x:v>2</x:v>
      </x:c>
      <x:c r="P135" s="76" t="n">
        <x:v>2</x:v>
      </x:c>
      <x:c r="Q135" s="76" t="n">
        <x:v>1</x:v>
      </x:c>
      <x:c r="R135" s="76" t="n">
        <x:f>SUM(N135:P135)</x:f>
        <x:v>6</x:v>
      </x:c>
      <x:c r="S135" s="75" t="str">
        <x:f>IF(AND(N135=2,P135=2,R135&gt;=5),"핵심사례",IF(R135&gt;=3,"보조사례","경계사례"))</x:f>
        <x:v>핵심사례</x:v>
      </x:c>
    </x:row>
    <x:row r="136" ht="39" customHeight="1">
      <x:c r="A136" s="69" t="str">
        <x:v>KR-SNS013</x:v>
      </x:c>
      <x:c r="B136" s="69" t="str">
        <x:v>EV0016</x:v>
      </x:c>
      <x:c r="C136" s="70" t="n">
        <x:v>2014</x:v>
      </x:c>
      <x:c r="D136" s="156" t="str">
        <x:v>식품·음료</x:v>
      </x:c>
      <x:c r="E136" s="69" t="str">
        <x:v>허니버터칩 품절</x:v>
      </x:c>
      <x:c r="F136" s="69" t="str">
        <x:v>크라운제과(당시) (005740)</x:v>
      </x:c>
      <x:c r="G136" s="69" t="str">
        <x:v>KOSPI</x:v>
      </x:c>
      <x:c r="H136" s="69" t="str">
        <x:v>상승</x:v>
      </x:c>
      <x:c r="I136" s="34" t="str">
        <x:v>2014-11-21 전일 대비 9.7%, 전년 동기 대비 26.6% 상승</x:v>
      </x:c>
      <x:c r="J136" s="34" t="str">
        <x:v>강한사례</x:v>
      </x:c>
      <x:c r="K136" s="160" t="str">
        <x:v>식품 유행 일반</x:v>
      </x:c>
      <x:c r="L136" s="34" t="str">
        <x:v>바이럴-사업직결 | 완료 | 한국형 바이럴 식품주의 대표 선행 사례</x:v>
      </x:c>
      <x:c r="M136" s="34" t="str">
        <x:v>S62</x:v>
      </x:c>
      <x:c r="N136" s="78" t="n">
        <x:v>2</x:v>
      </x:c>
      <x:c r="O136" s="78" t="n">
        <x:v>2</x:v>
      </x:c>
      <x:c r="P136" s="78" t="n">
        <x:v>2</x:v>
      </x:c>
      <x:c r="Q136" s="78" t="n">
        <x:v>1</x:v>
      </x:c>
      <x:c r="R136" s="78" t="n">
        <x:f>SUM(N136:P136)</x:f>
        <x:v>6</x:v>
      </x:c>
      <x:c r="S136" s="77" t="str">
        <x:f>IF(AND(N136=2,P136=2,R136&gt;=5),"핵심사례",IF(R136&gt;=3,"보조사례","경계사례"))</x:f>
        <x:v>핵심사례</x:v>
      </x:c>
    </x:row>
    <x:row r="137" ht="39" customHeight="1">
      <x:c r="A137" s="67" t="str">
        <x:v>KR-X068</x:v>
      </x:c>
      <x:c r="B137" s="67" t="str">
        <x:v>EV0015</x:v>
      </x:c>
      <x:c r="C137" s="68" t="n">
        <x:v>2014</x:v>
      </x:c>
      <x:c r="D137" s="155" t="str">
        <x:v>스포츠·건강</x:v>
      </x:c>
      <x:c r="E137" s="67" t="str">
        <x:v>에볼라 공포·백신 기대</x:v>
      </x:c>
      <x:c r="F137" s="67" t="str">
        <x:v>진원생명과학 (011000)</x:v>
      </x:c>
      <x:c r="G137" s="67" t="str">
        <x:v>KOSPI</x:v>
      </x:c>
      <x:c r="H137" s="67" t="str">
        <x:v>상승</x:v>
      </x:c>
      <x:c r="I137" s="59" t="str">
        <x:v>이틀째 급등·당일 11.53%</x:v>
      </x:c>
      <x:c r="J137" s="59" t="str">
        <x:v>백신 생산</x:v>
      </x:c>
      <x:c r="K137" s="159" t="str">
        <x:v>건강·방역</x:v>
      </x:c>
      <x:c r="L137" s="59" t="str">
        <x:v>실제 공급계약과 공포 테마가 함께 작용</x:v>
      </x:c>
      <x:c r="M137" s="59" t="str">
        <x:v>S157</x:v>
      </x:c>
      <x:c r="N137" s="76" t="n">
        <x:v>2</x:v>
      </x:c>
      <x:c r="O137" s="76" t="n">
        <x:v>2</x:v>
      </x:c>
      <x:c r="P137" s="76" t="n">
        <x:v>2</x:v>
      </x:c>
      <x:c r="Q137" s="76" t="n">
        <x:v>1</x:v>
      </x:c>
      <x:c r="R137" s="76" t="n">
        <x:f>SUM(N137:P137)</x:f>
        <x:v>6</x:v>
      </x:c>
      <x:c r="S137" s="75" t="str">
        <x:f>IF(AND(N137=2,P137=2,R137&gt;=5),"핵심사례",IF(R137&gt;=3,"보조사례","경계사례"))</x:f>
        <x:v>핵심사례</x:v>
      </x:c>
    </x:row>
    <x:row r="138" ht="39" customHeight="1">
      <x:c r="A138" s="69" t="str">
        <x:v>DISC-2013-01</x:v>
      </x:c>
      <x:c r="B138" s="69" t="str">
        <x:v>EV0013</x:v>
      </x:c>
      <x:c r="C138" s="70" t="n">
        <x:v>2013</x:v>
      </x:c>
      <x:c r="D138" s="156" t="str">
        <x:v>스포츠·건강</x:v>
      </x:c>
      <x:c r="E138" s="69" t="str">
        <x:v>남양유업 갑질 녹취·불매운동</x:v>
      </x:c>
      <x:c r="F138" s="69" t="str">
        <x:v>남양유업 (003920)</x:v>
      </x:c>
      <x:c r="G138" s="69" t="str">
        <x:v>KOSPI</x:v>
      </x:c>
      <x:c r="H138" s="69" t="str">
        <x:v>하락</x:v>
      </x:c>
      <x:c r="I138" s="34" t="str">
        <x:v>논란 후 1주일 15% 하락</x:v>
      </x:c>
      <x:c r="J138" s="34" t="str">
        <x:v>강한사례</x:v>
      </x:c>
      <x:c r="K138" s="160" t="str">
        <x:v>운동·피트니스</x:v>
      </x:c>
      <x:c r="L138" s="34" t="str">
        <x:v>온라인 분노→불매→장기 브랜드 훼손</x:v>
      </x:c>
      <x:c r="M138" s="34" t="str">
        <x:v>S104</x:v>
      </x:c>
      <x:c r="N138" s="78" t="n">
        <x:v>2</x:v>
      </x:c>
      <x:c r="O138" s="78" t="n">
        <x:v>2</x:v>
      </x:c>
      <x:c r="P138" s="78" t="n">
        <x:v>2</x:v>
      </x:c>
      <x:c r="Q138" s="78" t="n">
        <x:v>1</x:v>
      </x:c>
      <x:c r="R138" s="78" t="n">
        <x:f>SUM(N138:P138)</x:f>
        <x:v>6</x:v>
      </x:c>
      <x:c r="S138" s="77" t="str">
        <x:f>IF(AND(N138=2,P138=2,R138&gt;=5),"핵심사례",IF(R138&gt;=3,"보조사례","경계사례"))</x:f>
        <x:v>핵심사례</x:v>
      </x:c>
    </x:row>
    <x:row r="139" ht="39" customHeight="1">
      <x:c r="A139" s="67" t="str">
        <x:v>KR-C001</x:v>
      </x:c>
      <x:c r="B139" s="67" t="str">
        <x:v>EV0011</x:v>
      </x:c>
      <x:c r="C139" s="68" t="n">
        <x:v>2012</x:v>
      </x:c>
      <x:c r="D139" s="155" t="str">
        <x:v>콘텐츠·엔터</x:v>
      </x:c>
      <x:c r="E139" s="67" t="str">
        <x:v>싸이 강남스타일</x:v>
      </x:c>
      <x:c r="F139" s="67" t="str">
        <x:v>디아이 (003160)</x:v>
      </x:c>
      <x:c r="G139" s="67" t="str">
        <x:v>KOSPI</x:v>
      </x:c>
      <x:c r="H139" s="67" t="str">
        <x:v>상승</x:v>
      </x:c>
      <x:c r="I139" s="59" t="str">
        <x:v>9월 초 대비 약 50%, 이후 4일 연속 상한가</x:v>
      </x:c>
      <x:c r="J139" s="59" t="str">
        <x:v>경계사례</x:v>
      </x:c>
      <x:c r="K139" s="159" t="str">
        <x:v>팬덤·공연</x:v>
      </x:c>
      <x:c r="L139" s="59" t="str">
        <x:v>강한 밈 | 완료 | 문화 유행의 대표 사례</x:v>
      </x:c>
      <x:c r="M139" s="59" t="str">
        <x:v>S31;S32</x:v>
      </x:c>
      <x:c r="N139" s="76" t="n">
        <x:v>2</x:v>
      </x:c>
      <x:c r="O139" s="76" t="n">
        <x:v>0</x:v>
      </x:c>
      <x:c r="P139" s="76" t="n">
        <x:v>2</x:v>
      </x:c>
      <x:c r="Q139" s="76" t="n">
        <x:v>0</x:v>
      </x:c>
      <x:c r="R139" s="76" t="n">
        <x:f>SUM(N139:P139)</x:f>
        <x:v>4</x:v>
      </x:c>
      <x:c r="S139" s="75" t="str">
        <x:f>IF(AND(N139=2,P139=2,R139&gt;=5),"핵심사례",IF(R139&gt;=3,"보조사례","경계사례"))</x:f>
        <x:v>보조사례</x:v>
      </x:c>
    </x:row>
    <x:row r="140" ht="39" customHeight="1">
      <x:c r="A140" s="69" t="str">
        <x:v>KR-X066</x:v>
      </x:c>
      <x:c r="B140" s="69" t="str">
        <x:v>EV0010</x:v>
      </x:c>
      <x:c r="C140" s="70" t="n">
        <x:v>2011</x:v>
      </x:c>
      <x:c r="D140" s="156" t="str">
        <x:v>스포츠·건강</x:v>
      </x:c>
      <x:c r="E140" s="69" t="str">
        <x:v>후쿠시마 방사능 공포</x:v>
      </x:c>
      <x:c r="F140" s="69" t="str">
        <x:v>대정화금 (120240)</x:v>
      </x:c>
      <x:c r="G140" s="69" t="str">
        <x:v>KOSDAQ</x:v>
      </x:c>
      <x:c r="H140" s="69" t="str">
        <x:v>상승</x:v>
      </x:c>
      <x:c r="I140" s="34" t="str">
        <x:v>4~7%대 상승</x:v>
      </x:c>
      <x:c r="J140" s="34" t="str">
        <x:v>제품·테마</x:v>
      </x:c>
      <x:c r="K140" s="160" t="str">
        <x:v>건강·방역</x:v>
      </x:c>
      <x:c r="L140" s="34" t="str">
        <x:v>실제 방사능 차단 효과와 시장 테마는 분리 필요</x:v>
      </x:c>
      <x:c r="M140" s="34" t="str">
        <x:v>S156</x:v>
      </x:c>
      <x:c r="N140" s="78" t="n">
        <x:v>2</x:v>
      </x:c>
      <x:c r="O140" s="78" t="n">
        <x:v>0</x:v>
      </x:c>
      <x:c r="P140" s="78" t="n">
        <x:v>2</x:v>
      </x:c>
      <x:c r="Q140" s="78" t="n">
        <x:v>0</x:v>
      </x:c>
      <x:c r="R140" s="78" t="n">
        <x:f>SUM(N140:P140)</x:f>
        <x:v>4</x:v>
      </x:c>
      <x:c r="S140" s="77" t="str">
        <x:f>IF(AND(N140=2,P140=2,R140&gt;=5),"핵심사례",IF(R140&gt;=3,"보조사례","경계사례"))</x:f>
        <x:v>보조사례</x:v>
      </x:c>
    </x:row>
    <x:row r="141" ht="39" customHeight="1">
      <x:c r="A141" s="67" t="str">
        <x:v>KR-X064</x:v>
      </x:c>
      <x:c r="B141" s="67" t="str">
        <x:v>EV0010</x:v>
      </x:c>
      <x:c r="C141" s="68" t="n">
        <x:v>2011</x:v>
      </x:c>
      <x:c r="D141" s="155" t="str">
        <x:v>스포츠·건강</x:v>
      </x:c>
      <x:c r="E141" s="67" t="str">
        <x:v>후쿠시마 방사능 공포</x:v>
      </x:c>
      <x:c r="F141" s="67" t="str">
        <x:v>웰크론 (065950)</x:v>
      </x:c>
      <x:c r="G141" s="67" t="str">
        <x:v>KOSDAQ</x:v>
      </x:c>
      <x:c r="H141" s="67" t="str">
        <x:v>상승</x:v>
      </x:c>
      <x:c r="I141" s="59" t="str">
        <x:v>5%대 상승</x:v>
      </x:c>
      <x:c r="J141" s="59" t="str">
        <x:v>제품·테마</x:v>
      </x:c>
      <x:c r="K141" s="159" t="str">
        <x:v>건강·방역</x:v>
      </x:c>
      <x:c r="L141" s="59" t="str">
        <x:v>실제 방사능 차단 효과와 시장 테마는 분리 필요</x:v>
      </x:c>
      <x:c r="M141" s="59" t="str">
        <x:v>S156</x:v>
      </x:c>
      <x:c r="N141" s="76" t="n">
        <x:v>2</x:v>
      </x:c>
      <x:c r="O141" s="76" t="n">
        <x:v>0</x:v>
      </x:c>
      <x:c r="P141" s="76" t="n">
        <x:v>2</x:v>
      </x:c>
      <x:c r="Q141" s="76" t="n">
        <x:v>0</x:v>
      </x:c>
      <x:c r="R141" s="76" t="n">
        <x:f>SUM(N141:P141)</x:f>
        <x:v>4</x:v>
      </x:c>
      <x:c r="S141" s="75" t="str">
        <x:f>IF(AND(N141=2,P141=2,R141&gt;=5),"핵심사례",IF(R141&gt;=3,"보조사례","경계사례"))</x:f>
        <x:v>보조사례</x:v>
      </x:c>
    </x:row>
    <x:row r="142" ht="39" customHeight="1">
      <x:c r="A142" s="69" t="str">
        <x:v>KR-X067</x:v>
      </x:c>
      <x:c r="B142" s="69" t="str">
        <x:v>EV0010</x:v>
      </x:c>
      <x:c r="C142" s="70" t="n">
        <x:v>2011</x:v>
      </x:c>
      <x:c r="D142" s="156" t="str">
        <x:v>스포츠·건강</x:v>
      </x:c>
      <x:c r="E142" s="69" t="str">
        <x:v>후쿠시마 방사능 공포</x:v>
      </x:c>
      <x:c r="F142" s="69" t="str">
        <x:v>크린앤사이언스 (045520)</x:v>
      </x:c>
      <x:c r="G142" s="69" t="str">
        <x:v>KOSDAQ</x:v>
      </x:c>
      <x:c r="H142" s="69" t="str">
        <x:v>상승</x:v>
      </x:c>
      <x:c r="I142" s="34" t="str">
        <x:v>방사능 차단 테마 급등</x:v>
      </x:c>
      <x:c r="J142" s="34" t="str">
        <x:v>제품·테마</x:v>
      </x:c>
      <x:c r="K142" s="160" t="str">
        <x:v>건강·방역</x:v>
      </x:c>
      <x:c r="L142" s="34" t="str">
        <x:v>실제 방사능 차단 효과와 시장 테마는 분리 필요</x:v>
      </x:c>
      <x:c r="M142" s="34" t="str">
        <x:v>S156</x:v>
      </x:c>
      <x:c r="N142" s="78" t="n">
        <x:v>2</x:v>
      </x:c>
      <x:c r="O142" s="78" t="n">
        <x:v>0</x:v>
      </x:c>
      <x:c r="P142" s="78" t="n">
        <x:v>2</x:v>
      </x:c>
      <x:c r="Q142" s="78" t="n">
        <x:v>0</x:v>
      </x:c>
      <x:c r="R142" s="78" t="n">
        <x:f>SUM(N142:P142)</x:f>
        <x:v>4</x:v>
      </x:c>
      <x:c r="S142" s="77" t="str">
        <x:f>IF(AND(N142=2,P142=2,R142&gt;=5),"핵심사례",IF(R142&gt;=3,"보조사례","경계사례"))</x:f>
        <x:v>보조사례</x:v>
      </x:c>
    </x:row>
    <x:row r="143" ht="39" customHeight="1">
      <x:c r="A143" s="67" t="str">
        <x:v>KR-X065</x:v>
      </x:c>
      <x:c r="B143" s="67" t="str">
        <x:v>EV0010</x:v>
      </x:c>
      <x:c r="C143" s="68" t="n">
        <x:v>2011</x:v>
      </x:c>
      <x:c r="D143" s="155" t="str">
        <x:v>스포츠·건강</x:v>
      </x:c>
      <x:c r="E143" s="67" t="str">
        <x:v>후쿠시마 방사능 공포</x:v>
      </x:c>
      <x:c r="F143" s="67" t="str">
        <x:v>한국유나이티드제약 (033270)</x:v>
      </x:c>
      <x:c r="G143" s="67" t="str">
        <x:v>KOSPI</x:v>
      </x:c>
      <x:c r="H143" s="67" t="str">
        <x:v>상승</x:v>
      </x:c>
      <x:c r="I143" s="59" t="str">
        <x:v>4~7%대 상승</x:v>
      </x:c>
      <x:c r="J143" s="59" t="str">
        <x:v>제품·테마</x:v>
      </x:c>
      <x:c r="K143" s="159" t="str">
        <x:v>건강·방역</x:v>
      </x:c>
      <x:c r="L143" s="59" t="str">
        <x:v>실제 방사능 차단 효과와 시장 테마는 분리 필요</x:v>
      </x:c>
      <x:c r="M143" s="59" t="str">
        <x:v>S156</x:v>
      </x:c>
      <x:c r="N143" s="76" t="n">
        <x:v>2</x:v>
      </x:c>
      <x:c r="O143" s="76" t="n">
        <x:v>0</x:v>
      </x:c>
      <x:c r="P143" s="76" t="n">
        <x:v>2</x:v>
      </x:c>
      <x:c r="Q143" s="76" t="n">
        <x:v>0</x:v>
      </x:c>
      <x:c r="R143" s="76" t="n">
        <x:f>SUM(N143:P143)</x:f>
        <x:v>4</x:v>
      </x:c>
      <x:c r="S143" s="75" t="str">
        <x:f>IF(AND(N143=2,P143=2,R143&gt;=5),"핵심사례",IF(R143&gt;=3,"보조사례","경계사례"))</x:f>
        <x:v>보조사례</x:v>
      </x:c>
    </x:row>
    <x:row r="144" ht="39" customHeight="1">
      <x:c r="A144" s="69" t="str">
        <x:v>DISC-2010-03</x:v>
      </x:c>
      <x:c r="B144" s="69" t="str">
        <x:v>EV0006</x:v>
      </x:c>
      <x:c r="C144" s="70" t="n">
        <x:v>2010</x:v>
      </x:c>
      <x:c r="D144" s="156" t="str">
        <x:v>식품·음료</x:v>
      </x:c>
      <x:c r="E144" s="69" t="str">
        <x:v>남아공월드컵 치킨 수요 기대</x:v>
      </x:c>
      <x:c r="F144" s="69" t="str">
        <x:v>동우(당시 상장사) (088910)</x:v>
      </x:c>
      <x:c r="G144" s="69" t="str">
        <x:v>KOSDAQ</x:v>
      </x:c>
      <x:c r="H144" s="69" t="str">
        <x:v>상승→소멸</x:v>
      </x:c>
      <x:c r="I144" s="34" t="str">
        <x:v>급락장 중 약 4% 상승 후 테마 소멸</x:v>
      </x:c>
      <x:c r="J144" s="34" t="str">
        <x:v>강한사례</x:v>
      </x:c>
      <x:c r="K144" s="160" t="str">
        <x:v>외식·프랜차이즈</x:v>
      </x:c>
      <x:c r="L144" s="34" t="str">
        <x:v>역사 상장사</x:v>
      </x:c>
      <x:c r="M144" s="34" t="str">
        <x:v>S103</x:v>
      </x:c>
      <x:c r="N144" s="78" t="n">
        <x:v>2</x:v>
      </x:c>
      <x:c r="O144" s="78" t="n">
        <x:v>2</x:v>
      </x:c>
      <x:c r="P144" s="78" t="n">
        <x:v>2</x:v>
      </x:c>
      <x:c r="Q144" s="78" t="n">
        <x:v>1</x:v>
      </x:c>
      <x:c r="R144" s="78" t="n">
        <x:f>SUM(N144:P144)</x:f>
        <x:v>6</x:v>
      </x:c>
      <x:c r="S144" s="77" t="str">
        <x:f>IF(AND(N144=2,P144=2,R144&gt;=5),"핵심사례",IF(R144&gt;=3,"보조사례","경계사례"))</x:f>
        <x:v>핵심사례</x:v>
      </x:c>
    </x:row>
    <x:row r="145" ht="39" customHeight="1">
      <x:c r="A145" s="67" t="str">
        <x:v>DISC-2010-02</x:v>
      </x:c>
      <x:c r="B145" s="67" t="str">
        <x:v>EV0006</x:v>
      </x:c>
      <x:c r="C145" s="68" t="n">
        <x:v>2010</x:v>
      </x:c>
      <x:c r="D145" s="155" t="str">
        <x:v>식품·음료</x:v>
      </x:c>
      <x:c r="E145" s="67" t="str">
        <x:v>남아공월드컵 치킨 수요 기대</x:v>
      </x:c>
      <x:c r="F145" s="67" t="str">
        <x:v>하림 (136480)</x:v>
      </x:c>
      <x:c r="G145" s="67" t="str">
        <x:v>KOSDAQ</x:v>
      </x:c>
      <x:c r="H145" s="67" t="str">
        <x:v>상승→소멸</x:v>
      </x:c>
      <x:c r="I145" s="59" t="str">
        <x:v>급락장 중 약 8% 상승 후 16강 진출일 하락</x:v>
      </x:c>
      <x:c r="J145" s="59" t="str">
        <x:v>강한사례</x:v>
      </x:c>
      <x:c r="K145" s="159" t="str">
        <x:v>외식·프랜차이즈</x:v>
      </x:c>
      <x:c r="L145" s="59" t="str">
        <x:v>경기 결과에 따라 테마 소멸</x:v>
      </x:c>
      <x:c r="M145" s="59" t="str">
        <x:v>S103</x:v>
      </x:c>
      <x:c r="N145" s="76" t="n">
        <x:v>2</x:v>
      </x:c>
      <x:c r="O145" s="76" t="n">
        <x:v>2</x:v>
      </x:c>
      <x:c r="P145" s="76" t="n">
        <x:v>2</x:v>
      </x:c>
      <x:c r="Q145" s="76" t="n">
        <x:v>1</x:v>
      </x:c>
      <x:c r="R145" s="76" t="n">
        <x:f>SUM(N145:P145)</x:f>
        <x:v>6</x:v>
      </x:c>
      <x:c r="S145" s="75" t="str">
        <x:f>IF(AND(N145=2,P145=2,R145&gt;=5),"핵심사례",IF(R145&gt;=3,"보조사례","경계사례"))</x:f>
        <x:v>핵심사례</x:v>
      </x:c>
    </x:row>
    <x:row r="146" ht="39" customHeight="1">
      <x:c r="A146" s="69" t="str">
        <x:v>DISC-2010-01</x:v>
      </x:c>
      <x:c r="B146" s="69" t="str">
        <x:v>EV0007</x:v>
      </x:c>
      <x:c r="C146" s="70" t="n">
        <x:v>2010</x:v>
      </x:c>
      <x:c r="D146" s="156" t="str">
        <x:v>식품·음료</x:v>
      </x:c>
      <x:c r="E146" s="69" t="str">
        <x:v>막걸리 웰빙·복고 열풍</x:v>
      </x:c>
      <x:c r="F146" s="69" t="str">
        <x:v>국순당 (043650)</x:v>
      </x:c>
      <x:c r="G146" s="69" t="str">
        <x:v>KOSDAQ</x:v>
      </x:c>
      <x:c r="H146" s="69" t="str">
        <x:v>상승</x:v>
      </x:c>
      <x:c r="I146" s="34" t="str">
        <x:v>연일 신고가 행진</x:v>
      </x:c>
      <x:c r="J146" s="34" t="str">
        <x:v>강한사례</x:v>
      </x:c>
      <x:c r="K146" s="160" t="str">
        <x:v>음료·주류</x:v>
      </x:c>
      <x:c r="L146" s="34" t="str">
        <x:v>유행과 매출 성장·실적이 함께 작동</x:v>
      </x:c>
      <x:c r="M146" s="34" t="str">
        <x:v>S102</x:v>
      </x:c>
      <x:c r="N146" s="78" t="n">
        <x:v>2</x:v>
      </x:c>
      <x:c r="O146" s="78" t="n">
        <x:v>2</x:v>
      </x:c>
      <x:c r="P146" s="78" t="n">
        <x:v>1</x:v>
      </x:c>
      <x:c r="Q146" s="78" t="n">
        <x:v>2</x:v>
      </x:c>
      <x:c r="R146" s="78" t="n">
        <x:f>SUM(N146:P146)</x:f>
        <x:v>5</x:v>
      </x:c>
      <x:c r="S146" s="77" t="str">
        <x:f>IF(AND(N146=2,P146=2,R146&gt;=5),"핵심사례",IF(R146&gt;=3,"보조사례","경계사례"))</x:f>
        <x:v>보조사례</x:v>
      </x:c>
    </x:row>
    <x:row r="147" ht="39" customHeight="1">
      <x:c r="A147" s="67" t="str">
        <x:v>KR-H019</x:v>
      </x:c>
      <x:c r="B147" s="67" t="str">
        <x:v>EV0008</x:v>
      </x:c>
      <x:c r="C147" s="68" t="n">
        <x:v>2010</x:v>
      </x:c>
      <x:c r="D147" s="155" t="str">
        <x:v>콘텐츠·엔터</x:v>
      </x:c>
      <x:c r="E147" s="67" t="str">
        <x:v>아바타·3D 열풍</x:v>
      </x:c>
      <x:c r="F147" s="67" t="str">
        <x:v>잘만테크 (090120)</x:v>
      </x:c>
      <x:c r="G147" s="67" t="str">
        <x:v>KOSDAQ</x:v>
      </x:c>
      <x:c r="H147" s="67" t="str">
        <x:v>미확인</x:v>
      </x:c>
      <x:c r="I147" s="59" t="str">
        <x:v>기사상 꾸준한 상승세; 정확 수치 미제공</x:v>
      </x:c>
      <x:c r="J147" s="59" t="str">
        <x:v>가격미확인</x:v>
      </x:c>
      <x:c r="K147" s="159" t="str">
        <x:v>영화·애니메이션</x:v>
      </x:c>
      <x:c r="L147" s="59" t="str">
        <x:v>후보-가격검증 | 부분 | 현재 투자대상 아님</x:v>
      </x:c>
      <x:c r="M147" s="59" t="str">
        <x:v>S96</x:v>
      </x:c>
      <x:c r="N147" s="76" t="n">
        <x:v>2</x:v>
      </x:c>
      <x:c r="O147" s="76" t="n">
        <x:v>1</x:v>
      </x:c>
      <x:c r="P147" s="76" t="n">
        <x:v>0</x:v>
      </x:c>
      <x:c r="Q147" s="76" t="n">
        <x:v>1</x:v>
      </x:c>
      <x:c r="R147" s="76" t="n">
        <x:f>SUM(N147:P147)</x:f>
        <x:v>3</x:v>
      </x:c>
      <x:c r="S147" s="75" t="str">
        <x:f>IF(AND(N147=2,P147=2,R147&gt;=5),"핵심사례",IF(R147&gt;=3,"보조사례","경계사례"))</x:f>
        <x:v>보조사례</x:v>
      </x:c>
    </x:row>
    <x:row r="148" ht="39" customHeight="1">
      <x:c r="A148" s="69" t="str">
        <x:v>KR-H017</x:v>
      </x:c>
      <x:c r="B148" s="69" t="str">
        <x:v>EV0008</x:v>
      </x:c>
      <x:c r="C148" s="70" t="n">
        <x:v>2010</x:v>
      </x:c>
      <x:c r="D148" s="156" t="str">
        <x:v>콘텐츠·엔터</x:v>
      </x:c>
      <x:c r="E148" s="69" t="str">
        <x:v>아바타·3D 열풍</x:v>
      </x:c>
      <x:c r="F148" s="69" t="str">
        <x:v>케이디씨(현 광무) (029480)</x:v>
      </x:c>
      <x:c r="G148" s="69" t="str">
        <x:v>KOSDAQ</x:v>
      </x:c>
      <x:c r="H148" s="69" t="str">
        <x:v>미확인</x:v>
      </x:c>
      <x:c r="I148" s="34" t="str">
        <x:v>기사상 급등 후 하락 언급; 정확 수치 미제공</x:v>
      </x:c>
      <x:c r="J148" s="34" t="str">
        <x:v>가격미확인</x:v>
      </x:c>
      <x:c r="K148" s="160" t="str">
        <x:v>영화·애니메이션</x:v>
      </x:c>
      <x:c r="L148" s="34" t="str">
        <x:v>후보-가격검증 | 부분 | 사실 기사 존재, 수치 미입력</x:v>
      </x:c>
      <x:c r="M148" s="34" t="str">
        <x:v>S96</x:v>
      </x:c>
      <x:c r="N148" s="78" t="n">
        <x:v>2</x:v>
      </x:c>
      <x:c r="O148" s="78" t="n">
        <x:v>1</x:v>
      </x:c>
      <x:c r="P148" s="78" t="n">
        <x:v>0</x:v>
      </x:c>
      <x:c r="Q148" s="78" t="n">
        <x:v>1</x:v>
      </x:c>
      <x:c r="R148" s="78" t="n">
        <x:f>SUM(N148:P148)</x:f>
        <x:v>3</x:v>
      </x:c>
      <x:c r="S148" s="77" t="str">
        <x:f>IF(AND(N148=2,P148=2,R148&gt;=5),"핵심사례",IF(R148&gt;=3,"보조사례","경계사례"))</x:f>
        <x:v>보조사례</x:v>
      </x:c>
    </x:row>
    <x:row r="149" ht="39" customHeight="1">
      <x:c r="A149" s="67" t="str">
        <x:v>KR-H018</x:v>
      </x:c>
      <x:c r="B149" s="67" t="str">
        <x:v>EV0008</x:v>
      </x:c>
      <x:c r="C149" s="68" t="n">
        <x:v>2010</x:v>
      </x:c>
      <x:c r="D149" s="155" t="str">
        <x:v>콘텐츠·엔터</x:v>
      </x:c>
      <x:c r="E149" s="67" t="str">
        <x:v>아바타·3D 열풍</x:v>
      </x:c>
      <x:c r="F149" s="67" t="str">
        <x:v>티엘아이 (062860)</x:v>
      </x:c>
      <x:c r="G149" s="67" t="str">
        <x:v>KOSDAQ</x:v>
      </x:c>
      <x:c r="H149" s="67" t="str">
        <x:v>미확인</x:v>
      </x:c>
      <x:c r="I149" s="59" t="str">
        <x:v>기사상 꾸준한 상승세; 정확 수치 미제공</x:v>
      </x:c>
      <x:c r="J149" s="59" t="str">
        <x:v>가격미확인</x:v>
      </x:c>
      <x:c r="K149" s="159" t="str">
        <x:v>영화·애니메이션</x:v>
      </x:c>
      <x:c r="L149" s="59" t="str">
        <x:v>후보-가격검증 | 부분 | 이후 상장 상태 변동은 별도 확인</x:v>
      </x:c>
      <x:c r="M149" s="59" t="str">
        <x:v>S96</x:v>
      </x:c>
      <x:c r="N149" s="76" t="n">
        <x:v>2</x:v>
      </x:c>
      <x:c r="O149" s="76" t="n">
        <x:v>1</x:v>
      </x:c>
      <x:c r="P149" s="76" t="n">
        <x:v>0</x:v>
      </x:c>
      <x:c r="Q149" s="76" t="n">
        <x:v>1</x:v>
      </x:c>
      <x:c r="R149" s="76" t="n">
        <x:f>SUM(N149:P149)</x:f>
        <x:v>3</x:v>
      </x:c>
      <x:c r="S149" s="75" t="str">
        <x:f>IF(AND(N149=2,P149=2,R149&gt;=5),"핵심사례",IF(R149&gt;=3,"보조사례","경계사례"))</x:f>
        <x:v>보조사례</x:v>
      </x:c>
    </x:row>
    <x:row r="150" ht="39" customHeight="1">
      <x:c r="A150" s="69" t="str">
        <x:v>KR-H023</x:v>
      </x:c>
      <x:c r="B150" s="69" t="str">
        <x:v>EV0009</x:v>
      </x:c>
      <x:c r="C150" s="70" t="n">
        <x:v>2010</x:v>
      </x:c>
      <x:c r="D150" s="156" t="str">
        <x:v>디지털·플랫폼</x:v>
      </x:c>
      <x:c r="E150" s="69" t="str">
        <x:v>아이폰·스마트폰 확산</x:v>
      </x:c>
      <x:c r="F150" s="69" t="str">
        <x:v>디오텍(현 셀바스AI) (108860)</x:v>
      </x:c>
      <x:c r="G150" s="69" t="str">
        <x:v>KOSDAQ</x:v>
      </x:c>
      <x:c r="H150" s="69" t="str">
        <x:v>미확인</x:v>
      </x:c>
      <x:c r="I150" s="34" t="str">
        <x:v>관련주 관심; 원문 정확 수치 미제공</x:v>
      </x:c>
      <x:c r="J150" s="34" t="str">
        <x:v>가격미확인</x:v>
      </x:c>
      <x:c r="K150" s="160" t="str">
        <x:v>IT기기·통신</x:v>
      </x:c>
      <x:c r="L150" s="34" t="str">
        <x:v>후보-가격검증 | 부분 | 현재 사명 병기</x:v>
      </x:c>
      <x:c r="M150" s="34" t="str">
        <x:v>S80;S96</x:v>
      </x:c>
      <x:c r="N150" s="78" t="n">
        <x:v>2</x:v>
      </x:c>
      <x:c r="O150" s="78" t="n">
        <x:v>1</x:v>
      </x:c>
      <x:c r="P150" s="78" t="n">
        <x:v>0</x:v>
      </x:c>
      <x:c r="Q150" s="78" t="n">
        <x:v>1</x:v>
      </x:c>
      <x:c r="R150" s="78" t="n">
        <x:f>SUM(N150:P150)</x:f>
        <x:v>3</x:v>
      </x:c>
      <x:c r="S150" s="77" t="str">
        <x:f>IF(AND(N150=2,P150=2,R150&gt;=5),"핵심사례",IF(R150&gt;=3,"보조사례","경계사례"))</x:f>
        <x:v>보조사례</x:v>
      </x:c>
    </x:row>
    <x:row r="151" ht="39" customHeight="1">
      <x:c r="A151" s="67" t="str">
        <x:v>KR-H020</x:v>
      </x:c>
      <x:c r="B151" s="67" t="str">
        <x:v>EV0009</x:v>
      </x:c>
      <x:c r="C151" s="68" t="n">
        <x:v>2010</x:v>
      </x:c>
      <x:c r="D151" s="155" t="str">
        <x:v>디지털·플랫폼</x:v>
      </x:c>
      <x:c r="E151" s="67" t="str">
        <x:v>아이폰·스마트폰 확산</x:v>
      </x:c>
      <x:c r="F151" s="67" t="str">
        <x:v>디지텍시스템 (091690)</x:v>
      </x:c>
      <x:c r="G151" s="67" t="str">
        <x:v>KOSDAQ</x:v>
      </x:c>
      <x:c r="H151" s="67" t="str">
        <x:v>미확인</x:v>
      </x:c>
      <x:c r="I151" s="59" t="str">
        <x:v>수혜주로 주목; 원문 정확 수치 미제공</x:v>
      </x:c>
      <x:c r="J151" s="59" t="str">
        <x:v>가격미확인</x:v>
      </x:c>
      <x:c r="K151" s="159" t="str">
        <x:v>IT기기·통신</x:v>
      </x:c>
      <x:c r="L151" s="59" t="str">
        <x:v>후보-가격검증 | 부분 | 가격 데이터 후속 검증 필요</x:v>
      </x:c>
      <x:c r="M151" s="59" t="str">
        <x:v>S80;S96</x:v>
      </x:c>
      <x:c r="N151" s="76" t="n">
        <x:v>2</x:v>
      </x:c>
      <x:c r="O151" s="76" t="n">
        <x:v>1</x:v>
      </x:c>
      <x:c r="P151" s="76" t="n">
        <x:v>0</x:v>
      </x:c>
      <x:c r="Q151" s="76" t="n">
        <x:v>1</x:v>
      </x:c>
      <x:c r="R151" s="76" t="n">
        <x:f>SUM(N151:P151)</x:f>
        <x:v>3</x:v>
      </x:c>
      <x:c r="S151" s="75" t="str">
        <x:f>IF(AND(N151=2,P151=2,R151&gt;=5),"핵심사례",IF(R151&gt;=3,"보조사례","경계사례"))</x:f>
        <x:v>보조사례</x:v>
      </x:c>
    </x:row>
    <x:row r="152" ht="39" customHeight="1">
      <x:c r="A152" s="69" t="str">
        <x:v>KR-H022</x:v>
      </x:c>
      <x:c r="B152" s="69" t="str">
        <x:v>EV0009</x:v>
      </x:c>
      <x:c r="C152" s="70" t="n">
        <x:v>2010</x:v>
      </x:c>
      <x:c r="D152" s="156" t="str">
        <x:v>디지털·플랫폼</x:v>
      </x:c>
      <x:c r="E152" s="69" t="str">
        <x:v>아이폰·스마트폰 확산</x:v>
      </x:c>
      <x:c r="F152" s="69" t="str">
        <x:v>멜파스 (096640)</x:v>
      </x:c>
      <x:c r="G152" s="69" t="str">
        <x:v>KOSDAQ</x:v>
      </x:c>
      <x:c r="H152" s="69" t="str">
        <x:v>미확인</x:v>
      </x:c>
      <x:c r="I152" s="34" t="str">
        <x:v>수혜주로 주목; 원문 정확 수치 미제공</x:v>
      </x:c>
      <x:c r="J152" s="34" t="str">
        <x:v>가격미확인</x:v>
      </x:c>
      <x:c r="K152" s="160" t="str">
        <x:v>IT기기·통신</x:v>
      </x:c>
      <x:c r="L152" s="34" t="str">
        <x:v>후보-가격검증 | 부분 | 가격 데이터 후속 검증 필요</x:v>
      </x:c>
      <x:c r="M152" s="34" t="str">
        <x:v>S80;S96</x:v>
      </x:c>
      <x:c r="N152" s="78" t="n">
        <x:v>2</x:v>
      </x:c>
      <x:c r="O152" s="78" t="n">
        <x:v>1</x:v>
      </x:c>
      <x:c r="P152" s="78" t="n">
        <x:v>0</x:v>
      </x:c>
      <x:c r="Q152" s="78" t="n">
        <x:v>1</x:v>
      </x:c>
      <x:c r="R152" s="78" t="n">
        <x:f>SUM(N152:P152)</x:f>
        <x:v>3</x:v>
      </x:c>
      <x:c r="S152" s="77" t="str">
        <x:f>IF(AND(N152=2,P152=2,R152&gt;=5),"핵심사례",IF(R152&gt;=3,"보조사례","경계사례"))</x:f>
        <x:v>보조사례</x:v>
      </x:c>
    </x:row>
    <x:row r="153" ht="39" customHeight="1">
      <x:c r="A153" s="67" t="str">
        <x:v>KR-H025</x:v>
      </x:c>
      <x:c r="B153" s="67" t="str">
        <x:v>EV0009</x:v>
      </x:c>
      <x:c r="C153" s="68" t="n">
        <x:v>2010</x:v>
      </x:c>
      <x:c r="D153" s="155" t="str">
        <x:v>디지털·플랫폼</x:v>
      </x:c>
      <x:c r="E153" s="67" t="str">
        <x:v>아이폰·스마트폰 확산</x:v>
      </x:c>
      <x:c r="F153" s="67" t="str">
        <x:v>아모텍 (052710)</x:v>
      </x:c>
      <x:c r="G153" s="67" t="str">
        <x:v>KOSDAQ</x:v>
      </x:c>
      <x:c r="H153" s="67" t="str">
        <x:v>미확인</x:v>
      </x:c>
      <x:c r="I153" s="59" t="str">
        <x:v>관련주 관심; 원문 정확 수치 미제공</x:v>
      </x:c>
      <x:c r="J153" s="59" t="str">
        <x:v>가격미확인</x:v>
      </x:c>
      <x:c r="K153" s="159" t="str">
        <x:v>IT기기·통신</x:v>
      </x:c>
      <x:c r="L153" s="59" t="str">
        <x:v>후보-가격검증 | 부분 | 기업-사건 후보 행</x:v>
      </x:c>
      <x:c r="M153" s="59" t="str">
        <x:v>S80;S96</x:v>
      </x:c>
      <x:c r="N153" s="76" t="n">
        <x:v>2</x:v>
      </x:c>
      <x:c r="O153" s="76" t="n">
        <x:v>1</x:v>
      </x:c>
      <x:c r="P153" s="76" t="n">
        <x:v>0</x:v>
      </x:c>
      <x:c r="Q153" s="76" t="n">
        <x:v>1</x:v>
      </x:c>
      <x:c r="R153" s="76" t="n">
        <x:f>SUM(N153:P153)</x:f>
        <x:v>3</x:v>
      </x:c>
      <x:c r="S153" s="75" t="str">
        <x:f>IF(AND(N153=2,P153=2,R153&gt;=5),"핵심사례",IF(R153&gt;=3,"보조사례","경계사례"))</x:f>
        <x:v>보조사례</x:v>
      </x:c>
    </x:row>
    <x:row r="154" ht="39" customHeight="1">
      <x:c r="A154" s="69" t="str">
        <x:v>KR-H021</x:v>
      </x:c>
      <x:c r="B154" s="69" t="str">
        <x:v>EV0009</x:v>
      </x:c>
      <x:c r="C154" s="70" t="n">
        <x:v>2010</x:v>
      </x:c>
      <x:c r="D154" s="156" t="str">
        <x:v>디지털·플랫폼</x:v>
      </x:c>
      <x:c r="E154" s="69" t="str">
        <x:v>아이폰·스마트폰 확산</x:v>
      </x:c>
      <x:c r="F154" s="69" t="str">
        <x:v>이엘케이 (094190)</x:v>
      </x:c>
      <x:c r="G154" s="69" t="str">
        <x:v>KOSDAQ</x:v>
      </x:c>
      <x:c r="H154" s="69" t="str">
        <x:v>미확인</x:v>
      </x:c>
      <x:c r="I154" s="34" t="str">
        <x:v>수혜주로 주목; 원문 정확 수치 미제공</x:v>
      </x:c>
      <x:c r="J154" s="34" t="str">
        <x:v>가격미확인</x:v>
      </x:c>
      <x:c r="K154" s="160" t="str">
        <x:v>IT기기·통신</x:v>
      </x:c>
      <x:c r="L154" s="34" t="str">
        <x:v>후보-가격검증 | 부분 | 가격 데이터 후속 검증 필요</x:v>
      </x:c>
      <x:c r="M154" s="34" t="str">
        <x:v>S80;S96</x:v>
      </x:c>
      <x:c r="N154" s="78" t="n">
        <x:v>2</x:v>
      </x:c>
      <x:c r="O154" s="78" t="n">
        <x:v>1</x:v>
      </x:c>
      <x:c r="P154" s="78" t="n">
        <x:v>0</x:v>
      </x:c>
      <x:c r="Q154" s="78" t="n">
        <x:v>1</x:v>
      </x:c>
      <x:c r="R154" s="78" t="n">
        <x:f>SUM(N154:P154)</x:f>
        <x:v>3</x:v>
      </x:c>
      <x:c r="S154" s="77" t="str">
        <x:f>IF(AND(N154=2,P154=2,R154&gt;=5),"핵심사례",IF(R154&gt;=3,"보조사례","경계사례"))</x:f>
        <x:v>보조사례</x:v>
      </x:c>
    </x:row>
    <x:row r="155" ht="39" customHeight="1">
      <x:c r="A155" s="67" t="str">
        <x:v>KR-H024</x:v>
      </x:c>
      <x:c r="B155" s="67" t="str">
        <x:v>EV0009</x:v>
      </x:c>
      <x:c r="C155" s="68" t="n">
        <x:v>2010</x:v>
      </x:c>
      <x:c r="D155" s="155" t="str">
        <x:v>디지털·플랫폼</x:v>
      </x:c>
      <x:c r="E155" s="67" t="str">
        <x:v>아이폰·스마트폰 확산</x:v>
      </x:c>
      <x:c r="F155" s="67" t="str">
        <x:v>파트론 (091700)</x:v>
      </x:c>
      <x:c r="G155" s="67" t="str">
        <x:v>KOSDAQ</x:v>
      </x:c>
      <x:c r="H155" s="67" t="str">
        <x:v>미확인</x:v>
      </x:c>
      <x:c r="I155" s="59" t="str">
        <x:v>관련주 관심; 원문 정확 수치 미제공</x:v>
      </x:c>
      <x:c r="J155" s="59" t="str">
        <x:v>가격미확인</x:v>
      </x:c>
      <x:c r="K155" s="159" t="str">
        <x:v>IT기기·통신</x:v>
      </x:c>
      <x:c r="L155" s="59" t="str">
        <x:v>후보-가격검증 | 부분 | 기업-사건 후보 행</x:v>
      </x:c>
      <x:c r="M155" s="59" t="str">
        <x:v>S80;S96</x:v>
      </x:c>
      <x:c r="N155" s="76" t="n">
        <x:v>2</x:v>
      </x:c>
      <x:c r="O155" s="76" t="n">
        <x:v>1</x:v>
      </x:c>
      <x:c r="P155" s="76" t="n">
        <x:v>0</x:v>
      </x:c>
      <x:c r="Q155" s="76" t="n">
        <x:v>1</x:v>
      </x:c>
      <x:c r="R155" s="76" t="n">
        <x:f>SUM(N155:P155)</x:f>
        <x:v>3</x:v>
      </x:c>
      <x:c r="S155" s="75" t="str">
        <x:f>IF(AND(N155=2,P155=2,R155&gt;=5),"핵심사례",IF(R155&gt;=3,"보조사례","경계사례"))</x:f>
        <x:v>보조사례</x:v>
      </x:c>
    </x:row>
    <x:row r="156" ht="39" customHeight="1">
      <x:c r="A156" s="69" t="str">
        <x:v>DISC-2009-04</x:v>
      </x:c>
      <x:c r="B156" s="69" t="str">
        <x:v>EV0004</x:v>
      </x:c>
      <x:c r="C156" s="70" t="n">
        <x:v>2009</x:v>
      </x:c>
      <x:c r="D156" s="156" t="str">
        <x:v>스포츠·건강</x:v>
      </x:c>
      <x:c r="E156" s="69" t="str">
        <x:v>신종플루 확산</x:v>
      </x:c>
      <x:c r="F156" s="69" t="str">
        <x:v>대한뉴팜 (054670)</x:v>
      </x:c>
      <x:c r="G156" s="69" t="str">
        <x:v>KOSDAQ</x:v>
      </x:c>
      <x:c r="H156" s="69" t="str">
        <x:v>상승</x:v>
      </x:c>
      <x:c r="I156" s="34" t="str">
        <x:v>사망자 발생일 상한가</x:v>
      </x:c>
      <x:c r="J156" s="34" t="str">
        <x:v>강한사례</x:v>
      </x:c>
      <x:c r="K156" s="160" t="str">
        <x:v>건강·방역</x:v>
      </x:c>
      <x:c r="L156" s="34" t="str">
        <x:v>의약 테마</x:v>
      </x:c>
      <x:c r="M156" s="34" t="str">
        <x:v>S101</x:v>
      </x:c>
      <x:c r="N156" s="78" t="n">
        <x:v>2</x:v>
      </x:c>
      <x:c r="O156" s="78" t="n">
        <x:v>1</x:v>
      </x:c>
      <x:c r="P156" s="78" t="n">
        <x:v>2</x:v>
      </x:c>
      <x:c r="Q156" s="78" t="n">
        <x:v>1</x:v>
      </x:c>
      <x:c r="R156" s="78" t="n">
        <x:f>SUM(N156:P156)</x:f>
        <x:v>5</x:v>
      </x:c>
      <x:c r="S156" s="77" t="str">
        <x:f>IF(AND(N156=2,P156=2,R156&gt;=5),"핵심사례",IF(R156&gt;=3,"보조사례","경계사례"))</x:f>
        <x:v>핵심사례</x:v>
      </x:c>
    </x:row>
    <x:row r="157" ht="39" customHeight="1">
      <x:c r="A157" s="67" t="str">
        <x:v>DISC-2009-08</x:v>
      </x:c>
      <x:c r="B157" s="67" t="str">
        <x:v>EV0004</x:v>
      </x:c>
      <x:c r="C157" s="68" t="n">
        <x:v>2009</x:v>
      </x:c>
      <x:c r="D157" s="155" t="str">
        <x:v>스포츠·건강</x:v>
      </x:c>
      <x:c r="E157" s="67" t="str">
        <x:v>신종플루 확산</x:v>
      </x:c>
      <x:c r="F157" s="67" t="str">
        <x:v>씨티씨바이오 (060590)</x:v>
      </x:c>
      <x:c r="G157" s="67" t="str">
        <x:v>KOSDAQ</x:v>
      </x:c>
      <x:c r="H157" s="67" t="str">
        <x:v>상승</x:v>
      </x:c>
      <x:c r="I157" s="59" t="str">
        <x:v>확산 뉴스에 상한가</x:v>
      </x:c>
      <x:c r="J157" s="59" t="str">
        <x:v>강한사례</x:v>
      </x:c>
      <x:c r="K157" s="159" t="str">
        <x:v>건강·방역</x:v>
      </x:c>
      <x:c r="L157" s="59" t="str">
        <x:v>의약·백신 관련주 묶음</x:v>
      </x:c>
      <x:c r="M157" s="59" t="str">
        <x:v>S100</x:v>
      </x:c>
      <x:c r="N157" s="76" t="n">
        <x:v>2</x:v>
      </x:c>
      <x:c r="O157" s="76" t="n">
        <x:v>1</x:v>
      </x:c>
      <x:c r="P157" s="76" t="n">
        <x:v>2</x:v>
      </x:c>
      <x:c r="Q157" s="76" t="n">
        <x:v>1</x:v>
      </x:c>
      <x:c r="R157" s="76" t="n">
        <x:f>SUM(N157:P157)</x:f>
        <x:v>5</x:v>
      </x:c>
      <x:c r="S157" s="75" t="str">
        <x:f>IF(AND(N157=2,P157=2,R157&gt;=5),"핵심사례",IF(R157&gt;=3,"보조사례","경계사례"))</x:f>
        <x:v>핵심사례</x:v>
      </x:c>
    </x:row>
    <x:row r="158" ht="39" customHeight="1">
      <x:c r="A158" s="69" t="str">
        <x:v>DISC-2009-11</x:v>
      </x:c>
      <x:c r="B158" s="69" t="str">
        <x:v>EV0004</x:v>
      </x:c>
      <x:c r="C158" s="70" t="n">
        <x:v>2009</x:v>
      </x:c>
      <x:c r="D158" s="156" t="str">
        <x:v>스포츠·건강</x:v>
      </x:c>
      <x:c r="E158" s="69" t="str">
        <x:v>신종플루 확산</x:v>
      </x:c>
      <x:c r="F158" s="69" t="str">
        <x:v>에스디(당시 상장사) (066930)</x:v>
      </x:c>
      <x:c r="G158" s="69" t="str">
        <x:v>KOSDAQ</x:v>
      </x:c>
      <x:c r="H158" s="69" t="str">
        <x:v>상승</x:v>
      </x:c>
      <x:c r="I158" s="34" t="str">
        <x:v>확산 뉴스에 상한가</x:v>
      </x:c>
      <x:c r="J158" s="34" t="str">
        <x:v>강한사례</x:v>
      </x:c>
      <x:c r="K158" s="160" t="str">
        <x:v>건강·방역</x:v>
      </x:c>
      <x:c r="L158" s="34" t="str">
        <x:v>진단 관련 역사 사례</x:v>
      </x:c>
      <x:c r="M158" s="34" t="str">
        <x:v>S100</x:v>
      </x:c>
      <x:c r="N158" s="78" t="n">
        <x:v>2</x:v>
      </x:c>
      <x:c r="O158" s="78" t="n">
        <x:v>2</x:v>
      </x:c>
      <x:c r="P158" s="78" t="n">
        <x:v>2</x:v>
      </x:c>
      <x:c r="Q158" s="78" t="n">
        <x:v>1</x:v>
      </x:c>
      <x:c r="R158" s="78" t="n">
        <x:f>SUM(N158:P158)</x:f>
        <x:v>6</x:v>
      </x:c>
      <x:c r="S158" s="77" t="str">
        <x:f>IF(AND(N158=2,P158=2,R158&gt;=5),"핵심사례",IF(R158&gt;=3,"보조사례","경계사례"))</x:f>
        <x:v>핵심사례</x:v>
      </x:c>
    </x:row>
    <x:row r="159" ht="39" customHeight="1">
      <x:c r="A159" s="67" t="str">
        <x:v>DISC-2009-10</x:v>
      </x:c>
      <x:c r="B159" s="67" t="str">
        <x:v>EV0004</x:v>
      </x:c>
      <x:c r="C159" s="68" t="n">
        <x:v>2009</x:v>
      </x:c>
      <x:c r="D159" s="155" t="str">
        <x:v>스포츠·건강</x:v>
      </x:c>
      <x:c r="E159" s="67" t="str">
        <x:v>신종플루 확산</x:v>
      </x:c>
      <x:c r="F159" s="67" t="str">
        <x:v>에스텍파마 (041910)</x:v>
      </x:c>
      <x:c r="G159" s="67" t="str">
        <x:v>KOSDAQ</x:v>
      </x:c>
      <x:c r="H159" s="67" t="str">
        <x:v>상승</x:v>
      </x:c>
      <x:c r="I159" s="59" t="str">
        <x:v>확산 뉴스에 상한가</x:v>
      </x:c>
      <x:c r="J159" s="59" t="str">
        <x:v>강한사례</x:v>
      </x:c>
      <x:c r="K159" s="159" t="str">
        <x:v>건강·방역</x:v>
      </x:c>
      <x:c r="L159" s="59" t="str">
        <x:v>의약 테마</x:v>
      </x:c>
      <x:c r="M159" s="59" t="str">
        <x:v>S100</x:v>
      </x:c>
      <x:c r="N159" s="76" t="n">
        <x:v>2</x:v>
      </x:c>
      <x:c r="O159" s="76" t="n">
        <x:v>1</x:v>
      </x:c>
      <x:c r="P159" s="76" t="n">
        <x:v>2</x:v>
      </x:c>
      <x:c r="Q159" s="76" t="n">
        <x:v>1</x:v>
      </x:c>
      <x:c r="R159" s="76" t="n">
        <x:f>SUM(N159:P159)</x:f>
        <x:v>5</x:v>
      </x:c>
      <x:c r="S159" s="75" t="str">
        <x:f>IF(AND(N159=2,P159=2,R159&gt;=5),"핵심사례",IF(R159&gt;=3,"보조사례","경계사례"))</x:f>
        <x:v>핵심사례</x:v>
      </x:c>
    </x:row>
    <x:row r="160" ht="39" customHeight="1">
      <x:c r="A160" s="69" t="str">
        <x:v>DISC-2009-05</x:v>
      </x:c>
      <x:c r="B160" s="69" t="str">
        <x:v>EV0004</x:v>
      </x:c>
      <x:c r="C160" s="70" t="n">
        <x:v>2009</x:v>
      </x:c>
      <x:c r="D160" s="156" t="str">
        <x:v>스포츠·건강</x:v>
      </x:c>
      <x:c r="E160" s="69" t="str">
        <x:v>신종플루 확산</x:v>
      </x:c>
      <x:c r="F160" s="69" t="str">
        <x:v>제일바이오 (052670)</x:v>
      </x:c>
      <x:c r="G160" s="69" t="str">
        <x:v>KOSDAQ</x:v>
      </x:c>
      <x:c r="H160" s="69" t="str">
        <x:v>상승</x:v>
      </x:c>
      <x:c r="I160" s="34" t="str">
        <x:v>사망자 발생일 상한가</x:v>
      </x:c>
      <x:c r="J160" s="34" t="str">
        <x:v>강한사례</x:v>
      </x:c>
      <x:c r="K160" s="160" t="str">
        <x:v>건강·방역</x:v>
      </x:c>
      <x:c r="L160" s="34" t="str">
        <x:v>역사 상장사</x:v>
      </x:c>
      <x:c r="M160" s="34" t="str">
        <x:v>S101</x:v>
      </x:c>
      <x:c r="N160" s="78" t="n">
        <x:v>2</x:v>
      </x:c>
      <x:c r="O160" s="78" t="n">
        <x:v>1</x:v>
      </x:c>
      <x:c r="P160" s="78" t="n">
        <x:v>2</x:v>
      </x:c>
      <x:c r="Q160" s="78" t="n">
        <x:v>1</x:v>
      </x:c>
      <x:c r="R160" s="78" t="n">
        <x:f>SUM(N160:P160)</x:f>
        <x:v>5</x:v>
      </x:c>
      <x:c r="S160" s="77" t="str">
        <x:f>IF(AND(N160=2,P160=2,R160&gt;=5),"핵심사례",IF(R160&gt;=3,"보조사례","경계사례"))</x:f>
        <x:v>핵심사례</x:v>
      </x:c>
    </x:row>
    <x:row r="161" ht="39" customHeight="1">
      <x:c r="A161" s="67" t="str">
        <x:v>DISC-2009-07</x:v>
      </x:c>
      <x:c r="B161" s="67" t="str">
        <x:v>EV0004</x:v>
      </x:c>
      <x:c r="C161" s="68" t="n">
        <x:v>2009</x:v>
      </x:c>
      <x:c r="D161" s="155" t="str">
        <x:v>스포츠·건강</x:v>
      </x:c>
      <x:c r="E161" s="67" t="str">
        <x:v>신종플루 확산</x:v>
      </x:c>
      <x:c r="F161" s="67" t="str">
        <x:v>중앙백신 (072020)</x:v>
      </x:c>
      <x:c r="G161" s="67" t="str">
        <x:v>KOSDAQ</x:v>
      </x:c>
      <x:c r="H161" s="67" t="str">
        <x:v>상승</x:v>
      </x:c>
      <x:c r="I161" s="59" t="str">
        <x:v>사망자 발생일 상한가</x:v>
      </x:c>
      <x:c r="J161" s="59" t="str">
        <x:v>강한사례</x:v>
      </x:c>
      <x:c r="K161" s="159" t="str">
        <x:v>건강·방역</x:v>
      </x:c>
      <x:c r="L161" s="59" t="str">
        <x:v>동물백신에서 인체 유행으로 관심 전이 가능</x:v>
      </x:c>
      <x:c r="M161" s="59" t="str">
        <x:v>S101</x:v>
      </x:c>
      <x:c r="N161" s="76" t="n">
        <x:v>2</x:v>
      </x:c>
      <x:c r="O161" s="76" t="n">
        <x:v>1</x:v>
      </x:c>
      <x:c r="P161" s="76" t="n">
        <x:v>2</x:v>
      </x:c>
      <x:c r="Q161" s="76" t="n">
        <x:v>1</x:v>
      </x:c>
      <x:c r="R161" s="76" t="n">
        <x:f>SUM(N161:P161)</x:f>
        <x:v>5</x:v>
      </x:c>
      <x:c r="S161" s="75" t="str">
        <x:f>IF(AND(N161=2,P161=2,R161&gt;=5),"핵심사례",IF(R161&gt;=3,"보조사례","경계사례"))</x:f>
        <x:v>핵심사례</x:v>
      </x:c>
    </x:row>
    <x:row r="162" ht="39" customHeight="1">
      <x:c r="A162" s="69" t="str">
        <x:v>DISC-2009-02</x:v>
      </x:c>
      <x:c r="B162" s="69" t="str">
        <x:v>EV0004</x:v>
      </x:c>
      <x:c r="C162" s="70" t="n">
        <x:v>2009</x:v>
      </x:c>
      <x:c r="D162" s="156" t="str">
        <x:v>스포츠·건강</x:v>
      </x:c>
      <x:c r="E162" s="69" t="str">
        <x:v>신종플루 확산</x:v>
      </x:c>
      <x:c r="F162" s="69" t="str">
        <x:v>진원생명과학(당시 VGX인터) (011000)</x:v>
      </x:c>
      <x:c r="G162" s="69" t="str">
        <x:v>KOSPI</x:v>
      </x:c>
      <x:c r="H162" s="69" t="str">
        <x:v>상승</x:v>
      </x:c>
      <x:c r="I162" s="34" t="str">
        <x:v>사망자 발생일 상한가</x:v>
      </x:c>
      <x:c r="J162" s="34" t="str">
        <x:v>강한사례</x:v>
      </x:c>
      <x:c r="K162" s="160" t="str">
        <x:v>건강·방역</x:v>
      </x:c>
      <x:c r="L162" s="34" t="str">
        <x:v>당시 테마 분류</x:v>
      </x:c>
      <x:c r="M162" s="34" t="str">
        <x:v>S101</x:v>
      </x:c>
      <x:c r="N162" s="78" t="n">
        <x:v>2</x:v>
      </x:c>
      <x:c r="O162" s="78" t="n">
        <x:v>1</x:v>
      </x:c>
      <x:c r="P162" s="78" t="n">
        <x:v>2</x:v>
      </x:c>
      <x:c r="Q162" s="78" t="n">
        <x:v>1</x:v>
      </x:c>
      <x:c r="R162" s="78" t="n">
        <x:f>SUM(N162:P162)</x:f>
        <x:v>5</x:v>
      </x:c>
      <x:c r="S162" s="77" t="str">
        <x:f>IF(AND(N162=2,P162=2,R162&gt;=5),"핵심사례",IF(R162&gt;=3,"보조사례","경계사례"))</x:f>
        <x:v>핵심사례</x:v>
      </x:c>
    </x:row>
    <x:row r="163" ht="39" customHeight="1">
      <x:c r="A163" s="67" t="str">
        <x:v>DISC-2009-03</x:v>
      </x:c>
      <x:c r="B163" s="67" t="str">
        <x:v>EV0004</x:v>
      </x:c>
      <x:c r="C163" s="68" t="n">
        <x:v>2009</x:v>
      </x:c>
      <x:c r="D163" s="155" t="str">
        <x:v>스포츠·건강</x:v>
      </x:c>
      <x:c r="E163" s="67" t="str">
        <x:v>신종플루 확산</x:v>
      </x:c>
      <x:c r="F163" s="67" t="str">
        <x:v>케이피엠테크 (042040)</x:v>
      </x:c>
      <x:c r="G163" s="67" t="str">
        <x:v>KOSDAQ</x:v>
      </x:c>
      <x:c r="H163" s="67" t="str">
        <x:v>상승</x:v>
      </x:c>
      <x:c r="I163" s="59" t="str">
        <x:v>사망자 발생일 상한가</x:v>
      </x:c>
      <x:c r="J163" s="59" t="str">
        <x:v>강한사례</x:v>
      </x:c>
      <x:c r="K163" s="159" t="str">
        <x:v>건강·방역</x:v>
      </x:c>
      <x:c r="L163" s="59" t="str">
        <x:v>예방·방역 테마</x:v>
      </x:c>
      <x:c r="M163" s="59" t="str">
        <x:v>S101</x:v>
      </x:c>
      <x:c r="N163" s="76" t="n">
        <x:v>2</x:v>
      </x:c>
      <x:c r="O163" s="76" t="n">
        <x:v>1</x:v>
      </x:c>
      <x:c r="P163" s="76" t="n">
        <x:v>2</x:v>
      </x:c>
      <x:c r="Q163" s="76" t="n">
        <x:v>1</x:v>
      </x:c>
      <x:c r="R163" s="76" t="n">
        <x:f>SUM(N163:P163)</x:f>
        <x:v>5</x:v>
      </x:c>
      <x:c r="S163" s="75" t="str">
        <x:f>IF(AND(N163=2,P163=2,R163&gt;=5),"핵심사례",IF(R163&gt;=3,"보조사례","경계사례"))</x:f>
        <x:v>핵심사례</x:v>
      </x:c>
    </x:row>
    <x:row r="164" ht="39" customHeight="1">
      <x:c r="A164" s="69" t="str">
        <x:v>DISC-2009-06</x:v>
      </x:c>
      <x:c r="B164" s="69" t="str">
        <x:v>EV0004</x:v>
      </x:c>
      <x:c r="C164" s="70" t="n">
        <x:v>2009</x:v>
      </x:c>
      <x:c r="D164" s="156" t="str">
        <x:v>스포츠·건강</x:v>
      </x:c>
      <x:c r="E164" s="69" t="str">
        <x:v>신종플루 확산</x:v>
      </x:c>
      <x:c r="F164" s="69" t="str">
        <x:v>파루 (043200)</x:v>
      </x:c>
      <x:c r="G164" s="69" t="str">
        <x:v>KOSDAQ</x:v>
      </x:c>
      <x:c r="H164" s="69" t="str">
        <x:v>상승</x:v>
      </x:c>
      <x:c r="I164" s="34" t="str">
        <x:v>사망자 발생일 상한가</x:v>
      </x:c>
      <x:c r="J164" s="34" t="str">
        <x:v>강한사례</x:v>
      </x:c>
      <x:c r="K164" s="160" t="str">
        <x:v>건강·방역</x:v>
      </x:c>
      <x:c r="L164" s="34" t="str">
        <x:v>방역 테마</x:v>
      </x:c>
      <x:c r="M164" s="34" t="str">
        <x:v>S101</x:v>
      </x:c>
      <x:c r="N164" s="78" t="n">
        <x:v>2</x:v>
      </x:c>
      <x:c r="O164" s="78" t="n">
        <x:v>1</x:v>
      </x:c>
      <x:c r="P164" s="78" t="n">
        <x:v>2</x:v>
      </x:c>
      <x:c r="Q164" s="78" t="n">
        <x:v>1</x:v>
      </x:c>
      <x:c r="R164" s="78" t="n">
        <x:f>SUM(N164:P164)</x:f>
        <x:v>5</x:v>
      </x:c>
      <x:c r="S164" s="77" t="str">
        <x:f>IF(AND(N164=2,P164=2,R164&gt;=5),"핵심사례",IF(R164&gt;=3,"보조사례","경계사례"))</x:f>
        <x:v>핵심사례</x:v>
      </x:c>
    </x:row>
    <x:row r="165" ht="39" customHeight="1">
      <x:c r="A165" s="67" t="str">
        <x:v>DISC-2009-09</x:v>
      </x:c>
      <x:c r="B165" s="67" t="str">
        <x:v>EV0004</x:v>
      </x:c>
      <x:c r="C165" s="68" t="n">
        <x:v>2009</x:v>
      </x:c>
      <x:c r="D165" s="155" t="str">
        <x:v>스포츠·건강</x:v>
      </x:c>
      <x:c r="E165" s="67" t="str">
        <x:v>신종플루 확산</x:v>
      </x:c>
      <x:c r="F165" s="67" t="str">
        <x:v>현대바이오랜드(당시 바이오랜드) (052260)</x:v>
      </x:c>
      <x:c r="G165" s="67" t="str">
        <x:v>KOSDAQ</x:v>
      </x:c>
      <x:c r="H165" s="67" t="str">
        <x:v>상승</x:v>
      </x:c>
      <x:c r="I165" s="59" t="str">
        <x:v>확산 뉴스에 상한가</x:v>
      </x:c>
      <x:c r="J165" s="59" t="str">
        <x:v>강한사례</x:v>
      </x:c>
      <x:c r="K165" s="159" t="str">
        <x:v>건강·방역</x:v>
      </x:c>
      <x:c r="L165" s="59" t="str">
        <x:v>당시 관련주 분류</x:v>
      </x:c>
      <x:c r="M165" s="59" t="str">
        <x:v>S100</x:v>
      </x:c>
      <x:c r="N165" s="76" t="n">
        <x:v>2</x:v>
      </x:c>
      <x:c r="O165" s="76" t="n">
        <x:v>1</x:v>
      </x:c>
      <x:c r="P165" s="76" t="n">
        <x:v>2</x:v>
      </x:c>
      <x:c r="Q165" s="76" t="n">
        <x:v>1</x:v>
      </x:c>
      <x:c r="R165" s="76" t="n">
        <x:f>SUM(N165:P165)</x:f>
        <x:v>5</x:v>
      </x:c>
      <x:c r="S165" s="75" t="str">
        <x:f>IF(AND(N165=2,P165=2,R165&gt;=5),"핵심사례",IF(R165&gt;=3,"보조사례","경계사례"))</x:f>
        <x:v>핵심사례</x:v>
      </x:c>
    </x:row>
    <x:row r="166" ht="39" customHeight="1">
      <x:c r="A166" s="82" t="str">
        <x:v>DISC-2009-01</x:v>
      </x:c>
      <x:c r="B166" s="82" t="str">
        <x:v>EV0004</x:v>
      </x:c>
      <x:c r="C166" s="83" t="n">
        <x:v>2009</x:v>
      </x:c>
      <x:c r="D166" s="157" t="str">
        <x:v>스포츠·건강</x:v>
      </x:c>
      <x:c r="E166" s="82" t="str">
        <x:v>신종플루 확산</x:v>
      </x:c>
      <x:c r="F166" s="82" t="str">
        <x:v>GC녹십자 (006280)</x:v>
      </x:c>
      <x:c r="G166" s="82" t="str">
        <x:v>KOSPI</x:v>
      </x:c>
      <x:c r="H166" s="82" t="str">
        <x:v>상승</x:v>
      </x:c>
      <x:c r="I166" s="35" t="str">
        <x:v>사망자 발생일 상한가</x:v>
      </x:c>
      <x:c r="J166" s="35" t="str">
        <x:v>강한사례</x:v>
      </x:c>
      <x:c r="K166" s="161" t="str">
        <x:v>건강·방역</x:v>
      </x:c>
      <x:c r="L166" s="35" t="str">
        <x:v>백신 직접 사업; 공포·실수혜 혼합</x:v>
      </x:c>
      <x:c r="M166" s="35" t="str">
        <x:v>S101</x:v>
      </x:c>
      <x:c r="N166" s="84" t="n">
        <x:v>2</x:v>
      </x:c>
      <x:c r="O166" s="84" t="n">
        <x:v>2</x:v>
      </x:c>
      <x:c r="P166" s="84" t="n">
        <x:v>2</x:v>
      </x:c>
      <x:c r="Q166" s="84" t="n">
        <x:v>1</x:v>
      </x:c>
      <x:c r="R166" s="84" t="n">
        <x:f>SUM(N166:P166)</x:f>
        <x:v>6</x:v>
      </x:c>
      <x:c r="S166" s="85" t="str">
        <x:f>IF(AND(N166=2,P166=2,R166&gt;=5),"핵심사례",IF(R166&gt;=3,"보조사례","경계사례"))</x:f>
        <x:v>핵심사례</x:v>
      </x:c>
    </x:row>
  </x:sheetData>
  <x:mergeCells>
    <x:mergeCell ref="A1:S1"/>
    <x:mergeCell ref="A2:S2"/>
  </x:mergeCells>
  <x:conditionalFormatting sqref="H6:H166">
    <x:cfRule type="containsText" dxfId="3" priority="1" operator="containsText" text="상승"/>
    <x:cfRule type="containsText" dxfId="4" priority="2" operator="containsText" text="하락"/>
  </x:conditionalFormatting>
  <x:conditionalFormatting sqref="S6:S166">
    <x:cfRule type="containsText" dxfId="5" priority="3" operator="containsText" text="핵심"/>
    <x:cfRule type="containsText" dxfId="6" priority="4" operator="containsText" text="경계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48" hidden="0" customWidth="1"/>
    <x:col min="4" max="4" width="14" hidden="0" customWidth="1"/>
    <x:col min="5" max="5" width="64" hidden="0" customWidth="1"/>
    <x:col min="6" max="6" width="19" hidden="0" customWidth="1"/>
  </x:cols>
  <x:sheetData>
    <x:row r="1" ht="34" customHeight="1">
      <x:c r="A1" s="94" t="str">
        <x:v>03 출처 — 플랫폼 공식 결산·기사·리서치 원문</x:v>
      </x:c>
      <x:c r="B1"/>
      <x:c r="C1"/>
      <x:c r="D1"/>
      <x:c r="E1"/>
      <x:c r="F1"/>
    </x:row>
    <x:row r="2" ht="25" customHeight="1">
      <x:c r="A2" s="130" t="str">
        <x:v>발행일 기준 최신→과거로 정렬했습니다. 연도만 확인되는 출처는 해당 연도 안에서 뒤에 배치하며, 출처ID는 사건·종목 연결을 위해 그대로 유지합니다.</x:v>
      </x:c>
      <x:c r="B2" s="130"/>
      <x:c r="C2" s="130"/>
      <x:c r="D2" s="130"/>
      <x:c r="E2" s="130"/>
      <x:c r="F2" s="130"/>
    </x:row>
    <x:row r="3">
      <x:c r="A3" s="133" t="str">
        <x:v>출처 수</x:v>
      </x:c>
      <x:c r="B3" s="133" t="n">
        <x:v>132</x:v>
      </x:c>
      <x:c r="C3" s="133" t="str">
        <x:v>신규 조사 출처</x:v>
      </x:c>
      <x:c r="D3" s="133" t="n">
        <x:v>46</x:v>
      </x:c>
      <x:c r="E3" s="133" t="str">
        <x:v>URL</x:v>
      </x:c>
      <x:c r="F3" s="133" t="str">
        <x:v>원문 확인</x:v>
      </x:c>
    </x:row>
    <x:row r="4">
      <x:c r="A4" s="140" t="str">
        <x:v>출처ID</x:v>
      </x:c>
      <x:c r="B4" s="140" t="str">
        <x:v>발행처</x:v>
      </x:c>
      <x:c r="C4" s="140" t="str">
        <x:v>제목·활용 내용</x:v>
      </x:c>
      <x:c r="D4" s="140" t="str">
        <x:v>발행일(최신순)</x:v>
      </x:c>
      <x:c r="E4" s="140" t="str">
        <x:v>URL</x:v>
      </x:c>
      <x:c r="F4" s="140" t="str">
        <x:v>유형</x:v>
      </x:c>
    </x:row>
    <x:row r="5" ht="30" customHeight="1">
      <x:c r="A5" s="141" t="str">
        <x:v>S64</x:v>
      </x:c>
      <x:c r="B5" s="111" t="str">
        <x:v>한국경제</x:v>
      </x:c>
      <x:c r="C5" s="111" t="str">
        <x:v>메디큐브 해외 인기와 에이피알 연초 대비 80.04% 상승</x:v>
      </x:c>
      <x:c r="D5" s="152" t="n">
        <x:v>46131</x:v>
      </x:c>
      <x:c r="E5" s="147" t="str">
        <x:v>https://www.hankyung.com/article/2026041910781</x:v>
      </x:c>
      <x:c r="F5" s="111" t="str">
        <x:v>가격·뷰티</x:v>
      </x:c>
    </x:row>
    <x:row r="6" ht="30" customHeight="1">
      <x:c r="A6" s="141" t="str">
        <x:v>S51</x:v>
      </x:c>
      <x:c r="B6" s="111" t="str">
        <x:v>매일경제/다음</x:v>
      </x:c>
      <x:c r="C6" s="111" t="str">
        <x:v>두쫀쿠에 달달해진 편의점·원재료주: 흥국 상한가·BGF 목표가 상향</x:v>
      </x:c>
      <x:c r="D6" s="152" t="n">
        <x:v>46069</x:v>
      </x:c>
      <x:c r="E6" s="147" t="str">
        <x:v>https://v.daum.net/v/20260216170225596</x:v>
      </x:c>
      <x:c r="F6" s="111" t="str">
        <x:v>가격·리서치</x:v>
      </x:c>
    </x:row>
    <x:row r="7" ht="30" customHeight="1">
      <x:c r="A7" s="141" t="str">
        <x:v>S52</x:v>
      </x:c>
      <x:c r="B7" s="111" t="str">
        <x:v>ZDNet Korea</x:v>
      </x:c>
      <x:c r="C7" s="111" t="str">
        <x:v>신세계푸드 두바이 디저트 오픈런·완판과 판매 확대</x:v>
      </x:c>
      <x:c r="D7" s="152" t="n">
        <x:v>46057</x:v>
      </x:c>
      <x:c r="E7" s="147" t="str">
        <x:v>https://zdnet.co.kr/view/?no=20260204091035</x:v>
      </x:c>
      <x:c r="F7" s="111" t="str">
        <x:v>판매·브랜드</x:v>
      </x:c>
    </x:row>
    <x:row r="8" ht="30" customHeight="1">
      <x:c r="A8" s="141" t="str">
        <x:v>S50</x:v>
      </x:c>
      <x:c r="B8" s="111" t="str">
        <x:v>뉴스웨이</x:v>
      </x:c>
      <x:c r="C8" s="111" t="str">
        <x:v>두쫀쿠 열풍에 흥국에프엔비 주가 상한가·원재료 공급 확대</x:v>
      </x:c>
      <x:c r="D8" s="152" t="n">
        <x:v>46052</x:v>
      </x:c>
      <x:c r="E8" s="147" t="str">
        <x:v>https://www.newsway.co.kr/news/view?ud=2026013014505673668</x:v>
      </x:c>
      <x:c r="F8" s="111" t="str">
        <x:v>가격·공급망</x:v>
      </x:c>
    </x:row>
    <x:row r="9" ht="30" customHeight="1">
      <x:c r="A9" s="141" t="str">
        <x:v>S246</x:v>
      </x:c>
      <x:c r="B9" s="111" t="str">
        <x:v>한국국제문화교류진흥원</x:v>
      </x:c>
      <x:c r="C9" s="111" t="str">
        <x:v>K-디저트와 식감 중심 숏폼 트렌드</x:v>
      </x:c>
      <x:c r="D9" s="183" t="str">
        <x:v>2026년</x:v>
      </x:c>
      <x:c r="E9" s="147" t="str">
        <x:v>https://kofice.or.kr/www/bbs/view.do?bbsSn=53710&amp;mnucd=178&amp;scBbsMngSn=18</x:v>
      </x:c>
      <x:c r="F9" s="111" t="str">
        <x:v>문화산업 분석</x:v>
      </x:c>
    </x:row>
    <x:row r="10" ht="30" customHeight="1">
      <x:c r="A10" s="141" t="str">
        <x:v>S245</x:v>
      </x:c>
      <x:c r="B10" s="111" t="str">
        <x:v>동아일보</x:v>
      </x:c>
      <x:c r="C10" s="111" t="str">
        <x:v>2026 SNS 음식 유행: 봄동 비빔밥·버터떡·창억떡</x:v>
      </x:c>
      <x:c r="D10" s="183" t="str">
        <x:v>2026년</x:v>
      </x:c>
      <x:c r="E10" s="147" t="str">
        <x:v>https://www.donga.com/news/Society/article/all/20260327/133619937/1</x:v>
      </x:c>
      <x:c r="F10" s="111" t="str">
        <x:v>소비·SNS 보도</x:v>
      </x:c>
    </x:row>
    <x:row r="11" ht="30" customHeight="1">
      <x:c r="A11" s="141" t="str">
        <x:v>S244</x:v>
      </x:c>
      <x:c r="B11" s="111" t="str">
        <x:v>이데일리</x:v>
      </x:c>
      <x:c r="C11" s="111" t="str">
        <x:v>두쫀쿠 이후 상하이 버터떡 등 짧아진 음식 유행 주기</x:v>
      </x:c>
      <x:c r="D11" s="183" t="str">
        <x:v>2026년</x:v>
      </x:c>
      <x:c r="E11" s="147" t="str">
        <x:v>https://www.edaily.co.kr/news/read?mediaCodeNo=257&amp;newsId=02505926645382992</x:v>
      </x:c>
      <x:c r="F11" s="111" t="str">
        <x:v>소비 트렌드</x:v>
      </x:c>
    </x:row>
    <x:row r="12" ht="30" customHeight="1">
      <x:c r="A12" s="141" t="str">
        <x:v>S243</x:v>
      </x:c>
      <x:c r="B12" s="111" t="str">
        <x:v>머니투데이</x:v>
      </x:c>
      <x:c r="C12" s="111" t="str">
        <x:v>두바이 쫀득쿠키 검색·소비 열풍</x:v>
      </x:c>
      <x:c r="D12" s="183" t="str">
        <x:v>2026년</x:v>
      </x:c>
      <x:c r="E12" s="147" t="str">
        <x:v>https://www.mt.co.kr/living/2026/01/06/2026010515054681738</x:v>
      </x:c>
      <x:c r="F12" s="111" t="str">
        <x:v>검색·소비 보도</x:v>
      </x:c>
    </x:row>
    <x:row r="13" ht="30" customHeight="1">
      <x:c r="A13" s="141" t="str">
        <x:v>S242</x:v>
      </x:c>
      <x:c r="B13" s="111" t="str">
        <x:v>ZDNET Korea</x:v>
      </x:c>
      <x:c r="C13" s="111" t="str">
        <x:v>두쫀쿠 해시태그 260만건·상위 1% 언급량</x:v>
      </x:c>
      <x:c r="D13" s="183" t="str">
        <x:v>2026년</x:v>
      </x:c>
      <x:c r="E13" s="147" t="str">
        <x:v>https://zdnet.co.kr/view/?no=20260220153135</x:v>
      </x:c>
      <x:c r="F13" s="111" t="str">
        <x:v>SNS 데이터</x:v>
      </x:c>
    </x:row>
    <x:row r="14" ht="30" customHeight="1">
      <x:c r="A14" s="141" t="str">
        <x:v>S241</x:v>
      </x:c>
      <x:c r="B14" s="111" t="str">
        <x:v>Vogue Korea</x:v>
      </x:c>
      <x:c r="C14" s="111" t="str">
        <x:v>2026년 SNS의 2016 노스탤지어·사진 챌린지</x:v>
      </x:c>
      <x:c r="D14" s="183" t="str">
        <x:v>2026년</x:v>
      </x:c>
      <x:c r="E14" s="147" t="str">
        <x:v>https://www.vogue.co.kr/2026/01/21/%EC%A7%80%EA%B8%88%EC%9D%80-%EB%B6%84%EB%AA%85-2026%EB%85%84%EC%9D%B8%EB%8D%B0-%EC%99%9C-sns%EB%8A%94-%EC%98%A8%ED%86%B5-2016%EB%85%84-%EC%9D%B4%EC%95%BC%EA%B8%B0%EB%BF%90%EC%9D%BC%EA%B9%8C%EC%9A%94/</x:v>
      </x:c>
      <x:c r="F14" s="111" t="str">
        <x:v>SNS 문화 보도</x:v>
      </x:c>
    </x:row>
    <x:row r="15" ht="30" customHeight="1">
      <x:c r="A15" s="141" t="str">
        <x:v>S58</x:v>
      </x:c>
      <x:c r="B15" s="111" t="str">
        <x:v>아시아경제</x:v>
      </x:c>
      <x:c r="C15" s="111" t="str">
        <x:v>케이팝 데몬 헌터스·김밥 인기에 우양 상승</x:v>
      </x:c>
      <x:c r="D15" s="152" t="n">
        <x:v>45891</x:v>
      </x:c>
      <x:c r="E15" s="147" t="str">
        <x:v>https://www.asiae.co.kr/en/article/2025082214344404232</x:v>
      </x:c>
      <x:c r="F15" s="111" t="str">
        <x:v>가격·콘텐츠</x:v>
      </x:c>
    </x:row>
    <x:row r="16" ht="30" customHeight="1">
      <x:c r="A16" s="141" t="str">
        <x:v>S55</x:v>
      </x:c>
      <x:c r="B16" s="111" t="str">
        <x:v>한국경제</x:v>
      </x:c>
      <x:c r="C16" s="111" t="str">
        <x:v>크보빵 판매 호조로 SPC삼립 8% 급등</x:v>
      </x:c>
      <x:c r="D16" s="152" t="n">
        <x:v>45741</x:v>
      </x:c>
      <x:c r="E16" s="147" t="str">
        <x:v>https://www.hankyung.com/article/202503257174L</x:v>
      </x:c>
      <x:c r="F16" s="111" t="str">
        <x:v>가격·판매</x:v>
      </x:c>
    </x:row>
    <x:row r="17" ht="30" customHeight="1">
      <x:c r="A17" s="141" t="str">
        <x:v>S240</x:v>
      </x:c>
      <x:c r="B17" s="111" t="str">
        <x:v>TikTok Newsroom</x:v>
      </x:c>
      <x:c r="C17" s="111" t="str">
        <x:v>2025 TikTok Korea 트렌드·해시태그 데이터</x:v>
      </x:c>
      <x:c r="D17" s="183" t="str">
        <x:v>2025년</x:v>
      </x:c>
      <x:c r="E17" s="147" t="str">
        <x:v>https://newsroom.tiktok.com/2025mediaday?lang=ko-KR</x:v>
      </x:c>
      <x:c r="F17" s="111" t="str">
        <x:v>공식 플랫폼 데이터</x:v>
      </x:c>
    </x:row>
    <x:row r="18" ht="30" customHeight="1">
      <x:c r="A18" s="141" t="str">
        <x:v>S239</x:v>
      </x:c>
      <x:c r="B18" s="111" t="str">
        <x:v>YouTube Blog Korea</x:v>
      </x:c>
      <x:c r="C18" s="111" t="str">
        <x:v>Year on YouTube 2025 Korea</x:v>
      </x:c>
      <x:c r="D18" s="183" t="str">
        <x:v>2025년</x:v>
      </x:c>
      <x:c r="E18" s="147" t="str">
        <x:v>https://blog.youtube/intl/ko-kr/culture-and-trends/year-on-youtube-2025-korea/</x:v>
      </x:c>
      <x:c r="F18" s="111" t="str">
        <x:v>공식 플랫폼 결산</x:v>
      </x:c>
    </x:row>
    <x:row r="19" ht="30" customHeight="1">
      <x:c r="A19" s="141" t="str">
        <x:v>S238</x:v>
      </x:c>
      <x:c r="B19" s="111" t="str">
        <x:v>Google Korea</x:v>
      </x:c>
      <x:c r="C19" s="111" t="str">
        <x:v>2025 올해의 검색어</x:v>
      </x:c>
      <x:c r="D19" s="183" t="str">
        <x:v>2025년</x:v>
      </x:c>
      <x:c r="E19" s="147" t="str">
        <x:v>https://blog.google/intl/ko-kr/products/explore-get-answers/year-in-search-2025-kr/</x:v>
      </x:c>
      <x:c r="F19" s="111" t="str">
        <x:v>공식 검색 결산</x:v>
      </x:c>
    </x:row>
    <x:row r="20" ht="30" customHeight="1">
      <x:c r="A20" s="141" t="str">
        <x:v>S237</x:v>
      </x:c>
      <x:c r="B20" s="111" t="str">
        <x:v>유진투자증권</x:v>
      </x:c>
      <x:c r="C20" s="111" t="str">
        <x:v>2010~2024 국내 음식 유행 연표</x:v>
      </x:c>
      <x:c r="D20" s="183" t="str">
        <x:v>2025년</x:v>
      </x:c>
      <x:c r="E20" s="147" t="str">
        <x:v>https://www.eugenefn.com/common/files/amail/20250205_B3010_jinwookim_2.pdf</x:v>
      </x:c>
      <x:c r="F20" s="111" t="str">
        <x:v>리서치 보고서</x:v>
      </x:c>
    </x:row>
    <x:row r="21" ht="30" customHeight="1">
      <x:c r="A21" s="141" t="str">
        <x:v>S137</x:v>
      </x:c>
      <x:c r="B21" s="111" t="str">
        <x:v>JTBC News</x:v>
      </x:c>
      <x:c r="C21" s="111" t="str">
        <x:v>빽햄 가격 논란·백종원 해명과 더본코리아 주가 반응</x:v>
      </x:c>
      <x:c r="D21" s="183" t="str">
        <x:v>2025년</x:v>
      </x:c>
      <x:c r="E21" s="147" t="str">
        <x:v>https://www.youtube.com/watch?v=E8mR0RBhu68</x:v>
      </x:c>
      <x:c r="F21" s="111" t="str">
        <x:v>방송·유튜브</x:v>
      </x:c>
    </x:row>
    <x:row r="22" ht="30" customHeight="1">
      <x:c r="A22" s="141" t="str">
        <x:v>S159</x:v>
      </x:c>
      <x:c r="B22" s="111" t="str">
        <x:v>뉴시스</x:v>
      </x:c>
      <x:c r="C22" s="111" t="str">
        <x:v>APT. 급등 뒤 YG PLUS 이틀 연속 급락</x:v>
      </x:c>
      <x:c r="D22" s="152" t="n">
        <x:v>45595</x:v>
      </x:c>
      <x:c r="E22" s="147" t="str">
        <x:v>https://www.newsis.com/view/?id=NISX20241030_0002939230&amp;pc_view=1</x:v>
      </x:c>
      <x:c r="F22" s="111" t="str">
        <x:v>언론·가격</x:v>
      </x:c>
    </x:row>
    <x:row r="23" ht="30" customHeight="1">
      <x:c r="A23" s="141" t="str">
        <x:v>S158</x:v>
      </x:c>
      <x:c r="B23" s="111" t="str">
        <x:v>매일경제</x:v>
      </x:c>
      <x:c r="C23" s="111" t="str">
        <x:v>로제 APT. 글로벌 흥행에 YG PLUS 6거래일 157.84% 상승</x:v>
      </x:c>
      <x:c r="D23" s="152" t="n">
        <x:v>45593</x:v>
      </x:c>
      <x:c r="E23" s="147" t="str">
        <x:v>https://stock.mk.co.kr/news/view/569939</x:v>
      </x:c>
      <x:c r="F23" s="111" t="str">
        <x:v>언론·가격</x:v>
      </x:c>
    </x:row>
    <x:row r="24" ht="30" customHeight="1">
      <x:c r="A24" s="141" t="str">
        <x:v>S116</x:v>
      </x:c>
      <x:c r="B24" s="111" t="str">
        <x:v>한국경제</x:v>
      </x:c>
      <x:c r="C24" s="111" t="str">
        <x:v>한강 노벨문학상·품절 후 출판주 4종목 급등</x:v>
      </x:c>
      <x:c r="D24" s="152" t="n">
        <x:v>45576</x:v>
      </x:c>
      <x:c r="E24" s="147" t="str">
        <x:v>https://www.hankyung.com/article/2024101196691</x:v>
      </x:c>
      <x:c r="F24" s="111" t="str">
        <x:v>문화·시세</x:v>
      </x:c>
    </x:row>
    <x:row r="25" ht="30" customHeight="1">
      <x:c r="A25" s="141" t="str">
        <x:v>S143</x:v>
      </x:c>
      <x:c r="B25" s="111" t="str">
        <x:v>신한투자증권</x:v>
      </x:c>
      <x:c r="C25" s="111" t="str">
        <x:v>사랑의 하츄핑 100만 관객 기대에 SAMG엔터 연일 급등</x:v>
      </x:c>
      <x:c r="D25" s="152" t="n">
        <x:v>45546</x:v>
      </x:c>
      <x:c r="E25" s="147" t="str">
        <x:v>https://static.roa.ai/research/company/20240911_company_993276000.pdf</x:v>
      </x:c>
      <x:c r="F25" s="111" t="str">
        <x:v>증권사 리서치</x:v>
      </x:c>
    </x:row>
    <x:row r="26" ht="30" customHeight="1">
      <x:c r="A26" s="141" t="str">
        <x:v>S117</x:v>
      </x:c>
      <x:c r="B26" s="111" t="str">
        <x:v>SBS</x:v>
      </x:c>
      <x:c r="C26" s="111" t="str">
        <x:v>SNS발 두바이 초콜릿 열풍과 CU 초도물량 20만개 하루 완판</x:v>
      </x:c>
      <x:c r="D26" s="152" t="n">
        <x:v>45481</x:v>
      </x:c>
      <x:c r="E26" s="147" t="str">
        <x:v>https://news.sbs.co.kr/news/endPage.do?news_id=N1007713128</x:v>
      </x:c>
      <x:c r="F26" s="111" t="str">
        <x:v>유행·판매</x:v>
      </x:c>
    </x:row>
    <x:row r="27" ht="30" customHeight="1">
      <x:c r="A27" s="141" t="str">
        <x:v>S131</x:v>
      </x:c>
      <x:c r="B27" s="111" t="str">
        <x:v>한국경제</x:v>
      </x:c>
      <x:c r="C27" s="111" t="str">
        <x:v>민희진 기자회견 기대·화해 제안에 하이브 주가 장중 반전</x:v>
      </x:c>
      <x:c r="D27" s="152" t="n">
        <x:v>45445</x:v>
      </x:c>
      <x:c r="E27" s="147" t="str">
        <x:v>https://www.hankyung.com/article/2024060292387</x:v>
      </x:c>
      <x:c r="F27" s="111" t="str">
        <x:v>언론·가격</x:v>
      </x:c>
    </x:row>
    <x:row r="28" ht="30" customHeight="1">
      <x:c r="A28" s="141" t="str">
        <x:v>S65</x:v>
      </x:c>
      <x:c r="B28" s="111" t="str">
        <x:v>뉴스톱</x:v>
      </x:c>
      <x:c r="C28" s="111" t="str">
        <x:v>SNS 인플루언서 유통 성장과 실리콘투 주가 5배</x:v>
      </x:c>
      <x:c r="D28" s="183" t="str">
        <x:v>2024-06</x:v>
      </x:c>
      <x:c r="E28" s="147" t="str">
        <x:v>https://www.newstof.com/news/articleView.html?idxno=23122</x:v>
      </x:c>
      <x:c r="F28" s="111" t="str">
        <x:v>가격·유통</x:v>
      </x:c>
    </x:row>
    <x:row r="29" ht="30" customHeight="1">
      <x:c r="A29" s="141" t="str">
        <x:v>S53</x:v>
      </x:c>
      <x:c r="B29" s="111" t="str">
        <x:v>한국경제</x:v>
      </x:c>
      <x:c r="C29" s="111" t="str">
        <x:v>불닭 SNS 확산과 삼양식품 주가·수출 성장</x:v>
      </x:c>
      <x:c r="D29" s="152" t="n">
        <x:v>45438</x:v>
      </x:c>
      <x:c r="E29" s="147" t="str">
        <x:v>https://www.hankyung.com/article/2024052637231</x:v>
      </x:c>
      <x:c r="F29" s="111" t="str">
        <x:v>SNS·가격</x:v>
      </x:c>
    </x:row>
    <x:row r="30" ht="30" customHeight="1">
      <x:c r="A30" s="141" t="str">
        <x:v>S153</x:v>
      </x:c>
      <x:c r="B30" s="111" t="str">
        <x:v>머니투데이</x:v>
      </x:c>
      <x:c r="C30" s="111" t="str">
        <x:v>선재 업고 튀어 신드롬과 CJ ENM 주가 70% 반등</x:v>
      </x:c>
      <x:c r="D30" s="152" t="n">
        <x:v>45434</x:v>
      </x:c>
      <x:c r="E30" s="147" t="str">
        <x:v>https://www.mt.co.kr/stock/2024/05/22/2024052211110799708</x:v>
      </x:c>
      <x:c r="F30" s="111" t="str">
        <x:v>언론·가격</x:v>
      </x:c>
    </x:row>
    <x:row r="31" ht="30" customHeight="1">
      <x:c r="A31" s="141" t="str">
        <x:v>S130</x:v>
      </x:c>
      <x:c r="B31" s="111" t="str">
        <x:v>팍스넷·증권사리포트</x:v>
      </x:c>
      <x:c r="C31" s="111" t="str">
        <x:v>어도어 감사 보도 당일 하이브 7.81% 하락</x:v>
      </x:c>
      <x:c r="D31" s="152" t="n">
        <x:v>45405</x:v>
      </x:c>
      <x:c r="E31" s="147" t="str">
        <x:v>https://www.paxnet.co.kr/WWW/data/researchCenter/attach/20240423132209493.pdf</x:v>
      </x:c>
      <x:c r="F31" s="111" t="str">
        <x:v>증권사 리서치</x:v>
      </x:c>
    </x:row>
    <x:row r="32" ht="30" customHeight="1">
      <x:c r="A32" s="141" t="str">
        <x:v>S144</x:v>
      </x:c>
      <x:c r="B32" s="111" t="str">
        <x:v>비즈워치</x:v>
      </x:c>
      <x:c r="C32" s="111" t="str">
        <x:v>파묘 천만 흥행, 쇼박스 1년 신고가</x:v>
      </x:c>
      <x:c r="D32" s="152" t="n">
        <x:v>45377</x:v>
      </x:c>
      <x:c r="E32" s="147" t="str">
        <x:v>https://news.bizwatch.co.kr/article/market/2024/03/26/0026</x:v>
      </x:c>
      <x:c r="F32" s="111" t="str">
        <x:v>언론·가격</x:v>
      </x:c>
    </x:row>
    <x:row r="33" ht="30" customHeight="1">
      <x:c r="A33" s="141" t="str">
        <x:v>S57</x:v>
      </x:c>
      <x:c r="B33" s="111" t="str">
        <x:v>매일경제</x:v>
      </x:c>
      <x:c r="C33" s="111" t="str">
        <x:v>미국 SNS K푸드 열풍과 우양 냉동김밥 수혜 논리</x:v>
      </x:c>
      <x:c r="D33" s="152" t="n">
        <x:v>45344</x:v>
      </x:c>
      <x:c r="E33" s="147" t="str">
        <x:v>https://www.mk.co.kr/en/stock/10948440</x:v>
      </x:c>
      <x:c r="F33" s="111" t="str">
        <x:v>리서치·SNS</x:v>
      </x:c>
    </x:row>
    <x:row r="34" ht="30" customHeight="1">
      <x:c r="A34" s="141" t="str">
        <x:v>S236</x:v>
      </x:c>
      <x:c r="B34" s="111" t="str">
        <x:v>국민일보</x:v>
      </x:c>
      <x:c r="C34" s="111" t="str">
        <x:v>SNS발 두바이 초콜릿 열풍과 품절</x:v>
      </x:c>
      <x:c r="D34" s="183" t="str">
        <x:v>2024년</x:v>
      </x:c>
      <x:c r="E34" s="147" t="str">
        <x:v>https://www.kmib.co.kr/article/view.asp?arcid=0020305303</x:v>
      </x:c>
      <x:c r="F34" s="111" t="str">
        <x:v>소비·SNS 보도</x:v>
      </x:c>
    </x:row>
    <x:row r="35" ht="30" customHeight="1">
      <x:c r="A35" s="141" t="str">
        <x:v>S235</x:v>
      </x:c>
      <x:c r="B35" s="111" t="str">
        <x:v>TikTok Newsroom</x:v>
      </x:c>
      <x:c r="C35" s="111" t="str">
        <x:v>Music Year on TikTok 2024 Korea</x:v>
      </x:c>
      <x:c r="D35" s="183" t="str">
        <x:v>2024년</x:v>
      </x:c>
      <x:c r="E35" s="147" t="str">
        <x:v>https://newsroom.tiktok.com/music-year-on-tiktok-2024-kr?lang=ko-KR</x:v>
      </x:c>
      <x:c r="F35" s="111" t="str">
        <x:v>공식 플랫폼 결산</x:v>
      </x:c>
    </x:row>
    <x:row r="36" ht="30" customHeight="1">
      <x:c r="A36" s="141" t="str">
        <x:v>S234</x:v>
      </x:c>
      <x:c r="B36" s="111" t="str">
        <x:v>Google Korea</x:v>
      </x:c>
      <x:c r="C36" s="111" t="str">
        <x:v>2024 올해의 검색어</x:v>
      </x:c>
      <x:c r="D36" s="183" t="str">
        <x:v>2024년</x:v>
      </x:c>
      <x:c r="E36" s="147" t="str">
        <x:v>https://blog.google/intl/ko-kr/products/explore-get-answers/year-in-search-2024-kr/</x:v>
      </x:c>
      <x:c r="F36" s="111" t="str">
        <x:v>공식 검색 결산</x:v>
      </x:c>
    </x:row>
    <x:row r="37" ht="30" customHeight="1">
      <x:c r="A37" s="141" t="str">
        <x:v>S142</x:v>
      </x:c>
      <x:c r="B37" s="111" t="str">
        <x:v>비즈니스포스트</x:v>
      </x:c>
      <x:c r="C37" s="111" t="str">
        <x:v>블랙핑크 그룹 재계약 확정에 YG 장중 22% 급등</x:v>
      </x:c>
      <x:c r="D37" s="152" t="n">
        <x:v>45266</x:v>
      </x:c>
      <x:c r="E37" s="147" t="str">
        <x:v>https://www.businesspost.co.kr/BP?command=article_view&amp;num=335312</x:v>
      </x:c>
      <x:c r="F37" s="111" t="str">
        <x:v>언론·가격</x:v>
      </x:c>
    </x:row>
    <x:row r="38" ht="30" customHeight="1">
      <x:c r="A38" s="141" t="str">
        <x:v>S160</x:v>
      </x:c>
      <x:c r="B38" s="111" t="str">
        <x:v>한국경제</x:v>
      </x:c>
      <x:c r="C38" s="111" t="str">
        <x:v>서울의 봄 흥행에 콘텐트리중앙 주가 동반 상승</x:v>
      </x:c>
      <x:c r="D38" s="152" t="n">
        <x:v>45260</x:v>
      </x:c>
      <x:c r="E38" s="147" t="str">
        <x:v>https://www.hankyung.com/article/2023113032346</x:v>
      </x:c>
      <x:c r="F38" s="111" t="str">
        <x:v>언론·가격</x:v>
      </x:c>
    </x:row>
    <x:row r="39" ht="30" customHeight="1">
      <x:c r="A39" s="141" t="str">
        <x:v>S124</x:v>
      </x:c>
      <x:c r="B39" s="111" t="str">
        <x:v>대한경제</x:v>
      </x:c>
      <x:c r="C39" s="111" t="str">
        <x:v>빈대 공포 확산에 동성제약·경남제약 주가 및 살충제 판매 급증</x:v>
      </x:c>
      <x:c r="D39" s="152" t="n">
        <x:v>45234</x:v>
      </x:c>
      <x:c r="E39" s="147" t="str">
        <x:v>https://www.dnews.co.kr/uhtml/view.jsp?idxno=202311042246559190645</x:v>
      </x:c>
      <x:c r="F39" s="111" t="str">
        <x:v>언론·가격</x:v>
      </x:c>
    </x:row>
    <x:row r="40" ht="30" customHeight="1">
      <x:c r="A40" s="141" t="str">
        <x:v>S141</x:v>
      </x:c>
      <x:c r="B40" s="111" t="str">
        <x:v>한국경제</x:v>
      </x:c>
      <x:c r="C40" s="111" t="str">
        <x:v>블랙핑크 재계약 불확실성으로 YG 한 달 24.28% 하락</x:v>
      </x:c>
      <x:c r="D40" s="152" t="n">
        <x:v>45212</x:v>
      </x:c>
      <x:c r="E40" s="147" t="str">
        <x:v>https://www.hankyung.com/article/2023101354316</x:v>
      </x:c>
      <x:c r="F40" s="111" t="str">
        <x:v>언론·가격</x:v>
      </x:c>
    </x:row>
    <x:row r="41" ht="30" customHeight="1">
      <x:c r="A41" s="141" t="str">
        <x:v>S56</x:v>
      </x:c>
      <x:c r="B41" s="111" t="str">
        <x:v>머니투데이</x:v>
      </x:c>
      <x:c r="C41" s="111" t="str">
        <x:v>일본 리들샷 수요 폭증과 브이티 주가 3배</x:v>
      </x:c>
      <x:c r="D41" s="152" t="n">
        <x:v>45188</x:v>
      </x:c>
      <x:c r="E41" s="147" t="str">
        <x:v>https://www.mt.co.kr/stock/2023/09/19/2023091809273513453</x:v>
      </x:c>
      <x:c r="F41" s="111" t="str">
        <x:v>가격·판매</x:v>
      </x:c>
    </x:row>
    <x:row r="42" ht="30" customHeight="1">
      <x:c r="A42" s="141" t="str">
        <x:v>S60</x:v>
      </x:c>
      <x:c r="B42" s="111" t="str">
        <x:v>Signal Report</x:v>
      </x:c>
      <x:c r="C42" s="111" t="str">
        <x:v>더핑크퐁컴퍼니 상장 추진 보도에 삼성출판사 상한가</x:v>
      </x:c>
      <x:c r="D42" s="152" t="n">
        <x:v>45175</x:v>
      </x:c>
      <x:c r="E42" s="147" t="str">
        <x:v>https://files-scs.pstatic.net/2023/09/06/wxc6Edf0J8/230906%28%EC%88%98%29%20Signal%20Report.pdf</x:v>
      </x:c>
      <x:c r="F42" s="111" t="str">
        <x:v>가격·IPO</x:v>
      </x:c>
    </x:row>
    <x:row r="43" ht="30" customHeight="1">
      <x:c r="A43" s="141" t="str">
        <x:v>S123</x:v>
      </x:c>
      <x:c r="B43" s="111" t="str">
        <x:v>대신증권</x:v>
      </x:c>
      <x:c r="C43" s="111" t="str">
        <x:v>초전도체 뒤이은 맥신 테마, 태경산업·휴비스·경동인베스트 상한가</x:v>
      </x:c>
      <x:c r="D43" s="152" t="n">
        <x:v>45159</x:v>
      </x:c>
      <x:c r="E43" s="147" t="str">
        <x:v>https://money2.daishin.com/PDF/Out/intranet_data/Product/ResearchCenter/Report/2023/08/47731_Strategy_Daily_230821.pdf</x:v>
      </x:c>
      <x:c r="F43" s="111" t="str">
        <x:v>증권사 리서치</x:v>
      </x:c>
    </x:row>
    <x:row r="44" ht="30" customHeight="1">
      <x:c r="A44" s="141" t="str">
        <x:v>S121</x:v>
      </x:c>
      <x:c r="B44" s="111" t="str">
        <x:v>한국경제</x:v>
      </x:c>
      <x:c r="C44" s="111" t="str">
        <x:v>네이처 반박…초전도체 테마주 2~4배 뒤 급락</x:v>
      </x:c>
      <x:c r="D44" s="152" t="n">
        <x:v>45155</x:v>
      </x:c>
      <x:c r="E44" s="147" t="str">
        <x:v>https://www.hankyung.com/article/2023081766506</x:v>
      </x:c>
      <x:c r="F44" s="111" t="str">
        <x:v>언론·검증</x:v>
      </x:c>
    </x:row>
    <x:row r="45" ht="30" customHeight="1">
      <x:c r="A45" s="141" t="str">
        <x:v>S122</x:v>
      </x:c>
      <x:c r="B45" s="111" t="str">
        <x:v>한국경제</x:v>
      </x:c>
      <x:c r="C45" s="111" t="str">
        <x:v>벤처기업인 SNS 긍정 의견에 초전도체주 재급등</x:v>
      </x:c>
      <x:c r="D45" s="152" t="n">
        <x:v>45154</x:v>
      </x:c>
      <x:c r="E45" s="147" t="str">
        <x:v>https://www.hankyung.com/article/2023081652851</x:v>
      </x:c>
      <x:c r="F45" s="111" t="str">
        <x:v>언론·SNS</x:v>
      </x:c>
    </x:row>
    <x:row r="46" ht="30" customHeight="1">
      <x:c r="A46" s="141" t="str">
        <x:v>S120</x:v>
      </x:c>
      <x:c r="B46" s="111" t="str">
        <x:v>뉴시스</x:v>
      </x:c>
      <x:c r="C46" s="111" t="str">
        <x:v>미국 연구진 부정 평가 뒤 초전도체 테마주 무더기 급락</x:v>
      </x:c>
      <x:c r="D46" s="152" t="n">
        <x:v>45146</x:v>
      </x:c>
      <x:c r="E46" s="147" t="str">
        <x:v>https://www.newsis.com/view/NISX20230808_0002406788</x:v>
      </x:c>
      <x:c r="F46" s="111" t="str">
        <x:v>언론·가격</x:v>
      </x:c>
    </x:row>
    <x:row r="47" ht="30" customHeight="1">
      <x:c r="A47" s="141" t="str">
        <x:v>S119</x:v>
      </x:c>
      <x:c r="B47" s="111" t="str">
        <x:v>한국경제</x:v>
      </x:c>
      <x:c r="C47" s="111" t="str">
        <x:v>초전도체가 뭐길래…신성델타·서남 이틀째 상한가</x:v>
      </x:c>
      <x:c r="D47" s="152" t="n">
        <x:v>45140</x:v>
      </x:c>
      <x:c r="E47" s="147" t="str">
        <x:v>https://www.hankyung.com/article/2023080207231</x:v>
      </x:c>
      <x:c r="F47" s="111" t="str">
        <x:v>언론·가격</x:v>
      </x:c>
    </x:row>
    <x:row r="48" ht="30" customHeight="1">
      <x:c r="A48" s="141" t="str">
        <x:v>S154</x:v>
      </x:c>
      <x:c r="B48" s="111" t="str">
        <x:v>이데일리</x:v>
      </x:c>
      <x:c r="C48" s="111" t="str">
        <x:v>더 글로리 공개 전후 스튜디오드래곤 주가 급등락</x:v>
      </x:c>
      <x:c r="D48" s="152" t="n">
        <x:v>44994</x:v>
      </x:c>
      <x:c r="E48" s="147" t="str">
        <x:v>https://www.edaily.co.kr/News/Read?mediaCodeNo=257&amp;newsId=01200486635541680</x:v>
      </x:c>
      <x:c r="F48" s="111" t="str">
        <x:v>언론·가격</x:v>
      </x:c>
    </x:row>
    <x:row r="49" ht="30" customHeight="1">
      <x:c r="A49" s="141" t="str">
        <x:v>S115</x:v>
      </x:c>
      <x:c r="B49" s="111" t="str">
        <x:v>연합뉴스</x:v>
      </x:c>
      <x:c r="C49" s="111" t="str">
        <x:v>챗GPT 돌풍에 코난테크놀로지 등 AI 챗봇주 6종목 급등</x:v>
      </x:c>
      <x:c r="D49" s="152" t="n">
        <x:v>44956</x:v>
      </x:c>
      <x:c r="E49" s="147" t="str">
        <x:v>https://www.yna.co.kr/view/AKR20230130034551002</x:v>
      </x:c>
      <x:c r="F49" s="111" t="str">
        <x:v>기술유행·시세</x:v>
      </x:c>
    </x:row>
    <x:row r="50" ht="30" customHeight="1">
      <x:c r="A50" s="141" t="str">
        <x:v>S233</x:v>
      </x:c>
      <x:c r="B50" s="111" t="str">
        <x:v>TikTok Newsroom</x:v>
      </x:c>
      <x:c r="C50" s="111" t="str">
        <x:v>Year on TikTok 2023</x:v>
      </x:c>
      <x:c r="D50" s="183" t="str">
        <x:v>2023년</x:v>
      </x:c>
      <x:c r="E50" s="147" t="str">
        <x:v>https://newsroom.tiktok.com/year-on-tiktok-2023?lang=en</x:v>
      </x:c>
      <x:c r="F50" s="111" t="str">
        <x:v>공식 플랫폼 결산</x:v>
      </x:c>
    </x:row>
    <x:row r="51" ht="30" customHeight="1">
      <x:c r="A51" s="141" t="str">
        <x:v>S232</x:v>
      </x:c>
      <x:c r="B51" s="111" t="str">
        <x:v>Google Korea</x:v>
      </x:c>
      <x:c r="C51" s="111" t="str">
        <x:v>2023 올해의 검색어</x:v>
      </x:c>
      <x:c r="D51" s="183" t="str">
        <x:v>2023년</x:v>
      </x:c>
      <x:c r="E51" s="147" t="str">
        <x:v>https://blog.google/intl/ko-kr/products/explore-get-answers/year-in-search-2023-kr/</x:v>
      </x:c>
      <x:c r="F51" s="111" t="str">
        <x:v>공식 검색 결산</x:v>
      </x:c>
    </x:row>
    <x:row r="52" ht="30" customHeight="1">
      <x:c r="A52" s="141" t="str">
        <x:v>S127</x:v>
      </x:c>
      <x:c r="B52" s="111" t="str">
        <x:v>미래에셋증권</x:v>
      </x:c>
      <x:c r="C52" s="111" t="str">
        <x:v>오염수 방류 우려로 천일염 관련주 급등 뒤 급락</x:v>
      </x:c>
      <x:c r="D52" s="183" t="str">
        <x:v>2023년</x:v>
      </x:c>
      <x:c r="E52" s="147" t="str">
        <x:v>https://securities.miraeasset.com/bbs/download/2118458.pdf?attachmentId=2118458</x:v>
      </x:c>
      <x:c r="F52" s="111" t="str">
        <x:v>증권사 리서치</x:v>
      </x:c>
    </x:row>
    <x:row r="53" ht="30" customHeight="1">
      <x:c r="A53" s="141" t="str">
        <x:v>S113</x:v>
      </x:c>
      <x:c r="B53" s="111" t="str">
        <x:v>뉴시스</x:v>
      </x:c>
      <x:c r="C53" s="111" t="str">
        <x:v>재벌집 막내아들 흥행 후 래몽래인 1주 70% 상승, 이후 고점 대비 30% 하락</x:v>
      </x:c>
      <x:c r="D53" s="152" t="n">
        <x:v>44916</x:v>
      </x:c>
      <x:c r="E53" s="147" t="str">
        <x:v>https://www.newsis.com/view/NISX20221221_0002130883</x:v>
      </x:c>
      <x:c r="F53" s="111" t="str">
        <x:v>상승·소멸</x:v>
      </x:c>
    </x:row>
    <x:row r="54" ht="30" customHeight="1">
      <x:c r="A54" s="141" t="str">
        <x:v>S114</x:v>
      </x:c>
      <x:c r="B54" s="111" t="str">
        <x:v>매일경제</x:v>
      </x:c>
      <x:c r="C54" s="111" t="str">
        <x:v>카타르월드컵 16강 진출·패배에 치킨·맥주 관련주 등락</x:v>
      </x:c>
      <x:c r="D54" s="152" t="n">
        <x:v>44900</x:v>
      </x:c>
      <x:c r="E54" s="147" t="str">
        <x:v>https://www.mk.co.kr/news/stock/view/2022/12/1094633/</x:v>
      </x:c>
      <x:c r="F54" s="111" t="str">
        <x:v>스포츠·시세</x:v>
      </x:c>
    </x:row>
    <x:row r="55" ht="30" customHeight="1">
      <x:c r="A55" s="141" t="str">
        <x:v>S134</x:v>
      </x:c>
      <x:c r="B55" s="111" t="str">
        <x:v>이데일리</x:v>
      </x:c>
      <x:c r="C55" s="111" t="str">
        <x:v>SPC 공장 사고 뒤 불매운동 확산, SPC삼립 4.3% 하락</x:v>
      </x:c>
      <x:c r="D55" s="152" t="n">
        <x:v>44858</x:v>
      </x:c>
      <x:c r="E55" s="147" t="str">
        <x:v>https://www.edaily.co.kr/News/Read?mediaCodeNo=257&amp;newsId=03270166632496200</x:v>
      </x:c>
      <x:c r="F55" s="111" t="str">
        <x:v>언론·가격</x:v>
      </x:c>
    </x:row>
    <x:row r="56" ht="30" customHeight="1">
      <x:c r="A56" s="141" t="str">
        <x:v>S139</x:v>
      </x:c>
      <x:c r="B56" s="111" t="str">
        <x:v>머니투데이</x:v>
      </x:c>
      <x:c r="C56" s="111" t="str">
        <x:v>BTS 입대 발표로 불확실성 완화, 하이브 5.22% 상승</x:v>
      </x:c>
      <x:c r="D56" s="152" t="n">
        <x:v>44852</x:v>
      </x:c>
      <x:c r="E56" s="147" t="str">
        <x:v>https://www.mt.co.kr/stock/2022/10/18/2022101808532541698</x:v>
      </x:c>
      <x:c r="F56" s="111" t="str">
        <x:v>언론·가격</x:v>
      </x:c>
    </x:row>
    <x:row r="57" ht="30" customHeight="1">
      <x:c r="A57" s="141" t="str">
        <x:v>S128</x:v>
      </x:c>
      <x:c r="B57" s="111" t="str">
        <x:v>한국경제</x:v>
      </x:c>
      <x:c r="C57" s="111" t="str">
        <x:v>우마무스메 이용자 간담회 후 카카오게임즈 장중 급락</x:v>
      </x:c>
      <x:c r="D57" s="152" t="n">
        <x:v>44823</x:v>
      </x:c>
      <x:c r="E57" s="147" t="str">
        <x:v>https://www.hankyung.com/article/202209199013i</x:v>
      </x:c>
      <x:c r="F57" s="111" t="str">
        <x:v>언론·가격</x:v>
      </x:c>
    </x:row>
    <x:row r="58" ht="30" customHeight="1">
      <x:c r="A58" s="141" t="str">
        <x:v>S129</x:v>
      </x:c>
      <x:c r="B58" s="111" t="str">
        <x:v>인베스트조선</x:v>
      </x:c>
      <x:c r="C58" s="111" t="str">
        <x:v>우마무스메 이용자 마차 시위와 카카오게임즈 주가 하락</x:v>
      </x:c>
      <x:c r="D58" s="152" t="n">
        <x:v>44796</x:v>
      </x:c>
      <x:c r="E58" s="147" t="str">
        <x:v>https://www.investchosun.com/site/data/html_dir/2022/08/23/2022082380178.html</x:v>
      </x:c>
      <x:c r="F58" s="111" t="str">
        <x:v>언론·가격</x:v>
      </x:c>
    </x:row>
    <x:row r="59" ht="30" customHeight="1">
      <x:c r="A59" s="141" t="str">
        <x:v>S112</x:v>
      </x:c>
      <x:c r="B59" s="111" t="str">
        <x:v>동아일보</x:v>
      </x:c>
      <x:c r="C59" s="111" t="str">
        <x:v>우영우 신드롬으로 에이스토리 11거래일 89.5% 상승</x:v>
      </x:c>
      <x:c r="D59" s="152" t="n">
        <x:v>44756</x:v>
      </x:c>
      <x:c r="E59" s="147" t="str">
        <x:v>https://www.donga.com/news/Journalist/article/all/20220714/114460309/1</x:v>
      </x:c>
      <x:c r="F59" s="111" t="str">
        <x:v>콘텐츠·시세</x:v>
      </x:c>
    </x:row>
    <x:row r="60" ht="30" customHeight="1">
      <x:c r="A60" s="141" t="str">
        <x:v>S138</x:v>
      </x:c>
      <x:c r="B60" s="111" t="str">
        <x:v>머니투데이</x:v>
      </x:c>
      <x:c r="C60" s="111" t="str">
        <x:v>BTS 단체활동 중단 발언에 하이브 21% 급락</x:v>
      </x:c>
      <x:c r="D60" s="152" t="n">
        <x:v>44727</x:v>
      </x:c>
      <x:c r="E60" s="147" t="str">
        <x:v>https://www.mt.co.kr/stock/2022/06/15/2022061509063187972</x:v>
      </x:c>
      <x:c r="F60" s="111" t="str">
        <x:v>언론·가격</x:v>
      </x:c>
    </x:row>
    <x:row r="61" ht="30" customHeight="1">
      <x:c r="A61" s="141" t="str">
        <x:v>S54</x:v>
      </x:c>
      <x:c r="B61" s="111" t="str">
        <x:v>한국경제</x:v>
      </x:c>
      <x:c r="C61" s="111" t="str">
        <x:v>포켓몬빵 인기와 SPC삼립 주가 급등</x:v>
      </x:c>
      <x:c r="D61" s="152" t="n">
        <x:v>44630</x:v>
      </x:c>
      <x:c r="E61" s="147" t="str">
        <x:v>https://www.hankyung.com/article/2022031072561</x:v>
      </x:c>
      <x:c r="F61" s="111" t="str">
        <x:v>가격·판매</x:v>
      </x:c>
    </x:row>
    <x:row r="62" ht="30" customHeight="1">
      <x:c r="A62" s="141" t="str">
        <x:v>S231</x:v>
      </x:c>
      <x:c r="B62" s="111" t="str">
        <x:v>TikTok Newsroom</x:v>
      </x:c>
      <x:c r="C62" s="111" t="str">
        <x:v>Year on TikTok 2022 Korea</x:v>
      </x:c>
      <x:c r="D62" s="183" t="str">
        <x:v>2022년</x:v>
      </x:c>
      <x:c r="E62" s="147" t="str">
        <x:v>https://newsroom.tiktok.com/year-on-tiktok-2022-kr?lang=ko-KR</x:v>
      </x:c>
      <x:c r="F62" s="111" t="str">
        <x:v>공식 플랫폼 결산</x:v>
      </x:c>
    </x:row>
    <x:row r="63" ht="30" customHeight="1">
      <x:c r="A63" s="141" t="str">
        <x:v>S230</x:v>
      </x:c>
      <x:c r="B63" s="111" t="str">
        <x:v>Google Korea</x:v>
      </x:c>
      <x:c r="C63" s="111" t="str">
        <x:v>2022 올해의 검색어</x:v>
      </x:c>
      <x:c r="D63" s="183" t="str">
        <x:v>2022년</x:v>
      </x:c>
      <x:c r="E63" s="147" t="str">
        <x:v>https://blog.google/intl/ko-kr/products/explore-get-answers/top-search-trends-2022/</x:v>
      </x:c>
      <x:c r="F63" s="111" t="str">
        <x:v>공식 검색 결산</x:v>
      </x:c>
    </x:row>
    <x:row r="64" ht="30" customHeight="1">
      <x:c r="A64" s="141" t="str">
        <x:v>S111</x:v>
      </x:c>
      <x:c r="B64" s="111" t="str">
        <x:v>한국경제</x:v>
      </x:c>
      <x:c r="C64" s="111" t="str">
        <x:v>2021 메타버스 ETF·테마 확산: 덱스터 18.98%, 자이언트스텝 12.96%</x:v>
      </x:c>
      <x:c r="D64" s="152" t="n">
        <x:v>44487</x:v>
      </x:c>
      <x:c r="E64" s="147" t="str">
        <x:v>https://www.hankyung.com/article/2021101834006</x:v>
      </x:c>
      <x:c r="F64" s="111" t="str">
        <x:v>동시대 시세</x:v>
      </x:c>
    </x:row>
    <x:row r="65" ht="30" customHeight="1">
      <x:c r="A65" s="141" t="str">
        <x:v>S33</x:v>
      </x:c>
      <x:c r="B65" s="111" t="str">
        <x:v>더벨</x:v>
      </x:c>
      <x:c r="C65" s="111" t="str">
        <x:v>오징어게임 흥행 뒤 버킷스튜디오 연속 상한가·간접 지분</x:v>
      </x:c>
      <x:c r="D65" s="152" t="n">
        <x:v>44467</x:v>
      </x:c>
      <x:c r="E65" s="147" t="str">
        <x:v>https://www.thebell.co.kr/front/newsview.asp?code=00&amp;key=202109281446039240101152</x:v>
      </x:c>
      <x:c r="F65" s="111" t="str">
        <x:v>간접 연결</x:v>
      </x:c>
    </x:row>
    <x:row r="66" ht="30" customHeight="1">
      <x:c r="A66" s="141" t="str">
        <x:v>S34</x:v>
      </x:c>
      <x:c r="B66" s="111" t="str">
        <x:v>대한경제</x:v>
      </x:c>
      <x:c r="C66" s="111" t="str">
        <x:v>오징어게임 흥행에 버킷스튜디오·쇼박스 급등</x:v>
      </x:c>
      <x:c r="D66" s="152" t="n">
        <x:v>44462</x:v>
      </x:c>
      <x:c r="E66" s="147" t="str">
        <x:v>https://www.dnews.co.kr/m_home/view.jsp?idxno=202109231456413960423</x:v>
      </x:c>
      <x:c r="F66" s="111" t="str">
        <x:v>콘텐츠 테마</x:v>
      </x:c>
    </x:row>
    <x:row r="67" ht="30" customHeight="1">
      <x:c r="A67" s="141" t="str">
        <x:v>S110</x:v>
      </x:c>
      <x:c r="B67" s="111" t="str">
        <x:v>한국경제</x:v>
      </x:c>
      <x:c r="C67" s="111" t="str">
        <x:v>2021 메타버스 열풍과 맥스트·자이언트스텝 급등</x:v>
      </x:c>
      <x:c r="D67" s="152" t="n">
        <x:v>44412</x:v>
      </x:c>
      <x:c r="E67" s="147" t="str">
        <x:v>https://www.hankyung.com/article/2021080497931</x:v>
      </x:c>
      <x:c r="F67" s="111" t="str">
        <x:v>테마 분석</x:v>
      </x:c>
    </x:row>
    <x:row r="68" ht="30" customHeight="1">
      <x:c r="A68" s="141" t="str">
        <x:v>S152</x:v>
      </x:c>
      <x:c r="B68" s="111" t="str">
        <x:v>동아일보</x:v>
      </x:c>
      <x:c r="C68" s="111" t="str">
        <x:v>보통주 전환에 관련주 급등, 두나무는 나스닥 상장과 무관 선긋기</x:v>
      </x:c>
      <x:c r="D68" s="152" t="n">
        <x:v>44328</x:v>
      </x:c>
      <x:c r="E68" s="147" t="str">
        <x:v>https://www.donga.com/news/Economy/article/all/20210512/106887097/1</x:v>
      </x:c>
      <x:c r="F68" s="111" t="str">
        <x:v>언론·검증</x:v>
      </x:c>
    </x:row>
    <x:row r="69" ht="30" customHeight="1">
      <x:c r="A69" s="141" t="str">
        <x:v>S133</x:v>
      </x:c>
      <x:c r="B69" s="111" t="str">
        <x:v>서울신문</x:v>
      </x:c>
      <x:c r="C69" s="111" t="str">
        <x:v>GS25 불매·주식 보복 움직임이 온라인 커뮤니티에서 확산</x:v>
      </x:c>
      <x:c r="D69" s="152" t="n">
        <x:v>44320</x:v>
      </x:c>
      <x:c r="E69" s="147" t="str">
        <x:v>https://www.seoul.co.kr/news/society/2021/05/04/20210504009006</x:v>
      </x:c>
      <x:c r="F69" s="111" t="str">
        <x:v>언론·온라인</x:v>
      </x:c>
    </x:row>
    <x:row r="70" ht="30" customHeight="1">
      <x:c r="A70" s="141" t="str">
        <x:v>S132</x:v>
      </x:c>
      <x:c r="B70" s="111" t="str">
        <x:v>글로벌이코노믹</x:v>
      </x:c>
      <x:c r="C70" s="111" t="str">
        <x:v>GS25 손가락 포스터 논란과 온라인 불매 속 GS리테일 5일 하락</x:v>
      </x:c>
      <x:c r="D70" s="152" t="n">
        <x:v>44320</x:v>
      </x:c>
      <x:c r="E70" s="147" t="str">
        <x:v>https://www.g-enews.com/article/Securities/2021/05/202105040914281444edf69f862c_1</x:v>
      </x:c>
      <x:c r="F70" s="111" t="str">
        <x:v>언론·가격</x:v>
      </x:c>
    </x:row>
    <x:row r="71" ht="30" customHeight="1">
      <x:c r="A71" s="141" t="str">
        <x:v>S136</x:v>
      </x:c>
      <x:c r="B71" s="111" t="str">
        <x:v>매일경제</x:v>
      </x:c>
      <x:c r="C71" s="111" t="str">
        <x:v>불가리스 발표 다음날 남양유업 5%대 하락</x:v>
      </x:c>
      <x:c r="D71" s="152" t="n">
        <x:v>44301</x:v>
      </x:c>
      <x:c r="E71" s="147" t="str">
        <x:v>https://www.mk.co.kr/news/stock/view/2021/04/359339/</x:v>
      </x:c>
      <x:c r="F71" s="111" t="str">
        <x:v>언론·가격</x:v>
      </x:c>
    </x:row>
    <x:row r="72" ht="30" customHeight="1">
      <x:c r="A72" s="141" t="str">
        <x:v>S135</x:v>
      </x:c>
      <x:c r="B72" s="111" t="str">
        <x:v>머니투데이</x:v>
      </x:c>
      <x:c r="C72" s="111" t="str">
        <x:v>불가리스 코로나 억제 주장에 남양유업 상한가 뒤 신뢰성 논란</x:v>
      </x:c>
      <x:c r="D72" s="152" t="n">
        <x:v>44300</x:v>
      </x:c>
      <x:c r="E72" s="147" t="str">
        <x:v>https://www.mt.co.kr/stock/2021/04/14/2021041415343687982</x:v>
      </x:c>
      <x:c r="F72" s="111" t="str">
        <x:v>언론·가격</x:v>
      </x:c>
    </x:row>
    <x:row r="73" ht="30" customHeight="1">
      <x:c r="A73" s="141" t="str">
        <x:v>S151</x:v>
      </x:c>
      <x:c r="B73" s="111" t="str">
        <x:v>한국경제</x:v>
      </x:c>
      <x:c r="C73" s="111" t="str">
        <x:v>두나무 미국 상장 추진설에 에이티넘 등 관련주 급등</x:v>
      </x:c>
      <x:c r="D73" s="152" t="n">
        <x:v>44287</x:v>
      </x:c>
      <x:c r="E73" s="147" t="str">
        <x:v>https://www.hankyung.com/article/2021040162126</x:v>
      </x:c>
      <x:c r="F73" s="111" t="str">
        <x:v>언론·가격</x:v>
      </x:c>
    </x:row>
    <x:row r="74" ht="30" customHeight="1">
      <x:c r="A74" s="141" t="str">
        <x:v>S155</x:v>
      </x:c>
      <x:c r="B74" s="111" t="str">
        <x:v>서울신문</x:v>
      </x:c>
      <x:c r="C74" s="111" t="str">
        <x:v>조선구마사 역사왜곡 온라인 불매로 관련주 시총 700억 감소</x:v>
      </x:c>
      <x:c r="D74" s="152" t="n">
        <x:v>44283</x:v>
      </x:c>
      <x:c r="E74" s="147" t="str">
        <x:v>https://www.seoul.co.kr/news/economy/2021/03/28/20210328500058</x:v>
      </x:c>
      <x:c r="F74" s="111" t="str">
        <x:v>언론·가격</x:v>
      </x:c>
    </x:row>
    <x:row r="75" ht="30" customHeight="1">
      <x:c r="A75" s="141" t="str">
        <x:v>S150</x:v>
      </x:c>
      <x:c r="B75" s="111" t="str">
        <x:v>YTN</x:v>
      </x:c>
      <x:c r="C75" s="111" t="str">
        <x:v>애플 협의 중단 발표에 기아·현대차·모비스 급락</x:v>
      </x:c>
      <x:c r="D75" s="152" t="n">
        <x:v>44235</x:v>
      </x:c>
      <x:c r="E75" s="147" t="str">
        <x:v>https://www.ytn.co.kr/_ln/0102_202102081827109624</x:v>
      </x:c>
      <x:c r="F75" s="111" t="str">
        <x:v>방송·가격</x:v>
      </x:c>
    </x:row>
    <x:row r="76" ht="30" customHeight="1">
      <x:c r="A76" s="141" t="str">
        <x:v>S149</x:v>
      </x:c>
      <x:c r="B76" s="111" t="str">
        <x:v>한국경제</x:v>
      </x:c>
      <x:c r="C76" s="111" t="str">
        <x:v>애플카 협력설에 현대차그룹주 동반 폭등</x:v>
      </x:c>
      <x:c r="D76" s="152" t="n">
        <x:v>44204</x:v>
      </x:c>
      <x:c r="E76" s="147" t="str">
        <x:v>https://www.hankyung.com/article/202101080938g</x:v>
      </x:c>
      <x:c r="F76" s="111" t="str">
        <x:v>언론·가격</x:v>
      </x:c>
    </x:row>
    <x:row r="77" ht="30" customHeight="1">
      <x:c r="A77" s="141" t="str">
        <x:v>S229</x:v>
      </x:c>
      <x:c r="B77" s="111" t="str">
        <x:v>TikTok Newsroom</x:v>
      </x:c>
      <x:c r="C77" s="111" t="str">
        <x:v>Year on TikTok 2021 Korea</x:v>
      </x:c>
      <x:c r="D77" s="183" t="str">
        <x:v>2021년</x:v>
      </x:c>
      <x:c r="E77" s="147" t="str">
        <x:v>https://newsroom.tiktok.com/year-on-tiktok-2021-kr?lang=ko-KR</x:v>
      </x:c>
      <x:c r="F77" s="111" t="str">
        <x:v>공식 플랫폼 결산</x:v>
      </x:c>
    </x:row>
    <x:row r="78" ht="30" customHeight="1">
      <x:c r="A78" s="141" t="str">
        <x:v>S228</x:v>
      </x:c>
      <x:c r="B78" s="111" t="str">
        <x:v>위키트리</x:v>
      </x:c>
      <x:c r="C78" s="111" t="str">
        <x:v>구글코리아 2021 올해의 검색어</x:v>
      </x:c>
      <x:c r="D78" s="183" t="str">
        <x:v>2021년</x:v>
      </x:c>
      <x:c r="E78" s="147" t="str">
        <x:v>https://www.wikitree.co.kr/articles/715766</x:v>
      </x:c>
      <x:c r="F78" s="111" t="str">
        <x:v>검색 결산</x:v>
      </x:c>
    </x:row>
    <x:row r="79" ht="30" customHeight="1">
      <x:c r="A79" s="141" t="str">
        <x:v>S109</x:v>
      </x:c>
      <x:c r="B79" s="111" t="str">
        <x:v>한국경제</x:v>
      </x:c>
      <x:c r="C79" s="111" t="str">
        <x:v>2020 코로나 재확산에 재택근무·온라인교육주 당일 상승률</x:v>
      </x:c>
      <x:c r="D79" s="152" t="n">
        <x:v>44179</x:v>
      </x:c>
      <x:c r="E79" s="147" t="str">
        <x:v>https://www.hankyung.com/article/2020121476891</x:v>
      </x:c>
      <x:c r="F79" s="111" t="str">
        <x:v>동시대 시세</x:v>
      </x:c>
    </x:row>
    <x:row r="80" ht="30" customHeight="1">
      <x:c r="A80" s="141" t="str">
        <x:v>S59</x:v>
      </x:c>
      <x:c r="B80" s="111" t="str">
        <x:v>미래에셋증권</x:v>
      </x:c>
      <x:c r="C80" s="111" t="str">
        <x:v>삼성출판사: 아기상어 유튜브 조회수 글로벌 1위 소식에 상승</x:v>
      </x:c>
      <x:c r="D80" s="183" t="str">
        <x:v>2020-11</x:v>
      </x:c>
      <x:c r="E80" s="147" t="str">
        <x:v>https://securities.miraeasset.com/bbs/download/2079218.pdf?attachmentId=2079218</x:v>
      </x:c>
      <x:c r="F80" s="111" t="str">
        <x:v>가격·콘텐츠</x:v>
      </x:c>
    </x:row>
    <x:row r="81" ht="30" customHeight="1">
      <x:c r="A81" s="141" t="str">
        <x:v>S126</x:v>
      </x:c>
      <x:c r="B81" s="111" t="str">
        <x:v>국민일보</x:v>
      </x:c>
      <x:c r="C81" s="111" t="str">
        <x:v>삼성중공업우 10연속 상한가·다른 우선주 동반 급등</x:v>
      </x:c>
      <x:c r="D81" s="152" t="n">
        <x:v>43999</x:v>
      </x:c>
      <x:c r="E81" s="147" t="str">
        <x:v>https://www.kmib.co.kr/article/view.asp?arcid=0014702334</x:v>
      </x:c>
      <x:c r="F81" s="111" t="str">
        <x:v>언론·가격</x:v>
      </x:c>
    </x:row>
    <x:row r="82" ht="30" customHeight="1">
      <x:c r="A82" s="141" t="str">
        <x:v>S125</x:v>
      </x:c>
      <x:c r="B82" s="111" t="str">
        <x:v>조선비즈</x:v>
      </x:c>
      <x:c r="C82" s="111" t="str">
        <x:v>삼성중공업우 등 우선주 광풍…실적과 무관한 수급 급등</x:v>
      </x:c>
      <x:c r="D82" s="152" t="n">
        <x:v>43993</x:v>
      </x:c>
      <x:c r="E82" s="147" t="str">
        <x:v>https://biz.chosun.com/site/data/html_dir/2020/06/11/2020061103066.html</x:v>
      </x:c>
      <x:c r="F82" s="111" t="str">
        <x:v>언론·가격</x:v>
      </x:c>
    </x:row>
    <x:row r="83" ht="30" customHeight="1">
      <x:c r="A83" s="141" t="str">
        <x:v>S61</x:v>
      </x:c>
      <x:c r="B83" s="111" t="str">
        <x:v>한국경제</x:v>
      </x:c>
      <x:c r="C83" s="111" t="str">
        <x:v>기생충 짜파구리 판매 확산과 농심 주가 급등</x:v>
      </x:c>
      <x:c r="D83" s="152" t="n">
        <x:v>43874</x:v>
      </x:c>
      <x:c r="E83" s="147" t="str">
        <x:v>https://www.hankyung.com/article/202002132639Y</x:v>
      </x:c>
      <x:c r="F83" s="111" t="str">
        <x:v>가격·판매</x:v>
      </x:c>
    </x:row>
    <x:row r="84" ht="30" customHeight="1">
      <x:c r="A84" s="141" t="str">
        <x:v>S35</x:v>
      </x:c>
      <x:c r="B84" s="111" t="str">
        <x:v>이데일리</x:v>
      </x:c>
      <x:c r="C84" s="111" t="str">
        <x:v>기생충 아카데미 4관왕 뒤 바른손 상한가</x:v>
      </x:c>
      <x:c r="D84" s="152" t="n">
        <x:v>43871</x:v>
      </x:c>
      <x:c r="E84" s="147" t="str">
        <x:v>https://www.edaily.co.kr/News/Read?mediaCodeNo=257&amp;newsId=04142646625669208</x:v>
      </x:c>
      <x:c r="F84" s="111" t="str">
        <x:v>직접 제작 연결</x:v>
      </x:c>
    </x:row>
    <x:row r="85" ht="30" customHeight="1">
      <x:c r="A85" s="141" t="str">
        <x:v>S227</x:v>
      </x:c>
      <x:c r="B85" s="111" t="str">
        <x:v>뉴스와이어</x:v>
      </x:c>
      <x:c r="C85" s="111" t="str">
        <x:v>인스타그램 2020 올해의 리뷰</x:v>
      </x:c>
      <x:c r="D85" s="183" t="str">
        <x:v>2020년</x:v>
      </x:c>
      <x:c r="E85" s="147" t="str">
        <x:v>https://www.newswire.co.kr/newsRead.php?no=916135</x:v>
      </x:c>
      <x:c r="F85" s="111" t="str">
        <x:v>SNS 결산</x:v>
      </x:c>
    </x:row>
    <x:row r="86" ht="30" customHeight="1">
      <x:c r="A86" s="141" t="str">
        <x:v>S226</x:v>
      </x:c>
      <x:c r="B86" s="111" t="str">
        <x:v>Google Korea</x:v>
      </x:c>
      <x:c r="C86" s="111" t="str">
        <x:v>2020 올해의 검색어와 달고나커피 등 글로벌 트렌드</x:v>
      </x:c>
      <x:c r="D86" s="183" t="str">
        <x:v>2020년</x:v>
      </x:c>
      <x:c r="E86" s="147" t="str">
        <x:v>https://korea.googleblog.com/2020/</x:v>
      </x:c>
      <x:c r="F86" s="111" t="str">
        <x:v>공식 검색 결산</x:v>
      </x:c>
    </x:row>
    <x:row r="87" ht="30" customHeight="1">
      <x:c r="A87" s="141" t="str">
        <x:v>S108</x:v>
      </x:c>
      <x:c r="B87" s="111" t="str">
        <x:v>미래에셋증권</x:v>
      </x:c>
      <x:c r="C87" s="111" t="str">
        <x:v>2020 상반기 코로나 의료기기·진단키트 종목 주가 상승률</x:v>
      </x:c>
      <x:c r="D87" s="183" t="str">
        <x:v>2020년</x:v>
      </x:c>
      <x:c r="E87" s="147" t="str">
        <x:v>https://securities.miraeasset.com/bbs/download/2075991.pdf?attachmentId=2075991</x:v>
      </x:c>
      <x:c r="F87" s="111" t="str">
        <x:v>증권사 리서치</x:v>
      </x:c>
    </x:row>
    <x:row r="88" ht="30" customHeight="1">
      <x:c r="A88" s="141" t="str">
        <x:v>S148</x:v>
      </x:c>
      <x:c r="B88" s="111" t="str">
        <x:v>CAPE투자증권</x:v>
      </x:c>
      <x:c r="C88" s="111" t="str">
        <x:v>ASF 국내 발생에 하림·마니커 상한가</x:v>
      </x:c>
      <x:c r="D88" s="152" t="n">
        <x:v>43726</x:v>
      </x:c>
      <x:c r="E88" s="147" t="str">
        <x:v>https://ssl.pstatic.net/imgstock/upload/research/industry/1568769695733.pdf</x:v>
      </x:c>
      <x:c r="F88" s="111" t="str">
        <x:v>증권사 리서치</x:v>
      </x:c>
    </x:row>
    <x:row r="89" ht="30" customHeight="1">
      <x:c r="A89" s="141" t="str">
        <x:v>S107</x:v>
      </x:c>
      <x:c r="B89" s="111" t="str">
        <x:v>한국경제</x:v>
      </x:c>
      <x:c r="C89" s="111" t="str">
        <x:v>2019 일본 불매운동 수혜주 모나미·신성통상·쌍방울 수익률</x:v>
      </x:c>
      <x:c r="D89" s="152" t="n">
        <x:v>43699</x:v>
      </x:c>
      <x:c r="E89" s="147" t="str">
        <x:v>https://www.hankyung.com/article/201908229653g</x:v>
      </x:c>
      <x:c r="F89" s="111" t="str">
        <x:v>소비자행동·시세</x:v>
      </x:c>
    </x:row>
    <x:row r="90" ht="30" customHeight="1">
      <x:c r="A90" s="141" t="str">
        <x:v>S106</x:v>
      </x:c>
      <x:c r="B90" s="111" t="str">
        <x:v>뉴시스</x:v>
      </x:c>
      <x:c r="C90" s="111" t="str">
        <x:v>2019 미세먼지 관련주 연초 평균 급등 및 종목별 수익률</x:v>
      </x:c>
      <x:c r="D90" s="152" t="n">
        <x:v>43544</x:v>
      </x:c>
      <x:c r="E90" s="147" t="str">
        <x:v>https://www.newsis.com/view/NISX20190320_0000593330</x:v>
      </x:c>
      <x:c r="F90" s="111" t="str">
        <x:v>테마 시세</x:v>
      </x:c>
    </x:row>
    <x:row r="91" ht="30" customHeight="1">
      <x:c r="A91" s="141" t="str">
        <x:v>S140</x:v>
      </x:c>
      <x:c r="B91" s="111" t="str">
        <x:v>MBC</x:v>
      </x:c>
      <x:c r="C91" s="111" t="str">
        <x:v>버닝썬·승리 파문에 YG 하루 14% 하락·시총 1,100억 증발</x:v>
      </x:c>
      <x:c r="D91" s="152" t="n">
        <x:v>43537</x:v>
      </x:c>
      <x:c r="E91" s="147" t="str">
        <x:v>https://imnews.imbc.com/replay/2019/nwtoday/article/5201881_28983.html</x:v>
      </x:c>
      <x:c r="F91" s="111" t="str">
        <x:v>방송·가격</x:v>
      </x:c>
    </x:row>
    <x:row r="92" ht="30" customHeight="1">
      <x:c r="A92" s="141" t="str">
        <x:v>S161</x:v>
      </x:c>
      <x:c r="B92" s="111" t="str">
        <x:v>이데일리</x:v>
      </x:c>
      <x:c r="C92" s="111" t="str">
        <x:v>극한직업 흥행에 CJ ENM 주가 강세</x:v>
      </x:c>
      <x:c r="D92" s="152" t="n">
        <x:v>43494</x:v>
      </x:c>
      <x:c r="E92" s="147" t="str">
        <x:v>https://www.edaily.co.kr/News/Read?mediaCodeNo=257&amp;newsId=04093446622362640</x:v>
      </x:c>
      <x:c r="F92" s="111" t="str">
        <x:v>언론·가격</x:v>
      </x:c>
    </x:row>
    <x:row r="93" ht="30" customHeight="1">
      <x:c r="A93" s="141" t="str">
        <x:v>S225</x:v>
      </x:c>
      <x:c r="B93" s="111" t="str">
        <x:v>뉴스와이어</x:v>
      </x:c>
      <x:c r="C93" s="111" t="str">
        <x:v>구글코리아 2019 올해의 검색어</x:v>
      </x:c>
      <x:c r="D93" s="183" t="str">
        <x:v>2019년</x:v>
      </x:c>
      <x:c r="E93" s="147" t="str">
        <x:v>https://www.newswire.co.kr/newsRead.php?no=898721</x:v>
      </x:c>
      <x:c r="F93" s="111" t="str">
        <x:v>검색 결산</x:v>
      </x:c>
    </x:row>
    <x:row r="94" ht="30" customHeight="1">
      <x:c r="A94" s="141" t="str">
        <x:v>S224</x:v>
      </x:c>
      <x:c r="B94" s="111" t="str">
        <x:v>성균웹진</x:v>
      </x:c>
      <x:c r="C94" s="111" t="str">
        <x:v>2018 문화 트렌드: 에어팟·슬라임·마카롱·토끼모자</x:v>
      </x:c>
      <x:c r="D94" s="183" t="str">
        <x:v>2018년</x:v>
      </x:c>
      <x:c r="E94" s="147" t="str">
        <x:v>https://webzine.skku.edu/skkuzine/section/culture.do?articleNo=69378</x:v>
      </x:c>
      <x:c r="F94" s="111" t="str">
        <x:v>문화 트렌드</x:v>
      </x:c>
    </x:row>
    <x:row r="95" ht="30" customHeight="1">
      <x:c r="A95" s="141" t="str">
        <x:v>S223</x:v>
      </x:c>
      <x:c r="B95" s="111" t="str">
        <x:v>서울신문</x:v>
      </x:c>
      <x:c r="C95" s="111" t="str">
        <x:v>인스타그램 2018 인기 해시태그 결산</x:v>
      </x:c>
      <x:c r="D95" s="183" t="str">
        <x:v>2018년</x:v>
      </x:c>
      <x:c r="E95" s="147" t="str">
        <x:v>https://www.seoul.co.kr/news/economy/IT/2018/12/14/20181214500054</x:v>
      </x:c>
      <x:c r="F95" s="111" t="str">
        <x:v>SNS 결산</x:v>
      </x:c>
    </x:row>
    <x:row r="96" ht="30" customHeight="1">
      <x:c r="A96" s="141" t="str">
        <x:v>S222</x:v>
      </x:c>
      <x:c r="B96" s="111" t="str">
        <x:v>카카오</x:v>
      </x:c>
      <x:c r="C96" s="111" t="str">
        <x:v>2018 올해의 검색어</x:v>
      </x:c>
      <x:c r="D96" s="183" t="str">
        <x:v>2018년</x:v>
      </x:c>
      <x:c r="E96" s="147" t="str">
        <x:v>https://www.kakaocorp.com/page/detail/8632</x:v>
      </x:c>
      <x:c r="F96" s="111" t="str">
        <x:v>포털 검색 결산</x:v>
      </x:c>
    </x:row>
    <x:row r="97" ht="30" customHeight="1">
      <x:c r="A97" s="141" t="str">
        <x:v>S221</x:v>
      </x:c>
      <x:c r="B97" s="111" t="str">
        <x:v>대한민국 정책브리핑</x:v>
      </x:c>
      <x:c r="C97" s="111" t="str">
        <x:v>2017 인스타그램 해시태그·일상 공유 확산</x:v>
      </x:c>
      <x:c r="D97" s="183" t="str">
        <x:v>2017년</x:v>
      </x:c>
      <x:c r="E97" s="147" t="str">
        <x:v>https://www.korea.kr/news/policyNewsView.do?newsId=148842261</x:v>
      </x:c>
      <x:c r="F97" s="111" t="str">
        <x:v>SNS 데이터</x:v>
      </x:c>
    </x:row>
    <x:row r="98" ht="30" customHeight="1">
      <x:c r="A98" s="141" t="str">
        <x:v>S220</x:v>
      </x:c>
      <x:c r="B98" s="111" t="str">
        <x:v>인사이트</x:v>
      </x:c>
      <x:c r="C98" s="111" t="str">
        <x:v>2017 온라인 신조어·유행어 결산</x:v>
      </x:c>
      <x:c r="D98" s="183" t="str">
        <x:v>2017년</x:v>
      </x:c>
      <x:c r="E98" s="147" t="str">
        <x:v>https://www.insight.co.kr/news/129773</x:v>
      </x:c>
      <x:c r="F98" s="111" t="str">
        <x:v>온라인 문화 결산</x:v>
      </x:c>
    </x:row>
    <x:row r="99" ht="30" customHeight="1">
      <x:c r="A99" s="141" t="str">
        <x:v>S219</x:v>
      </x:c>
      <x:c r="B99" s="111" t="str">
        <x:v>카카오</x:v>
      </x:c>
      <x:c r="C99" s="111" t="str">
        <x:v>2017 올해의 검색어</x:v>
      </x:c>
      <x:c r="D99" s="183" t="str">
        <x:v>2017년</x:v>
      </x:c>
      <x:c r="E99" s="147" t="str">
        <x:v>https://www.kakaocorp.com/page/detail/8438</x:v>
      </x:c>
      <x:c r="F99" s="111" t="str">
        <x:v>포털 검색 결산</x:v>
      </x:c>
    </x:row>
    <x:row r="100" ht="30" customHeight="1">
      <x:c r="A100" s="141" t="str">
        <x:v>S63</x:v>
      </x:c>
      <x:c r="B100" s="111" t="str">
        <x:v>연합뉴스</x:v>
      </x:c>
      <x:c r="C100" s="111" t="str">
        <x:v>허니버터칩 후광 해태제과 상장 후 7일 만에 공모가 4.5배</x:v>
      </x:c>
      <x:c r="D100" s="152" t="n">
        <x:v>42661</x:v>
      </x:c>
      <x:c r="E100" s="147" t="str">
        <x:v>https://www.yna.co.kr/view/AKR20161018175251030</x:v>
      </x:c>
      <x:c r="F100" s="111" t="str">
        <x:v>가격·IPO</x:v>
      </x:c>
    </x:row>
    <x:row r="101" ht="30" customHeight="1">
      <x:c r="A101" s="141" t="str">
        <x:v>S104</x:v>
      </x:c>
      <x:c r="B101" s="111" t="str">
        <x:v>한국경제</x:v>
      </x:c>
      <x:c r="C101" s="111" t="str">
        <x:v>남양유업 갑질·불매운동 직후 1주일 15% 하락</x:v>
      </x:c>
      <x:c r="D101" s="152" t="n">
        <x:v>42529</x:v>
      </x:c>
      <x:c r="E101" s="147" t="str">
        <x:v>https://www.hankyung.com/article/2016060867496</x:v>
      </x:c>
      <x:c r="F101" s="111" t="str">
        <x:v>사후 검증</x:v>
      </x:c>
    </x:row>
    <x:row r="102" ht="30" customHeight="1">
      <x:c r="A102" s="141" t="str">
        <x:v>S162</x:v>
      </x:c>
      <x:c r="B102" s="111" t="str">
        <x:v>연합뉴스TV</x:v>
      </x:c>
      <x:c r="C102" s="111" t="str">
        <x:v>코데즈컴바인 이유 없는 급등·극심한 변동성</x:v>
      </x:c>
      <x:c r="D102" s="152" t="n">
        <x:v>42503</x:v>
      </x:c>
      <x:c r="E102" s="147" t="str">
        <x:v>https://www.youtube.com/watch?v=24glhN2u3_Q</x:v>
      </x:c>
      <x:c r="F102" s="111" t="str">
        <x:v>방송·가격</x:v>
      </x:c>
    </x:row>
    <x:row r="103" ht="30" customHeight="1">
      <x:c r="A103" s="141" t="str">
        <x:v>S163</x:v>
      </x:c>
      <x:c r="B103" s="111" t="str">
        <x:v>서울신문</x:v>
      </x:c>
      <x:c r="C103" s="111" t="str">
        <x:v>코데즈컴바인 품절주 효과·FTSE 편입 해프닝 결론</x:v>
      </x:c>
      <x:c r="D103" s="152" t="n">
        <x:v>42499</x:v>
      </x:c>
      <x:c r="E103" s="147" t="str">
        <x:v>https://www.seoul.co.kr/news/economy/securities/2016/05/09/20160509016014</x:v>
      </x:c>
      <x:c r="F103" s="111" t="str">
        <x:v>언론·검증</x:v>
      </x:c>
    </x:row>
    <x:row r="104" ht="30" customHeight="1">
      <x:c r="A104" s="141" t="str">
        <x:v>S145</x:v>
      </x:c>
      <x:c r="B104" s="111" t="str">
        <x:v>한국경제</x:v>
      </x:c>
      <x:c r="C104" s="111" t="str">
        <x:v>태양의 후예 흥행으로 NEW 주가 방송 시작 뒤 48.34% 상승</x:v>
      </x:c>
      <x:c r="D104" s="152" t="n">
        <x:v>42443</x:v>
      </x:c>
      <x:c r="E104" s="147" t="str">
        <x:v>https://www.hankyung.com/article/2016031442591</x:v>
      </x:c>
      <x:c r="F104" s="111" t="str">
        <x:v>언론·가격</x:v>
      </x:c>
    </x:row>
    <x:row r="105" ht="30" customHeight="1">
      <x:c r="A105" s="141" t="str">
        <x:v>S218</x:v>
      </x:c>
      <x:c r="B105" s="111" t="str">
        <x:v>다음뉴스</x:v>
      </x:c>
      <x:c r="C105" s="111" t="str">
        <x:v>2016 국내 구글 인기검색어 상세</x:v>
      </x:c>
      <x:c r="D105" s="183" t="str">
        <x:v>2016년</x:v>
      </x:c>
      <x:c r="E105" s="147" t="str">
        <x:v>https://v.daum.net/v/iL8Pyc4fnF?f=p</x:v>
      </x:c>
      <x:c r="F105" s="111" t="str">
        <x:v>검색 결산</x:v>
      </x:c>
    </x:row>
    <x:row r="106" ht="30" customHeight="1">
      <x:c r="A106" s="141" t="str">
        <x:v>S217</x:v>
      </x:c>
      <x:c r="B106" s="111" t="str">
        <x:v>ZDNET Korea</x:v>
      </x:c>
      <x:c r="C106" s="111" t="str">
        <x:v>구글 2016 인기 검색어</x:v>
      </x:c>
      <x:c r="D106" s="183" t="str">
        <x:v>2016년</x:v>
      </x:c>
      <x:c r="E106" s="147" t="str">
        <x:v>https://zdnet.co.kr/view/?no=20161215090320</x:v>
      </x:c>
      <x:c r="F106" s="111" t="str">
        <x:v>검색 결산</x:v>
      </x:c>
    </x:row>
    <x:row r="107" ht="30" customHeight="1">
      <x:c r="A107" s="141" t="str">
        <x:v>S147</x:v>
      </x:c>
      <x:c r="B107" s="111" t="str">
        <x:v>이데일리</x:v>
      </x:c>
      <x:c r="C107" s="111" t="str">
        <x:v>메르스 기간 마스크 관련주 상승률 정리</x:v>
      </x:c>
      <x:c r="D107" s="152" t="n">
        <x:v>42362</x:v>
      </x:c>
      <x:c r="E107" s="147" t="str">
        <x:v>https://www.edaily.co.kr/News/Read?mediaCodeNo=257&amp;newsId=01384166609602456</x:v>
      </x:c>
      <x:c r="F107" s="111" t="str">
        <x:v>언론·가격</x:v>
      </x:c>
    </x:row>
    <x:row r="108" ht="30" customHeight="1">
      <x:c r="A108" s="141" t="str">
        <x:v>S146</x:v>
      </x:c>
      <x:c r="B108" s="111" t="str">
        <x:v>연합뉴스</x:v>
      </x:c>
      <x:c r="C108" s="111" t="str">
        <x:v>메르스 공포로 마스크·손세정제 급등, 여행주 급락</x:v>
      </x:c>
      <x:c r="D108" s="152" t="n">
        <x:v>42173</x:v>
      </x:c>
      <x:c r="E108" s="147" t="str">
        <x:v>https://www.yna.co.kr/amp/view/AKR20150617185400008</x:v>
      </x:c>
      <x:c r="F108" s="111" t="str">
        <x:v>언론·가격</x:v>
      </x:c>
    </x:row>
    <x:row r="109" ht="30" customHeight="1">
      <x:c r="A109" s="141" t="str">
        <x:v>S105</x:v>
      </x:c>
      <x:c r="B109" s="111" t="str">
        <x:v>한국경제</x:v>
      </x:c>
      <x:c r="C109" s="111" t="str">
        <x:v>가짜 백수오 파동 이후 내츄럴엔도텍 주가 급락</x:v>
      </x:c>
      <x:c r="D109" s="152" t="n">
        <x:v>42148</x:v>
      </x:c>
      <x:c r="E109" s="147" t="str">
        <x:v>https://www.hankyung.com/article/2015052481557</x:v>
      </x:c>
      <x:c r="F109" s="111" t="str">
        <x:v>사건 분석</x:v>
      </x:c>
    </x:row>
    <x:row r="110" ht="30" customHeight="1">
      <x:c r="A110" s="141" t="str">
        <x:v>S216</x:v>
      </x:c>
      <x:c r="B110" s="111" t="str">
        <x:v>카카오</x:v>
      </x:c>
      <x:c r="C110" s="111" t="str">
        <x:v>2015 올해의 검색어·사회문화 흐름</x:v>
      </x:c>
      <x:c r="D110" s="183" t="str">
        <x:v>2015년</x:v>
      </x:c>
      <x:c r="E110" s="147" t="str">
        <x:v>https://www.kakaocorp.com/page/detail/7863</x:v>
      </x:c>
      <x:c r="F110" s="111" t="str">
        <x:v>포털 검색 결산</x:v>
      </x:c>
    </x:row>
    <x:row r="111" ht="30" customHeight="1">
      <x:c r="A111" s="141" t="str">
        <x:v>S215</x:v>
      </x:c>
      <x:c r="B111" s="111" t="str">
        <x:v>Google Korea</x:v>
      </x:c>
      <x:c r="C111" s="111" t="str">
        <x:v>2015 올해의 검색어</x:v>
      </x:c>
      <x:c r="D111" s="183" t="str">
        <x:v>2015년</x:v>
      </x:c>
      <x:c r="E111" s="147" t="str">
        <x:v>https://korea.googleblog.com/2015/12/2015_8.html?m=0</x:v>
      </x:c>
      <x:c r="F111" s="111" t="str">
        <x:v>공식 검색 결산</x:v>
      </x:c>
    </x:row>
    <x:row r="112" ht="30" customHeight="1">
      <x:c r="A112" s="141" t="str">
        <x:v>S62</x:v>
      </x:c>
      <x:c r="B112" s="111" t="str">
        <x:v>이투데이</x:v>
      </x:c>
      <x:c r="C112" s="111" t="str">
        <x:v>허니버터칩 열풍과 크라운제과 2014-11-21 가격 반응</x:v>
      </x:c>
      <x:c r="D112" s="152" t="n">
        <x:v>42003</x:v>
      </x:c>
      <x:c r="E112" s="147" t="str">
        <x:v>https://pdf.etoday.co.kr/daily/pdf/detoday01058.pdf</x:v>
      </x:c>
      <x:c r="F112" s="111" t="str">
        <x:v>가격·역사</x:v>
      </x:c>
    </x:row>
    <x:row r="113" ht="30" customHeight="1">
      <x:c r="A113" s="141" t="str">
        <x:v>S157</x:v>
      </x:c>
      <x:c r="B113" s="111" t="str">
        <x:v>한국경제</x:v>
      </x:c>
      <x:c r="C113" s="111" t="str">
        <x:v>에볼라 공포·백신 생산 계약에 진원생명과학 이틀째 급등</x:v>
      </x:c>
      <x:c r="D113" s="152" t="n">
        <x:v>41964</x:v>
      </x:c>
      <x:c r="E113" s="147" t="str">
        <x:v>https://www.hankyung.com/article/2014112176616</x:v>
      </x:c>
      <x:c r="F113" s="111" t="str">
        <x:v>언론·가격</x:v>
      </x:c>
    </x:row>
    <x:row r="114" ht="30" customHeight="1">
      <x:c r="A114" s="141" t="str">
        <x:v>S214</x:v>
      </x:c>
      <x:c r="B114" s="111" t="str">
        <x:v>카카오</x:v>
      </x:c>
      <x:c r="C114" s="111" t="str">
        <x:v>다음 2014 올해의 검색어</x:v>
      </x:c>
      <x:c r="D114" s="183" t="str">
        <x:v>2014년</x:v>
      </x:c>
      <x:c r="E114" s="147" t="str">
        <x:v>https://v.daum.net/v/M0OwmtajbD</x:v>
      </x:c>
      <x:c r="F114" s="111" t="str">
        <x:v>포털 검색 결산</x:v>
      </x:c>
    </x:row>
    <x:row r="115" ht="30" customHeight="1">
      <x:c r="A115" s="141" t="str">
        <x:v>S213</x:v>
      </x:c>
      <x:c r="B115" s="111" t="str">
        <x:v>Google Korea</x:v>
      </x:c>
      <x:c r="C115" s="111" t="str">
        <x:v>2014 올해의 검색어</x:v>
      </x:c>
      <x:c r="D115" s="183" t="str">
        <x:v>2014년</x:v>
      </x:c>
      <x:c r="E115" s="147" t="str">
        <x:v>https://korea.googleblog.com/2014/12/year-in-search-korea.html?m=1</x:v>
      </x:c>
      <x:c r="F115" s="111" t="str">
        <x:v>공식 검색 결산</x:v>
      </x:c>
    </x:row>
    <x:row r="116" ht="30" customHeight="1">
      <x:c r="A116" s="141" t="str">
        <x:v>S212</x:v>
      </x:c>
      <x:c r="B116" s="111" t="str">
        <x:v>한국경제</x:v>
      </x:c>
      <x:c r="C116" s="111" t="str">
        <x:v>카카오톡 기반 모바일게임 열풍</x:v>
      </x:c>
      <x:c r="D116" s="183" t="str">
        <x:v>2013년</x:v>
      </x:c>
      <x:c r="E116" s="147" t="str">
        <x:v>https://www.hankyung.com/article/2013011271157</x:v>
      </x:c>
      <x:c r="F116" s="111" t="str">
        <x:v>모바일게임 트렌드</x:v>
      </x:c>
    </x:row>
    <x:row r="117" ht="30" customHeight="1">
      <x:c r="A117" s="141" t="str">
        <x:v>S211</x:v>
      </x:c>
      <x:c r="B117" s="111" t="str">
        <x:v>한국지능정보사회진흥원</x:v>
      </x:c>
      <x:c r="C117" s="111" t="str">
        <x:v>2013 한국인터넷백서</x:v>
      </x:c>
      <x:c r="D117" s="183" t="str">
        <x:v>2013년</x:v>
      </x:c>
      <x:c r="E117" s="147" t="str">
        <x:v>https://www.nia.or.kr/ebook/report/data/LS3S7MV7IQXZ/2013_kor.pdf</x:v>
      </x:c>
      <x:c r="F117" s="111" t="str">
        <x:v>공공 보고서</x:v>
      </x:c>
    </x:row>
    <x:row r="118" ht="30" customHeight="1">
      <x:c r="A118" s="141" t="str">
        <x:v>S32</x:v>
      </x:c>
      <x:c r="B118" s="111" t="str">
        <x:v>머니투데이</x:v>
      </x:c>
      <x:c r="C118" s="111" t="str">
        <x:v>디아이 강남스타일 발표 뒤 시총 급증·4일 연속 상한가</x:v>
      </x:c>
      <x:c r="D118" s="152" t="n">
        <x:v>41192</x:v>
      </x:c>
      <x:c r="E118" s="147" t="str">
        <x:v>https://news.mt.co.kr/mtview.php?no=2012101015501655096</x:v>
      </x:c>
      <x:c r="F118" s="111" t="str">
        <x:v>가격 반응</x:v>
      </x:c>
    </x:row>
    <x:row r="119" ht="30" customHeight="1">
      <x:c r="A119" s="141" t="str">
        <x:v>S31</x:v>
      </x:c>
      <x:c r="B119" s="111" t="str">
        <x:v>한국경제</x:v>
      </x:c>
      <x:c r="C119" s="111" t="str">
        <x:v>싸이 강남스타일 열풍에 디아이 급등·싸이 지분 없음</x:v>
      </x:c>
      <x:c r="D119" s="152" t="n">
        <x:v>41135</x:v>
      </x:c>
      <x:c r="E119" s="147" t="str">
        <x:v>https://www.hankyung.com/article/2012081486426</x:v>
      </x:c>
      <x:c r="F119" s="111" t="str">
        <x:v>문화 밈</x:v>
      </x:c>
    </x:row>
    <x:row r="120" ht="30" customHeight="1">
      <x:c r="A120" s="141" t="str">
        <x:v>S210</x:v>
      </x:c>
      <x:c r="B120" s="111" t="str">
        <x:v>뉴스와이어</x:v>
      </x:c>
      <x:c r="C120" s="111" t="str">
        <x:v>KISA가 뽑은 2012 인터넷 10대 이슈</x:v>
      </x:c>
      <x:c r="D120" s="183" t="str">
        <x:v>2012년</x:v>
      </x:c>
      <x:c r="E120" s="147" t="str">
        <x:v>https://www.newswire.co.kr/newsRead.php?no=596549</x:v>
      </x:c>
      <x:c r="F120" s="111" t="str">
        <x:v>인터넷 이슈 결산</x:v>
      </x:c>
    </x:row>
    <x:row r="121" ht="30" customHeight="1">
      <x:c r="A121" s="141" t="str">
        <x:v>S209</x:v>
      </x:c>
      <x:c r="B121" s="111" t="str">
        <x:v>한국경제</x:v>
      </x:c>
      <x:c r="C121" s="111" t="str">
        <x:v>구글코리아 2012 인기 검색어</x:v>
      </x:c>
      <x:c r="D121" s="183" t="str">
        <x:v>2012년</x:v>
      </x:c>
      <x:c r="E121" s="147" t="str">
        <x:v>https://www.hankyung.com/article/2012121382871</x:v>
      </x:c>
      <x:c r="F121" s="111" t="str">
        <x:v>검색 결산</x:v>
      </x:c>
    </x:row>
    <x:row r="122" ht="30" customHeight="1">
      <x:c r="A122" s="141" t="str">
        <x:v>S156</x:v>
      </x:c>
      <x:c r="B122" s="111" t="str">
        <x:v>한국경제</x:v>
      </x:c>
      <x:c r="C122" s="111" t="str">
        <x:v>국내 방사성 물질 검출 보도에 방사능 관련주 급등</x:v>
      </x:c>
      <x:c r="D122" s="152" t="n">
        <x:v>40632</x:v>
      </x:c>
      <x:c r="E122" s="147" t="str">
        <x:v>https://www.hankyung.com/article/2011033052636</x:v>
      </x:c>
      <x:c r="F122" s="111" t="str">
        <x:v>언론·가격</x:v>
      </x:c>
    </x:row>
    <x:row r="123" ht="30" customHeight="1">
      <x:c r="A123" s="141" t="str">
        <x:v>S208</x:v>
      </x:c>
      <x:c r="B123" s="111" t="str">
        <x:v>이투데이</x:v>
      </x:c>
      <x:c r="C123" s="111" t="str">
        <x:v>2011년 SNS 이용 확산과 변화</x:v>
      </x:c>
      <x:c r="D123" s="183" t="str">
        <x:v>2011년</x:v>
      </x:c>
      <x:c r="E123" s="147" t="str">
        <x:v>https://www.etoday.co.kr/news/view/524029</x:v>
      </x:c>
      <x:c r="F123" s="111" t="str">
        <x:v>SNS 트렌드</x:v>
      </x:c>
    </x:row>
    <x:row r="124" ht="30" customHeight="1">
      <x:c r="A124" s="141" t="str">
        <x:v>S207</x:v>
      </x:c>
      <x:c r="B124" s="111" t="str">
        <x:v>카카오</x:v>
      </x:c>
      <x:c r="C124" s="111" t="str">
        <x:v>다음 2011 올해의 검색어·키워드</x:v>
      </x:c>
      <x:c r="D124" s="183" t="str">
        <x:v>2011년</x:v>
      </x:c>
      <x:c r="E124" s="147" t="str">
        <x:v>https://www.kakaocorp.com/page/detail/6790</x:v>
      </x:c>
      <x:c r="F124" s="111" t="str">
        <x:v>포털 검색 결산</x:v>
      </x:c>
    </x:row>
    <x:row r="125" ht="30" customHeight="1">
      <x:c r="A125" s="141" t="str">
        <x:v>S102</x:v>
      </x:c>
      <x:c r="B125" s="111" t="str">
        <x:v>한국경제</x:v>
      </x:c>
      <x:c r="C125" s="111" t="str">
        <x:v>2010 막걸리 시장 성장과 국순당 신고가 행진</x:v>
      </x:c>
      <x:c r="D125" s="152" t="n">
        <x:v>40302</x:v>
      </x:c>
      <x:c r="E125" s="147" t="str">
        <x:v>https://www.hankyung.com/article/2010050445286</x:v>
      </x:c>
      <x:c r="F125" s="111" t="str">
        <x:v>동시대 시세</x:v>
      </x:c>
    </x:row>
    <x:row r="126" ht="30" customHeight="1">
      <x:c r="A126" s="141" t="str">
        <x:v>S96</x:v>
      </x:c>
      <x:c r="B126" s="111" t="str">
        <x:v>이투데이</x:v>
      </x:c>
      <x:c r="C126" s="111" t="str">
        <x:v>아바타 3D 열풍·아이폰 출시 후 3D/스마트폰 테마주 점검</x:v>
      </x:c>
      <x:c r="D126" s="152" t="n">
        <x:v>40198</x:v>
      </x:c>
      <x:c r="E126" s="147" t="str">
        <x:v>https://www.etoday.co.kr/news/view/283529</x:v>
      </x:c>
      <x:c r="F126" s="111" t="str">
        <x:v>동시대 테마 기사</x:v>
      </x:c>
    </x:row>
    <x:row r="127" ht="30" customHeight="1">
      <x:c r="A127" s="141" t="str">
        <x:v>S206</x:v>
      </x:c>
      <x:c r="B127" s="111" t="str">
        <x:v>IT동아</x:v>
      </x:c>
      <x:c r="C127" s="111" t="str">
        <x:v>2010년 IT·소셜미디어 주요 흐름</x:v>
      </x:c>
      <x:c r="D127" s="183" t="str">
        <x:v>2010년</x:v>
      </x:c>
      <x:c r="E127" s="147" t="str">
        <x:v>https://it.donga.com/3992/</x:v>
      </x:c>
      <x:c r="F127" s="111" t="str">
        <x:v>IT 트렌드</x:v>
      </x:c>
    </x:row>
    <x:row r="128" ht="30" customHeight="1">
      <x:c r="A128" s="141" t="str">
        <x:v>S205</x:v>
      </x:c>
      <x:c r="B128" s="111" t="str">
        <x:v>뉴스와이어</x:v>
      </x:c>
      <x:c r="C128" s="111" t="str">
        <x:v>야후코리아 2010년 인기 검색어</x:v>
      </x:c>
      <x:c r="D128" s="183" t="str">
        <x:v>2010년</x:v>
      </x:c>
      <x:c r="E128" s="147" t="str">
        <x:v>https://www.newswire.co.kr/newsRead.php?no=513583</x:v>
      </x:c>
      <x:c r="F128" s="111" t="str">
        <x:v>검색 결산</x:v>
      </x:c>
    </x:row>
    <x:row r="129" ht="30" customHeight="1">
      <x:c r="A129" s="141" t="str">
        <x:v>S204</x:v>
      </x:c>
      <x:c r="B129" s="111" t="str">
        <x:v>전자신문</x:v>
      </x:c>
      <x:c r="C129" s="111" t="str">
        <x:v>구글 2010년 국내 검색 트렌드</x:v>
      </x:c>
      <x:c r="D129" s="183" t="str">
        <x:v>2010년</x:v>
      </x:c>
      <x:c r="E129" s="147" t="str">
        <x:v>https://www.etnews.com/201012100115</x:v>
      </x:c>
      <x:c r="F129" s="111" t="str">
        <x:v>검색 결산</x:v>
      </x:c>
    </x:row>
    <x:row r="130" ht="30" customHeight="1">
      <x:c r="A130" s="141" t="str">
        <x:v>S103</x:v>
      </x:c>
      <x:c r="B130" s="111" t="str">
        <x:v>한국상장회사협의회 자료</x:v>
      </x:c>
      <x:c r="C130" s="111" t="str">
        <x:v>2010 남아공월드컵 기대에 하림·동우 상승 후 테마 소멸</x:v>
      </x:c>
      <x:c r="D130" s="183" t="str">
        <x:v>2010년</x:v>
      </x:c>
      <x:c r="E130" s="147" t="str">
        <x:v>https://www.klca.or.kr/KLCADownload/eBook/P7013.pdf?Mode=PC</x:v>
      </x:c>
      <x:c r="F130" s="111" t="str">
        <x:v>시장 회고</x:v>
      </x:c>
    </x:row>
    <x:row r="131" ht="30" customHeight="1">
      <x:c r="A131" s="141" t="str">
        <x:v>S80</x:v>
      </x:c>
      <x:c r="B131" s="111" t="str">
        <x:v>연합뉴스</x:v>
      </x:c>
      <x:c r="C131" s="111" t="str">
        <x:v>KT 아이폰 국내 공식 출시·예약 6만명</x:v>
      </x:c>
      <x:c r="D131" s="152" t="n">
        <x:v>40145</x:v>
      </x:c>
      <x:c r="E131" s="147" t="str">
        <x:v>https://www.yna.co.kr/view/AKR20091128034700017</x:v>
      </x:c>
      <x:c r="F131" s="111" t="str">
        <x:v>동시대 통신</x:v>
      </x:c>
    </x:row>
    <x:row r="132" ht="30" customHeight="1">
      <x:c r="A132" s="141" t="str">
        <x:v>S100</x:v>
      </x:c>
      <x:c r="B132" s="111" t="str">
        <x:v>한국경제</x:v>
      </x:c>
      <x:c r="C132" s="111" t="str">
        <x:v>2009 신종플루 확산에 백신·의약 관련주 무더기 상한가</x:v>
      </x:c>
      <x:c r="D132" s="152" t="n">
        <x:v>40046</x:v>
      </x:c>
      <x:c r="E132" s="147" t="str">
        <x:v>https://www.hankyung.com/article/2009082156686</x:v>
      </x:c>
      <x:c r="F132" s="111" t="str">
        <x:v>동시대 시세</x:v>
      </x:c>
    </x:row>
    <x:row r="133" ht="30" customHeight="1">
      <x:c r="A133" s="141" t="str">
        <x:v>S101</x:v>
      </x:c>
      <x:c r="B133" s="111" t="str">
        <x:v>연합뉴스</x:v>
      </x:c>
      <x:c r="C133" s="111" t="str">
        <x:v>2009 신종플루 사망자 발생 후 관련주 9종목 상한가</x:v>
      </x:c>
      <x:c r="D133" s="152" t="n">
        <x:v>40042</x:v>
      </x:c>
      <x:c r="E133" s="147" t="str">
        <x:v>https://cb.yna.co.kr/gate/big5/cn.yna.co.kr/view/AKR20090817168100008</x:v>
      </x:c>
      <x:c r="F133" s="111" t="str">
        <x:v>동시대 시세</x:v>
      </x:c>
    </x:row>
    <x:row r="134" ht="30" customHeight="1">
      <x:c r="A134" s="141" t="str">
        <x:v>S203</x:v>
      </x:c>
      <x:c r="B134" s="111" t="str">
        <x:v>머니투데이</x:v>
      </x:c>
      <x:c r="C134" s="111" t="str">
        <x:v>구글코리아 2009년 인기검색어 발표</x:v>
      </x:c>
      <x:c r="D134" s="183" t="str">
        <x:v>2009년</x:v>
      </x:c>
      <x:c r="E134" s="147" t="str">
        <x:v>https://www.mt.co.kr/society/2009/12/02/2009120210573538134</x:v>
      </x:c>
      <x:c r="F134" s="111" t="str">
        <x:v>검색 결산</x:v>
      </x:c>
    </x:row>
    <x:row r="135" ht="30" customHeight="1">
      <x:c r="A135" s="141" t="str">
        <x:v>S202</x:v>
      </x:c>
      <x:c r="B135" s="111" t="str">
        <x:v>뉴스와이어</x:v>
      </x:c>
      <x:c r="C135" s="111" t="str">
        <x:v>2009년 상반기 인터넷 이슈 키워드</x:v>
      </x:c>
      <x:c r="D135" s="183" t="str">
        <x:v>2009년</x:v>
      </x:c>
      <x:c r="E135" s="147" t="str">
        <x:v>https://www.newswire.co.kr/newsRead.php?no=412418</x:v>
      </x:c>
      <x:c r="F135" s="111" t="str">
        <x:v>인터넷 이슈 결산</x:v>
      </x:c>
    </x:row>
    <x:row r="136" ht="30" customHeight="1">
      <x:c r="A136" s="141" t="str">
        <x:v>S201</x:v>
      </x:c>
      <x:c r="B136" s="111" t="str">
        <x:v>네이버</x:v>
      </x:c>
      <x:c r="C136" s="111" t="str">
        <x:v>2009년 인기검색어 결산</x:v>
      </x:c>
      <x:c r="D136" s="183" t="str">
        <x:v>2009년</x:v>
      </x:c>
      <x:c r="E136" s="147" t="str">
        <x:v>https://navercorp.com/media/pressReleasesDetail?seq=27816</x:v>
      </x:c>
      <x:c r="F136" s="111" t="str">
        <x:v>포털 검색 결산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f3e72239bf7a433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34" hidden="0" customWidth="1"/>
    <x:col min="4" max="4" width="31" hidden="0" customWidth="1"/>
    <x:col min="5" max="5" width="20" hidden="0" customWidth="1"/>
    <x:col min="6" max="6" width="24" hidden="0" customWidth="1"/>
    <x:col min="7" max="7" width="28" hidden="0" customWidth="1"/>
    <x:col min="8" max="8" width="25" hidden="0" customWidth="1"/>
  </x:cols>
  <x:sheetData>
    <x:row r="1" ht="34" customHeight="1">
      <x:c r="A1" s="94" t="str">
        <x:v>04 판정기준 — “유행 존재”와 “주가 연결”을 분리</x:v>
      </x:c>
      <x:c r="B1"/>
      <x:c r="C1"/>
      <x:c r="D1"/>
      <x:c r="E1"/>
      <x:c r="F1"/>
      <x:c r="G1"/>
      <x:c r="H1"/>
    </x:row>
    <x:row r="2" ht="25" customHeight="1">
      <x:c r="A2" s="130" t="str">
        <x:v>정치 테마는 제외합니다. 유행이 확인되면 01에 먼저 수록하고, 기업·가격 증거가 확인될 때만 02를 연결합니다.</x:v>
      </x:c>
      <x:c r="B2" s="130"/>
      <x:c r="C2" s="130"/>
      <x:c r="D2" s="130"/>
      <x:c r="E2" s="130"/>
      <x:c r="F2" s="130"/>
      <x:c r="G2" s="130"/>
      <x:c r="H2" s="130"/>
    </x:row>
    <x:row r="4">
      <x:c r="A4" s="140" t="str">
        <x:v>단계</x:v>
      </x:c>
      <x:c r="B4" s="140" t="str">
        <x:v>포함 기준</x:v>
      </x:c>
      <x:c r="C4" s="140" t="str">
        <x:v>제외·경계 기준</x:v>
      </x:c>
      <x:c r="D4" s="140" t="str">
        <x:v>필수 근거</x:v>
      </x:c>
      <x:c r="E4" s="140" t="str">
        <x:v>주가 연결 상태</x:v>
      </x:c>
      <x:c r="F4" s="140" t="str">
        <x:v>서비스 표기</x:v>
      </x:c>
      <x:c r="G4" s="140" t="str">
        <x:v>후속 작업</x:v>
      </x:c>
      <x:c r="H4" s="140" t="str">
        <x:v>주의</x:v>
      </x:c>
    </x:row>
    <x:row r="5" ht="48" customHeight="1">
      <x:c r="A5" s="111" t="str">
        <x:v>유행 원장</x:v>
      </x:c>
      <x:c r="B5" s="111" t="str">
        <x:v>검색·조회·해시태그·품절·패러디·연간 결산 등 확산 흔적 확인</x:v>
      </x:c>
      <x:c r="C5" s="111" t="str">
        <x:v>개인의 단발 게시물·출처 없는 기억</x:v>
      </x:c>
      <x:c r="D5" s="111" t="str">
        <x:v>플랫폼 공식 자료·기사·공공 보고서 중 1개 이상</x:v>
      </x:c>
      <x:c r="E5" s="111" t="str">
        <x:v>주가 미확인 가능</x:v>
      </x:c>
      <x:c r="F5" s="111" t="str">
        <x:v>무엇/왜/플랫폼/시간 흐름</x:v>
      </x:c>
      <x:c r="G5" s="111" t="str">
        <x:v>관련 산업·기업 후보 탐색</x:v>
      </x:c>
      <x:c r="H5" s="111" t="str">
        <x:v>유행=매수 신호 아님</x:v>
      </x:c>
    </x:row>
    <x:row r="6" ht="48" customHeight="1">
      <x:c r="A6" s="111" t="str">
        <x:v>주가 연결</x:v>
      </x:c>
      <x:c r="B6" s="111" t="str">
        <x:v>유행 시기와 같은 구간에 종목 가격 반응이 보도·데이터로 확인</x:v>
      </x:c>
      <x:c r="C6" s="111" t="str">
        <x:v>가격 수치·날짜 없는 추정</x:v>
      </x:c>
      <x:c r="D6" s="111" t="str">
        <x:v>가격 일자·등락 또는 신뢰할 수 있는 정성 보도</x:v>
      </x:c>
      <x:c r="E6" s="111" t="str">
        <x:v>주가 반응 기록 있음</x:v>
      </x:c>
      <x:c r="F6" s="111" t="str">
        <x:v>방향·가격·출처 표시</x:v>
      </x:c>
      <x:c r="G6" s="111" t="str">
        <x:v>차트·공시 교차검증</x:v>
      </x:c>
      <x:c r="H6" s="111" t="str">
        <x:v>동시 재료 분리</x:v>
      </x:c>
    </x:row>
    <x:row r="7" ht="48" customHeight="1">
      <x:c r="A7" s="111" t="str">
        <x:v>비즈니스 연결</x:v>
      </x:c>
      <x:c r="B7" s="111" t="str">
        <x:v>제품·브랜드·IP·제조·공급·유통 관계 확인</x:v>
      </x:c>
      <x:c r="C7" s="111" t="str">
        <x:v>이름 유사·임원 인맥만 존재</x:v>
      </x:c>
      <x:c r="D7" s="111" t="str">
        <x:v>공시·회사 자료·신뢰 보도</x:v>
      </x:c>
      <x:c r="E7" s="111" t="str">
        <x:v>직접/간접 구분</x:v>
      </x:c>
      <x:c r="F7" s="111" t="str">
        <x:v>연결 근거 표시</x:v>
      </x:c>
      <x:c r="G7" s="111" t="str">
        <x:v>매출 노출도 확인</x:v>
      </x:c>
      <x:c r="H7" s="111" t="str">
        <x:v>실제 수혜 단정 금지</x:v>
      </x:c>
    </x:row>
    <x:row r="8" ht="48" customHeight="1">
      <x:c r="A8" s="111" t="str">
        <x:v>밈 연결</x:v>
      </x:c>
      <x:c r="B8" s="111" t="str">
        <x:v>이름·인물·콘텐츠·관계로 시장이 묶은 흔적 확인</x:v>
      </x:c>
      <x:c r="C8" s="111" t="str">
        <x:v>근거 없는 임의 종목 선정</x:v>
      </x:c>
      <x:c r="D8" s="111" t="str">
        <x:v>당시 기사·커뮤니티 확산과 가격 기록</x:v>
      </x:c>
      <x:c r="E8" s="111" t="str">
        <x:v>경계사례 가능</x:v>
      </x:c>
      <x:c r="F8" s="111" t="str">
        <x:v>실제 사업 연결 없음 경고</x:v>
      </x:c>
      <x:c r="G8" s="111" t="str">
        <x:v>반박·소멸 구간 확인</x:v>
      </x:c>
      <x:c r="H8" s="111" t="str">
        <x:v>추천 금지</x:v>
      </x:c>
    </x:row>
    <x:row r="9" ht="48" customHeight="1">
      <x:c r="A9" s="111" t="str">
        <x:v>미연결 상태</x:v>
      </x:c>
      <x:c r="B9" s="111" t="str">
        <x:v>유행은 확인됐지만 상장사·가격 연결을 아직 확인하지 못함</x:v>
      </x:c>
      <x:c r="C9" s="111" t="str">
        <x:v>“주가 영향 없음”으로 해석</x:v>
      </x:c>
      <x:c r="D9" s="111" t="str">
        <x:v>유행 출처만 필수</x:v>
      </x:c>
      <x:c r="E9" s="111" t="str">
        <x:v>주가 미확인·연결 전</x:v>
      </x:c>
      <x:c r="F9" s="111" t="str">
        <x:v>조사 대기</x:v>
      </x:c>
      <x:c r="G9" s="111" t="str">
        <x:v>키워드·제품·IP 기업 검색</x:v>
      </x:c>
      <x:c r="H9" s="111" t="str">
        <x:v>가상 데이터 금지</x:v>
      </x:c>
    </x:row>
    <x:row r="10" ht="48" customHeight="1">
      <x:c r="A10" s="111" t="str">
        <x:v>정치 제외</x:v>
      </x:c>
      <x:c r="B10" s="111" t="str">
        <x:v>없음</x:v>
      </x:c>
      <x:c r="C10" s="111" t="str">
        <x:v>정치인·선거·공약·정책·정부사업·인맥 테마</x:v>
      </x:c>
      <x:c r="D10" s="111" t="str">
        <x:v>필터 점검</x:v>
      </x:c>
      <x:c r="E10" s="111" t="str">
        <x:v>수록하지 않음</x:v>
      </x:c>
      <x:c r="F10" s="111" t="str">
        <x:v>서비스 범위 밖</x:v>
      </x:c>
      <x:c r="G10" s="111" t="str">
        <x:v>별도 연구 시 별도 파일</x:v>
      </x:c>
      <x:c r="H10" s="111" t="str">
        <x:v>현재 통합본에 혼합 금지</x:v>
      </x:c>
    </x:row>
    <x:row r="11" ht="48" customHeight="1">
      <x:c r="A11" s="111" t="str">
        <x:v>전수 한계</x:v>
      </x:c>
      <x:c r="B11" s="111" t="str">
        <x:v>공개적으로 재확인 가능한 사례를 최대화</x:v>
      </x:c>
      <x:c r="C11" s="111" t="str">
        <x:v>삭제 게시물·폐쇄 커뮤니티·검색량 비공개를 사실처럼 복원</x:v>
      </x:c>
      <x:c r="D11" s="111" t="str">
        <x:v>원문 URL 보존</x:v>
      </x:c>
      <x:c r="E11" s="111" t="str">
        <x:v>연도별 최소치 강제 안 함</x:v>
      </x:c>
      <x:c r="F11" s="111" t="str">
        <x:v>확인 가능한 만큼</x:v>
      </x:c>
      <x:c r="G11" s="111" t="str">
        <x:v>분기별 출처 보강</x:v>
      </x:c>
      <x:c r="H11" s="111" t="str">
        <x:v>“모두”는 공개기록 기준</x:v>
      </x:c>
    </x:row>
    <x:row r="12" ht="49" customHeight="1">
      <x:c r="A12"/>
      <x:c r="B12"/>
      <x:c r="C12"/>
      <x:c r="D12"/>
      <x:c r="E12"/>
      <x:c r="F12"/>
      <x:c r="G12"/>
      <x:c r="H12"/>
    </x:row>
    <x:row r="13" ht="49" customHeight="1">
      <x:c r="A13" s="140" t="str">
        <x:v>분석 단위</x:v>
      </x:c>
      <x:c r="B13" s="140" t="str">
        <x:v>유행 사건</x:v>
      </x:c>
      <x:c r="C13" s="140" t="str">
        <x:v>종목 사례</x:v>
      </x:c>
      <x:c r="D13" s="140" t="str">
        <x:v>전체 사건</x:v>
      </x:c>
      <x:c r="E13" s="140" t="str">
        <x:v>종목 행</x:v>
      </x:c>
      <x:c r="F13" s="140" t="str">
        <x:v>출처</x:v>
      </x:c>
      <x:c r="G13" s="140" t="str">
        <x:v>업데이트</x:v>
      </x:c>
      <x:c r="H13" s="140" t="str">
        <x:v>범위</x:v>
      </x:c>
    </x:row>
    <x:row r="14" ht="30" customHeight="1">
      <x:c r="A14" s="111" t="str">
        <x:v>현재</x:v>
      </x:c>
      <x:c r="B14" s="111" t="str">
        <x:v>이벤트ID 1개당 한 사건</x:v>
      </x:c>
      <x:c r="C14" s="111" t="str">
        <x:v>이벤트-종목 조합당 한 행</x:v>
      </x:c>
      <x:c r="D14" s="111" t="n">
        <x:v>298</x:v>
      </x:c>
      <x:c r="E14" s="111" t="n">
        <x:v>161</x:v>
      </x:c>
      <x:c r="F14" s="111" t="n">
        <x:v>132</x:v>
      </x:c>
      <x:c r="G14" s="111" t="str">
        <x:v>2026-08-05</x:v>
      </x:c>
      <x:c r="H14" s="111" t="str">
        <x:v>2009~2026 비정치</x:v>
      </x:c>
    </x:row>
    <x:row r="15" ht="49" customHeight="1">
      <x:c r="A15"/>
      <x:c r="B15"/>
      <x:c r="C15"/>
      <x:c r="D15"/>
      <x:c r="E15"/>
      <x:c r="F15"/>
      <x:c r="G15"/>
      <x:c r="H15"/>
    </x:row>
    <x:row r="16">
      <x:c r="A16" s="151" t="str">
        <x:v>권장 조사 순서: 유행 근거 확보 → 확산 이유·플랫폼 기록 → 산업·기업 후보 탐색 → 가격·공시 교차검증 → 직접/간접/밈 연결 분리</x:v>
      </x:c>
      <x:c r="B16" s="151"/>
      <x:c r="C16" s="151"/>
      <x:c r="D16" s="151"/>
      <x:c r="E16" s="151"/>
      <x:c r="F16" s="151"/>
      <x:c r="G16" s="151"/>
      <x:c r="H16" s="151"/>
    </x:row>
    <x:row r="17">
      <x:c r="A17"/>
      <x:c r="B17"/>
      <x:c r="C17"/>
      <x:c r="D17"/>
      <x:c r="E17"/>
      <x:c r="F17"/>
      <x:c r="G17"/>
      <x:c r="H17"/>
    </x:row>
    <x:row r="18" ht="28" customHeight="1">
      <x:c r="A18" s="165" t="str">
        <x:v>표준 카테고리 사전 — 9개 대분류와 소분류</x:v>
      </x:c>
      <x:c r="B18" s="165"/>
      <x:c r="C18" s="165"/>
      <x:c r="D18" s="165"/>
      <x:c r="E18" s="165"/>
      <x:c r="F18" s="165"/>
      <x:c r="G18" s="165"/>
      <x:c r="H18" s="165"/>
    </x:row>
    <x:row r="19" ht="26" customHeight="1">
      <x:c r="A19" s="170" t="str">
        <x:v>대분류</x:v>
      </x:c>
      <x:c r="B19" s="170" t="str">
        <x:v>소분류</x:v>
      </x:c>
      <x:c r="C19" s="170"/>
      <x:c r="D19" s="170"/>
      <x:c r="E19" s="170"/>
      <x:c r="F19" s="170"/>
      <x:c r="G19" s="170"/>
      <x:c r="H19" s="170"/>
    </x:row>
    <x:row r="20" ht="26" customHeight="1">
      <x:c r="A20" s="176" t="str">
        <x:v>식품·음료</x:v>
      </x:c>
      <x:c r="B20" s="175" t="str">
        <x:v>디저트·베이커리 / 외식·프랜차이즈 / 음료·주류 / 간편식·스낵 / 레시피·홈카페 / 식품 유행 일반</x:v>
      </x:c>
      <x:c r="C20" s="175"/>
      <x:c r="D20" s="175"/>
      <x:c r="E20" s="175"/>
      <x:c r="F20" s="175"/>
      <x:c r="G20" s="175"/>
      <x:c r="H20" s="175"/>
    </x:row>
    <x:row r="21" ht="26" customHeight="1">
      <x:c r="A21" s="182" t="str">
        <x:v>콘텐츠·엔터</x:v>
      </x:c>
      <x:c r="B21" s="181" t="str">
        <x:v>드라마·OTT / 영화·애니메이션 / 음악·댄스 / 방송·예능 / 캐릭터·IP / 웹툰·도서 / 팬덤·공연</x:v>
      </x:c>
      <x:c r="C21" s="181"/>
      <x:c r="D21" s="181"/>
      <x:c r="E21" s="181"/>
      <x:c r="F21" s="181"/>
      <x:c r="G21" s="181"/>
      <x:c r="H21" s="181"/>
    </x:row>
    <x:row r="22" ht="26" customHeight="1">
      <x:c r="A22" s="176" t="str">
        <x:v>디지털·플랫폼</x:v>
      </x:c>
      <x:c r="B22" s="175" t="str">
        <x:v>SNS·커뮤니티 / AI·생성형 / 모바일·플랫폼 / IT기기·통신 / 1인미디어</x:v>
      </x:c>
      <x:c r="C22" s="175"/>
      <x:c r="D22" s="175"/>
      <x:c r="E22" s="175"/>
      <x:c r="F22" s="175"/>
      <x:c r="G22" s="175"/>
      <x:c r="H22" s="175"/>
    </x:row>
    <x:row r="23" ht="26" customHeight="1">
      <x:c r="A23" s="182" t="str">
        <x:v>게임·e스포츠</x:v>
      </x:c>
      <x:c r="B23" s="181" t="str">
        <x:v>모바일게임 / PC·콘솔게임 / e스포츠·스트리밍 / 소셜·캐주얼게임</x:v>
      </x:c>
      <x:c r="C23" s="181"/>
      <x:c r="D23" s="181"/>
      <x:c r="E23" s="181"/>
      <x:c r="F23" s="181"/>
      <x:c r="G23" s="181"/>
      <x:c r="H23" s="181"/>
    </x:row>
    <x:row r="24" ht="26" customHeight="1">
      <x:c r="A24" s="176" t="str">
        <x:v>패션·뷰티</x:v>
      </x:c>
      <x:c r="B24" s="175" t="str">
        <x:v>패션·스타일 / 뷰티·화장품 / 액세서리·웨어러블</x:v>
      </x:c>
      <x:c r="C24" s="175"/>
      <x:c r="D24" s="175"/>
      <x:c r="E24" s="175"/>
      <x:c r="F24" s="175"/>
      <x:c r="G24" s="175"/>
      <x:c r="H24" s="175"/>
    </x:row>
    <x:row r="25" ht="26" customHeight="1">
      <x:c r="A25" s="182" t="str">
        <x:v>생활·소비</x:v>
      </x:c>
      <x:c r="B25" s="181" t="str">
        <x:v>유통·쇼핑 / 여행·공간 / 사진·체험 / 모빌리티·서비스 / 자기관리·라이프스타일 / 완구·수집</x:v>
      </x:c>
      <x:c r="C25" s="181"/>
      <x:c r="D25" s="181"/>
      <x:c r="E25" s="181"/>
      <x:c r="F25" s="181"/>
      <x:c r="G25" s="181"/>
      <x:c r="H25" s="181"/>
    </x:row>
    <x:row r="26" ht="26" customHeight="1">
      <x:c r="A26" s="176" t="str">
        <x:v>스포츠·건강</x:v>
      </x:c>
      <x:c r="B26" s="175" t="str">
        <x:v>스포츠·응원 / 운동·피트니스 / 건강·방역</x:v>
      </x:c>
      <x:c r="C26" s="175"/>
      <x:c r="D26" s="175"/>
      <x:c r="E26" s="175"/>
      <x:c r="F26" s="175"/>
      <x:c r="G26" s="175"/>
      <x:c r="H26" s="175"/>
    </x:row>
    <x:row r="27" ht="26" customHeight="1">
      <x:c r="A27" s="182" t="str">
        <x:v>사회·온라인문화</x:v>
      </x:c>
      <x:c r="B27" s="181" t="str">
        <x:v>밈·유행어 / 챌린지·참여 / 논란·역풍 / 공익·사회심리 / 복고·노스탤지어</x:v>
      </x:c>
      <x:c r="C27" s="181"/>
      <x:c r="D27" s="181"/>
      <x:c r="E27" s="181"/>
      <x:c r="F27" s="181"/>
      <x:c r="G27" s="181"/>
      <x:c r="H27" s="181"/>
    </x:row>
    <x:row r="28" ht="26" customHeight="1">
      <x:c r="A28" s="176" t="str">
        <x:v>금융·시장현상</x:v>
      </x:c>
      <x:c r="B28" s="175" t="str">
        <x:v>풍문·군중매매 / 품절주·수급 / 공포·사재기 / 테마 전염</x:v>
      </x:c>
      <x:c r="C28" s="175"/>
      <x:c r="D28" s="175"/>
      <x:c r="E28" s="175"/>
      <x:c r="F28" s="175"/>
      <x:c r="G28" s="175"/>
      <x:c r="H28" s="175"/>
    </x:row>
  </x:sheetData>
  <x:mergeCells>
    <x:mergeCell ref="A1:H1"/>
    <x:mergeCell ref="A2:H2"/>
    <x:mergeCell ref="A16:H16"/>
    <x:mergeCell ref="A18:H18"/>
    <x:mergeCell ref="B19:H19"/>
    <x:mergeCell ref="B20:H20"/>
    <x:mergeCell ref="B21:H21"/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