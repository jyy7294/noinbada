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3a3274d61034a25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00_안내" sheetId="1" r:id="Rd748a258abbd4c35"/>
    <x:sheet xmlns:r="http://schemas.openxmlformats.org/officeDocument/2006/relationships" name="01_유행이벤트" sheetId="2" r:id="Ra992d03bbcd14faa"/>
    <x:sheet xmlns:r="http://schemas.openxmlformats.org/officeDocument/2006/relationships" name="02_종목반응" sheetId="3" r:id="Rb924fbfbd37b499f"/>
    <x:sheet xmlns:r="http://schemas.openxmlformats.org/officeDocument/2006/relationships" name="03_출처" sheetId="4" r:id="R71f4a3b462d3429f"/>
    <x:sheet xmlns:r="http://schemas.openxmlformats.org/officeDocument/2006/relationships" name="04_판정기준" sheetId="5" r:id="Re74fcb9f2e9e4f7d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13">
    <x:font>
      <x:sz val="11"/>
      <x:name val="Carlito"/>
    </x:font>
    <x:font>
      <x:b/>
      <x:sz val="18"/>
      <x:color rgb="FFFFFFFF"/>
      <x:name val="Carlito"/>
    </x:font>
    <x:font>
      <x:i/>
      <x:sz val="10"/>
      <x:color rgb="FF59657A"/>
      <x:name val="Carlito"/>
    </x:font>
    <x:font>
      <x:b/>
      <x:sz val="11"/>
      <x:color rgb="FF0B1F4B"/>
      <x:name val="Carlito"/>
    </x:font>
    <x:font>
      <x:b/>
      <x:sz val="13"/>
      <x:color rgb="FFEC0A72"/>
      <x:name val="Carlito"/>
    </x:font>
    <x:font>
      <x:b/>
      <x:sz val="10"/>
      <x:color rgb="FFFFFFFF"/>
      <x:name val="Carlito"/>
    </x:font>
    <x:font>
      <x:b/>
      <x:sz val="18"/>
      <x:color rgb="FF17223B"/>
      <x:name val="Aptos"/>
    </x:font>
    <x:font>
      <x:i/>
      <x:sz val="10"/>
      <x:color rgb="FF17223B"/>
      <x:name val="Aptos"/>
    </x:font>
    <x:font>
      <x:sz val="11"/>
      <x:color rgb="FF17223B"/>
      <x:name val="Aptos"/>
    </x:font>
    <x:font>
      <x:b/>
      <x:sz val="11"/>
      <x:color rgb="FF17223B"/>
      <x:name val="Aptos"/>
    </x:font>
    <x:font>
      <x:b/>
      <x:sz val="13"/>
      <x:color rgb="FF17223B"/>
      <x:name val="Aptos"/>
    </x:font>
    <x:font>
      <x:b/>
      <x:sz val="10"/>
      <x:color rgb="FF17223B"/>
      <x:name val="Aptos"/>
    </x:font>
    <x:font>
      <x:b/>
      <x:sz val="18"/>
      <x:color rgb="FFFFFFFF"/>
      <x:name val="Aptos Display"/>
    </x:font>
  </x:fonts>
  <x:fills count="11">
    <x:fill>
      <x:patternFill patternType="none"/>
    </x:fill>
    <x:fill>
      <x:patternFill patternType="gray125"/>
    </x:fill>
    <x:fill>
      <x:patternFill patternType="solid">
        <x:fgColor rgb="FF0B1F4B"/>
      </x:patternFill>
    </x:fill>
    <x:fill>
      <x:patternFill patternType="solid">
        <x:fgColor rgb="FFF4F7FF"/>
      </x:patternFill>
    </x:fill>
    <x:fill>
      <x:patternFill patternType="solid">
        <x:fgColor rgb="FFDCE6FF"/>
      </x:patternFill>
    </x:fill>
    <x:fill>
      <x:patternFill patternType="solid">
        <x:fgColor rgb="FFFFF3F8"/>
      </x:patternFill>
    </x:fill>
    <x:fill>
      <x:patternFill patternType="solid">
        <x:fgColor rgb="FF2854C5"/>
      </x:patternFill>
    </x:fill>
    <x:fill>
      <x:patternFill patternType="solid">
        <x:fgColor rgb="FFE6F4EA"/>
      </x:patternFill>
    </x:fill>
    <x:fill>
      <x:patternFill patternType="solid">
        <x:fgColor rgb="FFFAFBFE"/>
      </x:patternFill>
    </x:fill>
    <x:fill>
      <x:patternFill patternType="solid">
        <x:fgColor rgb="FFFFF4CC"/>
      </x:patternFill>
    </x:fill>
    <x:fill>
      <x:patternFill patternType="solid">
        <x:fgColor rgb="FFFDE8E7"/>
      </x:patternFill>
    </x:fill>
  </x:fills>
  <x:borders count="1">
    <x:border/>
  </x:borders>
  <x:cellStyleXfs count="1">
    <x:xf numFmtId="0" fontId="0" fillId="0" borderId="0"/>
  </x:cellStyleXfs>
  <x:cellXfs count="32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0" fillId="5" borderId="0" xfId="0" applyNumberFormat="1" applyFont="1" applyFill="1" applyBorder="1"/>
    <x:xf numFmtId="0" fontId="4" fillId="5" borderId="0" xfId="0" applyNumberFormat="1" applyFont="1" applyFill="1" applyBorder="1"/>
    <x:xf numFmtId="0" fontId="4" fillId="5" borderId="0" xfId="0" applyNumberFormat="1" applyFont="1" applyFill="1" applyBorder="1" applyAlignment="1">
      <x:alignment horizontal="center"/>
    </x:xf>
    <x:xf numFmtId="0" fontId="0" fillId="6" borderId="0" xfId="0" applyNumberFormat="1" applyFont="1" applyFill="1" applyBorder="1"/>
    <x:xf numFmtId="0" fontId="5" fillId="6" borderId="0" xfId="0" applyNumberFormat="1" applyFont="1" applyFill="1" applyBorder="1"/>
    <x:xf numFmtId="0" fontId="5" fillId="6" borderId="0" xfId="0" applyNumberFormat="1" applyFont="1" applyFill="1" applyBorder="1" applyAlignment="1">
      <x:alignment horizontal="center"/>
    </x:xf>
    <x:xf numFmtId="0" fontId="5" fillId="6" borderId="0" xfId="0" applyNumberFormat="1" applyFont="1" applyFill="1" applyBorder="1" applyAlignment="1">
      <x:alignment horizontal="center" vertical="center"/>
    </x:xf>
    <x:xf numFmtId="0" fontId="5" fillId="6" borderId="0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vertical="top" wrapText="1"/>
    </x:xf>
    <x:xf numFmtId="0" fontId="6" fillId="2" borderId="0" xfId="0" applyNumberFormat="1" applyFont="1" applyFill="1" applyBorder="1" applyAlignment="1">
      <x:alignment vertical="center"/>
    </x:xf>
    <x:xf numFmtId="0" fontId="7" fillId="3" borderId="0" xfId="0" applyNumberFormat="1" applyFont="1" applyFill="1" applyBorder="1" applyAlignment="1">
      <x:alignment wrapText="1"/>
    </x:xf>
    <x:xf numFmtId="0" fontId="8" fillId="0" borderId="0" xfId="0" applyNumberFormat="1" applyFont="1" applyFill="1" applyBorder="1"/>
    <x:xf numFmtId="0" fontId="9" fillId="4" borderId="0" xfId="0" applyNumberFormat="1" applyFont="1" applyFill="1" applyBorder="1"/>
    <x:xf numFmtId="0" fontId="10" fillId="5" borderId="0" xfId="0" applyNumberFormat="1" applyFont="1" applyFill="1" applyBorder="1" applyAlignment="1">
      <x:alignment horizontal="center"/>
    </x:xf>
    <x:xf numFmtId="0" fontId="11" fillId="6" borderId="0" xfId="0" applyNumberFormat="1" applyFont="1" applyFill="1" applyBorder="1" applyAlignment="1">
      <x:alignment horizontal="center" vertical="center" wrapText="1"/>
    </x:xf>
    <x:xf numFmtId="0" fontId="8" fillId="0" borderId="0" xfId="0" applyNumberFormat="1" applyFont="1" applyFill="1" applyBorder="1" applyAlignment="1">
      <x:alignment vertical="top" wrapText="1"/>
    </x:xf>
    <x:xf numFmtId="0" fontId="8" fillId="0" borderId="0" xfId="0" applyNumberFormat="1" applyFont="1" applyFill="1" applyBorder="1" applyAlignment="1">
      <x:alignment wrapText="1"/>
    </x:xf>
    <x:xf numFmtId="0" fontId="12" fillId="2" borderId="0" xfId="0" applyNumberFormat="1" applyFont="1" applyFill="1" applyBorder="1" applyAlignment="1">
      <x:alignment vertical="center"/>
    </x:xf>
    <x:xf numFmtId="0" fontId="0" fillId="7" borderId="0" xfId="0" applyNumberFormat="1" applyFont="1" applyFill="1" applyBorder="1" applyAlignment="1">
      <x:alignment vertical="top" wrapText="1"/>
    </x:xf>
    <x:xf numFmtId="0" fontId="0" fillId="8" borderId="0" xfId="0" applyNumberFormat="1" applyFont="1" applyFill="1" applyBorder="1" applyAlignment="1">
      <x:alignment vertical="top" wrapText="1"/>
    </x:xf>
    <x:xf numFmtId="0" fontId="0" fillId="9" borderId="0" xfId="0" applyNumberFormat="1" applyFont="1" applyFill="1" applyBorder="1" applyAlignment="1">
      <x:alignment vertical="top" wrapText="1"/>
    </x:xf>
    <x:xf numFmtId="0" fontId="0" fillId="10" borderId="0" xfId="0" applyNumberFormat="1" applyFont="1" applyFill="1" applyBorder="1" applyAlignment="1">
      <x:alignment vertical="top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2713ea2f1d7047cb" /><Relationship Type="http://schemas.openxmlformats.org/officeDocument/2006/relationships/theme" Target="/xl/theme/theme1.xml" Id="R61998cec653a4831" /><Relationship Type="http://schemas.openxmlformats.org/officeDocument/2006/relationships/sharedStrings" Target="/xl/sharedStrings.xml" Id="Ref75362f1b594e4f" /><Relationship Type="http://schemas.openxmlformats.org/officeDocument/2006/relationships/worksheet" Target="/xl/worksheets/sheet1.xml" Id="Rd748a258abbd4c35" /><Relationship Type="http://schemas.openxmlformats.org/officeDocument/2006/relationships/worksheet" Target="/xl/worksheets/sheet2.xml" Id="Ra992d03bbcd14faa" /><Relationship Type="http://schemas.openxmlformats.org/officeDocument/2006/relationships/worksheet" Target="/xl/worksheets/sheet3.xml" Id="Rb924fbfbd37b499f" /><Relationship Type="http://schemas.openxmlformats.org/officeDocument/2006/relationships/worksheet" Target="/xl/worksheets/sheet4.xml" Id="R71f4a3b462d3429f" /><Relationship Type="http://schemas.openxmlformats.org/officeDocument/2006/relationships/worksheet" Target="/xl/worksheets/sheet5.xml" Id="Re74fcb9f2e9e4f7d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5" hidden="0" customWidth="1"/>
    <x:col min="3" max="3" width="15" hidden="0" customWidth="1"/>
    <x:col min="5" max="5" width="15" hidden="0" customWidth="1"/>
    <x:col min="7" max="7" width="15" hidden="0" customWidth="1"/>
    <x:col min="9" max="9" width="15" hidden="0" customWidth="1"/>
    <x:col min="2" max="2" width="19" hidden="0" customWidth="1"/>
    <x:col min="4" max="4" width="19" hidden="0" customWidth="1"/>
    <x:col min="6" max="6" width="19" hidden="0" customWidth="1"/>
    <x:col min="8" max="8" width="19" hidden="0" customWidth="1"/>
    <x:col min="10" max="10" width="19" hidden="0" customWidth="1"/>
  </x:cols>
  <x:sheetData>
    <x:row r="1" ht="34" customHeight="1">
      <x:c r="A1" s="27" t="str">
        <x:v>밈·트렌드·풍문에 따른 국내 주가 반응 통합 원장</x:v>
      </x:c>
      <x:c r="B1" s="27" t="str">
        <x:v>밈·트렌드·풍문에 따른 국내 주가 반응 통합 원장</x:v>
      </x:c>
      <x:c r="C1" s="27" t="str">
        <x:v>밈·트렌드·풍문에 따른 국내 주가 반응 통합 원장</x:v>
      </x:c>
      <x:c r="D1" s="27" t="str">
        <x:v>밈·트렌드·풍문에 따른 국내 주가 반응 통합 원장</x:v>
      </x:c>
      <x:c r="E1" s="27" t="str">
        <x:v>밈·트렌드·풍문에 따른 국내 주가 반응 통합 원장</x:v>
      </x:c>
      <x:c r="F1" s="27" t="str">
        <x:v>밈·트렌드·풍문에 따른 국내 주가 반응 통합 원장</x:v>
      </x:c>
      <x:c r="G1" s="27" t="str">
        <x:v>밈·트렌드·풍문에 따른 국내 주가 반응 통합 원장</x:v>
      </x:c>
      <x:c r="H1" s="27" t="str">
        <x:v>밈·트렌드·풍문에 따른 국내 주가 반응 통합 원장</x:v>
      </x:c>
      <x:c r="I1" s="27" t="str">
        <x:v>밈·트렌드·풍문에 따른 국내 주가 반응 통합 원장</x:v>
      </x:c>
      <x:c r="J1" s="27" t="str">
        <x:v>밈·트렌드·풍문에 따른 국내 주가 반응 통합 원장</x:v>
      </x:c>
    </x:row>
    <x:row r="2" ht="28" customHeight="1">
      <x:c r="A2" s="20" t="str">
        <x:v>고유 사건과 종목 반응을 분리했습니다. 사건 수는 부풀리지 않고, 기사·공시·증권사 자료에서 주가 반응이 확인된 경우만 수록합니다.</x:v>
      </x:c>
      <x:c r="B2" s="20" t="str">
        <x:v>고유 사건과 종목 반응을 분리했습니다. 사건 수는 부풀리지 않고, 기사·공시·증권사 자료에서 주가 반응이 확인된 경우만 수록합니다.</x:v>
      </x:c>
      <x:c r="C2" s="20" t="str">
        <x:v>고유 사건과 종목 반응을 분리했습니다. 사건 수는 부풀리지 않고, 기사·공시·증권사 자료에서 주가 반응이 확인된 경우만 수록합니다.</x:v>
      </x:c>
      <x:c r="D2" s="20" t="str">
        <x:v>고유 사건과 종목 반응을 분리했습니다. 사건 수는 부풀리지 않고, 기사·공시·증권사 자료에서 주가 반응이 확인된 경우만 수록합니다.</x:v>
      </x:c>
      <x:c r="E2" s="20" t="str">
        <x:v>고유 사건과 종목 반응을 분리했습니다. 사건 수는 부풀리지 않고, 기사·공시·증권사 자료에서 주가 반응이 확인된 경우만 수록합니다.</x:v>
      </x:c>
      <x:c r="F2" s="20" t="str">
        <x:v>고유 사건과 종목 반응을 분리했습니다. 사건 수는 부풀리지 않고, 기사·공시·증권사 자료에서 주가 반응이 확인된 경우만 수록합니다.</x:v>
      </x:c>
      <x:c r="G2" s="20" t="str">
        <x:v>고유 사건과 종목 반응을 분리했습니다. 사건 수는 부풀리지 않고, 기사·공시·증권사 자료에서 주가 반응이 확인된 경우만 수록합니다.</x:v>
      </x:c>
      <x:c r="H2" s="20" t="str">
        <x:v>고유 사건과 종목 반응을 분리했습니다. 사건 수는 부풀리지 않고, 기사·공시·증권사 자료에서 주가 반응이 확인된 경우만 수록합니다.</x:v>
      </x:c>
      <x:c r="I2" s="20" t="str">
        <x:v>고유 사건과 종목 반응을 분리했습니다. 사건 수는 부풀리지 않고, 기사·공시·증권사 자료에서 주가 반응이 확인된 경우만 수록합니다.</x:v>
      </x:c>
      <x:c r="J2" s="20" t="str">
        <x:v>고유 사건과 종목 반응을 분리했습니다. 사건 수는 부풀리지 않고, 기사·공시·증권사 자료에서 주가 반응이 확인된 경우만 수록합니다.</x:v>
      </x:c>
    </x:row>
    <x:row r="3">
      <x:c r="A3" s="21"/>
      <x:c r="B3" s="21"/>
      <x:c r="C3" s="21"/>
      <x:c r="D3" s="21"/>
      <x:c r="E3" s="21"/>
      <x:c r="F3" s="21"/>
      <x:c r="G3" s="21"/>
      <x:c r="H3" s="21"/>
      <x:c r="I3" s="21"/>
      <x:c r="J3" s="21"/>
    </x:row>
    <x:row r="4">
      <x:c r="A4" s="22" t="str">
        <x:v>고유 사건</x:v>
      </x:c>
      <x:c r="B4" s="23" t="n">
        <x:v>88</x:v>
      </x:c>
      <x:c r="C4" s="22" t="str">
        <x:v>종목 반응</x:v>
      </x:c>
      <x:c r="D4" s="23" t="n">
        <x:v>225</x:v>
      </x:c>
      <x:c r="E4" s="22" t="str">
        <x:v>출처</x:v>
      </x:c>
      <x:c r="F4" s="23" t="n">
        <x:v>116</x:v>
      </x:c>
      <x:c r="G4" s="22" t="str">
        <x:v>기간</x:v>
      </x:c>
      <x:c r="H4" s="23" t="str">
        <x:v>2009~2026</x:v>
      </x:c>
      <x:c r="I4" s="22" t="str">
        <x:v>중심 시장</x:v>
      </x:c>
      <x:c r="J4" s="23" t="str">
        <x:v>한국(KRX)</x:v>
      </x:c>
    </x:row>
    <x:row r="5">
      <x:c r="A5" s="21"/>
      <x:c r="B5" s="21"/>
      <x:c r="C5" s="21"/>
      <x:c r="D5" s="21"/>
      <x:c r="E5" s="21"/>
      <x:c r="F5" s="21"/>
      <x:c r="G5" s="21"/>
      <x:c r="H5" s="21"/>
      <x:c r="I5" s="21"/>
      <x:c r="J5" s="21"/>
    </x:row>
    <x:row r="6" ht="30" customHeight="1">
      <x:c r="A6" s="24" t="str">
        <x:v>구분</x:v>
      </x:c>
      <x:c r="B6" s="24" t="str">
        <x:v>무엇을 보는가</x:v>
      </x:c>
      <x:c r="C6" s="24" t="str">
        <x:v>추천 읽기</x:v>
      </x:c>
      <x:c r="D6" s="24" t="str">
        <x:v>주의점</x:v>
      </x:c>
      <x:c r="E6" s="24" t="str">
        <x:v>구분</x:v>
      </x:c>
      <x:c r="F6" s="24" t="str">
        <x:v>무엇을 보는가</x:v>
      </x:c>
      <x:c r="G6" s="24" t="str">
        <x:v>추천 읽기</x:v>
      </x:c>
      <x:c r="H6" s="24" t="str">
        <x:v>주의점</x:v>
      </x:c>
      <x:c r="I6" s="21" t="str"/>
      <x:c r="J6" s="21" t="str"/>
    </x:row>
    <x:row r="7" ht="48" customHeight="1">
      <x:c r="A7" s="25" t="str">
        <x:v>01_유행이벤트</x:v>
      </x:c>
      <x:c r="B7" s="25" t="str">
        <x:v>한 사건당 한 행</x:v>
      </x:c>
      <x:c r="C7" s="25" t="str">
        <x:v>왜 유행했나→시간 흐름→대표 반응</x:v>
      </x:c>
      <x:c r="D7" s="25" t="str">
        <x:v>이벤트 수를 먼저 확인</x:v>
      </x:c>
      <x:c r="E7" s="25" t="str">
        <x:v>02_종목반응</x:v>
      </x:c>
      <x:c r="F7" s="25" t="str">
        <x:v>사건에 붙은 개별 종목</x:v>
      </x:c>
      <x:c r="G7" s="25" t="str">
        <x:v>기업 연결→가격→점수</x:v>
      </x:c>
      <x:c r="H7" s="25" t="str">
        <x:v>같은 사건의 다종목 중복 주의</x:v>
      </x:c>
      <x:c r="I7" s="21"/>
      <x:c r="J7" s="21"/>
    </x:row>
    <x:row r="8" ht="48" customHeight="1">
      <x:c r="A8" s="25" t="str">
        <x:v>03_출처</x:v>
      </x:c>
      <x:c r="B8" s="25" t="str">
        <x:v>기사·공시·리서치 원문</x:v>
      </x:c>
      <x:c r="C8" s="25" t="str">
        <x:v>출처ID 검색</x:v>
      </x:c>
      <x:c r="D8" s="25" t="str">
        <x:v>링크는 시점별 보도</x:v>
      </x:c>
      <x:c r="E8" s="25" t="str">
        <x:v>04_판정기준</x:v>
      </x:c>
      <x:c r="F8" s="25" t="str">
        <x:v>포함·제외·점수 기준</x:v>
      </x:c>
      <x:c r="G8" s="25" t="str">
        <x:v>T/L/P/C 확인</x:v>
      </x:c>
      <x:c r="H8" s="25" t="str">
        <x:v>점수는 매수 신호 아님</x:v>
      </x:c>
      <x:c r="I8" s="21"/>
      <x:c r="J8" s="21"/>
    </x:row>
    <x:row r="9" ht="48" customHeight="1">
      <x:c r="A9" s="25" t="str">
        <x:v>핵심 원칙</x:v>
      </x:c>
      <x:c r="B9" s="25" t="str">
        <x:v>실적 발표·차트 신호가 주원인인 경우 제외</x:v>
      </x:c>
      <x:c r="C9" s="25" t="str">
        <x:v>비기본적 관심·풍문·입소문을 분리</x:v>
      </x:c>
      <x:c r="D9" s="25" t="str">
        <x:v>동시재료 C로 표시</x:v>
      </x:c>
      <x:c r="E9" s="25" t="str">
        <x:v>가격 미확인</x:v>
      </x:c>
      <x:c r="F9" s="25" t="str">
        <x:v>정성 보도만 있으면 P=1</x:v>
      </x:c>
      <x:c r="G9" s="25" t="str">
        <x:v>후속 가격 데이터 보강 대상</x:v>
      </x:c>
      <x:c r="H9" s="25" t="str">
        <x:v>가상 수익률 금지</x:v>
      </x:c>
      <x:c r="I9" s="21"/>
      <x:c r="J9" s="21"/>
    </x:row>
    <x:row r="10" ht="48" customHeight="1">
      <x:c r="A10" s="25" t="str">
        <x:v>방향</x:v>
      </x:c>
      <x:c r="B10" s="25" t="str">
        <x:v>상승뿐 아니라 하락·급등락 포함</x:v>
      </x:c>
      <x:c r="C10" s="25" t="str">
        <x:v>흥행·불매·괴담·루머 비교</x:v>
      </x:c>
      <x:c r="D10" s="25" t="str">
        <x:v>사후 인과 단정 금지</x:v>
      </x:c>
      <x:c r="E10" s="25" t="str">
        <x:v>활용</x:v>
      </x:c>
      <x:c r="F10" s="25" t="str">
        <x:v>서비스 기준 설계용 탐색 데이터</x:v>
      </x:c>
      <x:c r="G10" s="25" t="str">
        <x:v>매수 추천이 아닌 조사 출발점</x:v>
      </x:c>
      <x:c r="H10" s="25" t="str">
        <x:v>실제 사업 연결 별도 확인</x:v>
      </x:c>
      <x:c r="I10" s="21"/>
      <x:c r="J10" s="21"/>
    </x:row>
    <x:row r="11">
      <x:c r="A11" s="21"/>
      <x:c r="B11" s="21"/>
      <x:c r="C11" s="21"/>
      <x:c r="D11" s="21"/>
      <x:c r="E11" s="21"/>
      <x:c r="F11" s="21"/>
      <x:c r="G11" s="21"/>
      <x:c r="H11" s="21"/>
      <x:c r="I11" s="21"/>
      <x:c r="J11" s="21"/>
    </x:row>
    <x:row r="12" ht="30" customHeight="1">
      <x:c r="A12" s="24" t="str">
        <x:v>포함 범위</x:v>
      </x:c>
      <x:c r="B12" s="24" t="str">
        <x:v>소비·품절</x:v>
      </x:c>
      <x:c r="C12" s="24" t="str">
        <x:v>콘텐츠·팬덤</x:v>
      </x:c>
      <x:c r="D12" s="24" t="str">
        <x:v>불매·논란</x:v>
      </x:c>
      <x:c r="E12" s="24" t="str">
        <x:v>공포·사회심리</x:v>
      </x:c>
      <x:c r="F12" s="24" t="str">
        <x:v>풍문·군중매매</x:v>
      </x:c>
      <x:c r="G12" s="24" t="str">
        <x:v>과학·기술 테마</x:v>
      </x:c>
      <x:c r="H12" s="24" t="str">
        <x:v>정치·정책</x:v>
      </x:c>
      <x:c r="I12" s="24" t="str">
        <x:v>상승·하락</x:v>
      </x:c>
      <x:c r="J12" s="24" t="str">
        <x:v>사실 기반</x:v>
      </x:c>
    </x:row>
    <x:row r="13">
      <x:c r="A13" s="21"/>
      <x:c r="B13" s="21"/>
      <x:c r="C13" s="21"/>
      <x:c r="D13" s="21"/>
      <x:c r="E13" s="21"/>
      <x:c r="F13" s="21"/>
      <x:c r="G13" s="21"/>
      <x:c r="H13" s="21"/>
      <x:c r="I13" s="21"/>
      <x:c r="J13" s="21"/>
    </x:row>
    <x:row r="14" ht="30" customHeight="1">
      <x:c r="A14" s="26" t="str">
        <x:v>빠른 사용법</x:v>
      </x:c>
      <x:c r="B14" s="26" t="str">
        <x:v>① 01에서 사건 필터</x:v>
      </x:c>
      <x:c r="C14" s="26" t="str">
        <x:v>② 이벤트ID 복사</x:v>
      </x:c>
      <x:c r="D14" s="26" t="str">
        <x:v>③ 02에서 같은 ID 검색</x:v>
      </x:c>
      <x:c r="E14" s="26" t="str">
        <x:v>④ 기업 연결 강도 확인</x:v>
      </x:c>
      <x:c r="F14" s="26" t="str">
        <x:v>⑤ 출처ID로 원문 확인</x:v>
      </x:c>
      <x:c r="G14" s="26" t="str"/>
      <x:c r="H14" s="26" t="str"/>
      <x:c r="I14" s="26" t="str"/>
      <x:c r="J14" s="26" t="str"/>
    </x:row>
    <x:row r="15" ht="30" customHeight="1">
      <x:c r="A15" s="26" t="str">
        <x:v>강한 사례</x:v>
      </x:c>
      <x:c r="B15" s="26" t="str">
        <x:v>T=2, P=2 중심</x:v>
      </x:c>
      <x:c r="C15" s="26" t="str">
        <x:v>유행과 가격 반응이 모두 수치로 확인</x:v>
      </x:c>
      <x:c r="D15" s="26" t="str">
        <x:v>기업 연결 L은 별도 판단</x:v>
      </x:c>
      <x:c r="E15" s="26" t="str"/>
      <x:c r="F15" s="26" t="str"/>
      <x:c r="G15" s="26" t="str"/>
      <x:c r="H15" s="26" t="str"/>
      <x:c r="I15" s="26" t="str"/>
      <x:c r="J15" s="26" t="str"/>
    </x:row>
    <x:row r="16" ht="30" customHeight="1">
      <x:c r="A16" s="26" t="str">
        <x:v>경계 사례</x:v>
      </x:c>
      <x:c r="B16" s="26" t="str">
        <x:v>관계가 인맥·동문·원료·업종 전염 수준</x:v>
      </x:c>
      <x:c r="C16" s="26" t="str">
        <x:v>서비스에서는 “실제 수혜 아님” 경고가 필요</x:v>
      </x:c>
      <x:c r="D16" s="26" t="str"/>
      <x:c r="E16" s="26" t="str"/>
      <x:c r="F16" s="26" t="str"/>
      <x:c r="G16" s="26" t="str"/>
      <x:c r="H16" s="26" t="str"/>
      <x:c r="I16" s="26" t="str"/>
      <x:c r="J16" s="26" t="str"/>
    </x:row>
    <x:row r="17" ht="30" customHeight="1">
      <x:c r="A17" s="26" t="str">
        <x:v>업데이트</x:v>
      </x:c>
      <x:c r="B17" s="26" t="str">
        <x:v>2026-08-05 확장본</x:v>
      </x:c>
      <x:c r="C17" s="26" t="str">
        <x:v>기존 57개 고유 사건에서 88개로 확대</x:v>
      </x:c>
      <x:c r="D17" s="26" t="str">
        <x:v>중복 파일 없이 이 통합본만 유지</x:v>
      </x:c>
      <x:c r="E17" s="26" t="str"/>
      <x:c r="F17" s="26" t="str"/>
      <x:c r="G17" s="26" t="str"/>
      <x:c r="H17" s="26" t="str"/>
      <x:c r="I17" s="26" t="str"/>
      <x:c r="J17" s="26" t="str"/>
    </x:row>
  </x:sheetData>
  <x:mergeCells>
    <x:mergeCell ref="A1:J1"/>
    <x:mergeCell ref="A2:J2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1" hidden="0" customWidth="1"/>
    <x:col min="2" max="2" width="8" hidden="0" customWidth="1"/>
    <x:col min="3" max="3" width="15" hidden="0" customWidth="1"/>
    <x:col min="4" max="4" width="17" hidden="0" customWidth="1"/>
    <x:col min="5" max="5" width="27" hidden="0" customWidth="1"/>
    <x:col min="6" max="6" width="43" hidden="0" customWidth="1"/>
    <x:col min="7" max="7" width="43" hidden="0" customWidth="1"/>
    <x:col min="8" max="8" width="14" hidden="0" customWidth="1"/>
    <x:col min="9" max="9" width="11" hidden="0" customWidth="1"/>
    <x:col min="10" max="10" width="31" hidden="0" customWidth="1"/>
    <x:col min="11" max="11" width="16" hidden="0" customWidth="1"/>
    <x:col min="12" max="12" width="18" hidden="0" customWidth="1"/>
  </x:cols>
  <x:sheetData>
    <x:row r="1" ht="34" customHeight="1">
      <x:c r="A1" s="3" t="str">
        <x:v>01 유행이벤트 — 한 사건당 한 행</x:v>
      </x:c>
      <x:c r="B1" s="3" t="str">
        <x:v>01 유행이벤트 — 한 사건당 한 행</x:v>
      </x:c>
      <x:c r="C1" s="3" t="str">
        <x:v>01 유행이벤트 — 한 사건당 한 행</x:v>
      </x:c>
      <x:c r="D1" s="3" t="str">
        <x:v>01 유행이벤트 — 한 사건당 한 행</x:v>
      </x:c>
      <x:c r="E1" s="3" t="str">
        <x:v>01 유행이벤트 — 한 사건당 한 행</x:v>
      </x:c>
      <x:c r="F1" s="3" t="str">
        <x:v>01 유행이벤트 — 한 사건당 한 행</x:v>
      </x:c>
      <x:c r="G1" s="3" t="str">
        <x:v>01 유행이벤트 — 한 사건당 한 행</x:v>
      </x:c>
      <x:c r="H1" s="3" t="str">
        <x:v>01 유행이벤트 — 한 사건당 한 행</x:v>
      </x:c>
      <x:c r="I1" s="3" t="str">
        <x:v>01 유행이벤트 — 한 사건당 한 행</x:v>
      </x:c>
      <x:c r="J1" s="3" t="str">
        <x:v>01 유행이벤트 — 한 사건당 한 행</x:v>
      </x:c>
      <x:c r="K1" s="3" t="str">
        <x:v>01 유행이벤트 — 한 사건당 한 행</x:v>
      </x:c>
      <x:c r="L1" s="3" t="str">
        <x:v>01 유행이벤트 — 한 사건당 한 행</x:v>
      </x:c>
    </x:row>
    <x:row r="2" ht="28" customHeight="1">
      <x:c r="A2" s="6" t="str">
        <x:v>“왜 유행했나”와 시간 흐름을 먼저 읽고, 이벤트ID로 02_종목반응의 여러 종목을 연결하세요.</x:v>
      </x:c>
      <x:c r="B2" s="6" t="str">
        <x:v>“왜 유행했나”와 시간 흐름을 먼저 읽고, 이벤트ID로 02_종목반응의 여러 종목을 연결하세요.</x:v>
      </x:c>
      <x:c r="C2" s="6" t="str">
        <x:v>“왜 유행했나”와 시간 흐름을 먼저 읽고, 이벤트ID로 02_종목반응의 여러 종목을 연결하세요.</x:v>
      </x:c>
      <x:c r="D2" s="6" t="str">
        <x:v>“왜 유행했나”와 시간 흐름을 먼저 읽고, 이벤트ID로 02_종목반응의 여러 종목을 연결하세요.</x:v>
      </x:c>
      <x:c r="E2" s="6" t="str">
        <x:v>“왜 유행했나”와 시간 흐름을 먼저 읽고, 이벤트ID로 02_종목반응의 여러 종목을 연결하세요.</x:v>
      </x:c>
      <x:c r="F2" s="6" t="str">
        <x:v>“왜 유행했나”와 시간 흐름을 먼저 읽고, 이벤트ID로 02_종목반응의 여러 종목을 연결하세요.</x:v>
      </x:c>
      <x:c r="G2" s="6" t="str">
        <x:v>“왜 유행했나”와 시간 흐름을 먼저 읽고, 이벤트ID로 02_종목반응의 여러 종목을 연결하세요.</x:v>
      </x:c>
      <x:c r="H2" s="6" t="str">
        <x:v>“왜 유행했나”와 시간 흐름을 먼저 읽고, 이벤트ID로 02_종목반응의 여러 종목을 연결하세요.</x:v>
      </x:c>
      <x:c r="I2" s="6" t="str">
        <x:v>“왜 유행했나”와 시간 흐름을 먼저 읽고, 이벤트ID로 02_종목반응의 여러 종목을 연결하세요.</x:v>
      </x:c>
      <x:c r="J2" s="6" t="str">
        <x:v>“왜 유행했나”와 시간 흐름을 먼저 읽고, 이벤트ID로 02_종목반응의 여러 종목을 연결하세요.</x:v>
      </x:c>
      <x:c r="K2" s="6" t="str">
        <x:v>“왜 유행했나”와 시간 흐름을 먼저 읽고, 이벤트ID로 02_종목반응의 여러 종목을 연결하세요.</x:v>
      </x:c>
      <x:c r="L2" s="6" t="str">
        <x:v>“왜 유행했나”와 시간 흐름을 먼저 읽고, 이벤트ID로 02_종목반응의 여러 종목을 연결하세요.</x:v>
      </x:c>
    </x:row>
    <x:row r="3">
      <x:c r="A3" t="str">
        <x:v>고유 사건</x:v>
      </x:c>
      <x:c r="B3" t="n">
        <x:v>88</x:v>
      </x:c>
      <x:c r="C3" t="str">
        <x:v>정치·정책</x:v>
      </x:c>
      <x:c r="D3" t="n">
        <x:v>15</x:v>
      </x:c>
      <x:c r="E3" t="str">
        <x:v>비정치 사건</x:v>
      </x:c>
      <x:c r="F3" t="n">
        <x:v>73</x:v>
      </x:c>
      <x:c r="G3" t="str">
        <x:v>신규 확장</x:v>
      </x:c>
      <x:c r="H3" t="n">
        <x:v>31</x:v>
      </x:c>
      <x:c r="I3" t="str">
        <x:v>기간</x:v>
      </x:c>
      <x:c r="J3" t="str">
        <x:v>2009~2026</x:v>
      </x:c>
      <x:c r="K3" t="str"/>
      <x:c r="L3" t="str"/>
    </x:row>
    <x:row r="5" ht="30" customHeight="1">
      <x:c r="A5" s="16" t="str">
        <x:v>이벤트ID</x:v>
      </x:c>
      <x:c r="B5" s="16" t="str">
        <x:v>연도</x:v>
      </x:c>
      <x:c r="C5" s="16" t="str">
        <x:v>생활·산업영역</x:v>
      </x:c>
      <x:c r="D5" s="16" t="str">
        <x:v>유형</x:v>
      </x:c>
      <x:c r="E5" s="16" t="str">
        <x:v>유행·트렌드·풍문</x:v>
      </x:c>
      <x:c r="F5" s="16" t="str">
        <x:v>왜 유행했나</x:v>
      </x:c>
      <x:c r="G5" s="16" t="str">
        <x:v>간단 시간 흐름</x:v>
      </x:c>
      <x:c r="H5" s="16" t="str">
        <x:v>대표 방향</x:v>
      </x:c>
      <x:c r="I5" s="16" t="str">
        <x:v>연결 종목 수</x:v>
      </x:c>
      <x:c r="J5" s="16" t="str">
        <x:v>대표 가격 반응</x:v>
      </x:c>
      <x:c r="K5" s="16" t="str">
        <x:v>검증 메모</x:v>
      </x:c>
      <x:c r="L5" s="16" t="str">
        <x:v>출처ID</x:v>
      </x:c>
    </x:row>
    <x:row r="6" ht="54" customHeight="1">
      <x:c r="A6" s="18" t="str">
        <x:v>EV0001</x:v>
      </x:c>
      <x:c r="B6" s="18" t="str">
        <x:v>2009</x:v>
      </x:c>
      <x:c r="C6" s="18" t="str">
        <x:v>정치·정책·사회</x:v>
      </x:c>
      <x:c r="D6" s="18" t="str">
        <x:v>정치·정책</x:v>
      </x:c>
      <x:c r="E6" s="18" t="str">
        <x:v>4대강 조기 착공</x:v>
      </x:c>
      <x:c r="F6" s="18" t="str">
        <x:v>대규모 국책사업의 조기 착공 발표가 즉각적인 수주 기대를 만들며 건설·자재주를 한 묶음으로 만들었다.</x:v>
      </x:c>
      <x:c r="G6" s="18" t="str">
        <x:v>발언·보도 → 인맥·지역 관련주 찾기 → 온라인 확산 → 급등락 → 무관 공시·선거 종료</x:v>
      </x:c>
      <x:c r="H6" s="28" t="str">
        <x:v>상승</x:v>
      </x:c>
      <x:c r="I6" s="18" t="n">
        <x:f>COUNTIF('02_종목반응'!$B:$B,A6)</x:f>
        <x:v>7</x:v>
      </x:c>
      <x:c r="J6" s="18" t="str">
        <x:v>장중 가격제한폭 수준 상승</x:v>
      </x:c>
      <x:c r="K6" s="18" t="str">
        <x:v>단일 핵심 출처</x:v>
      </x:c>
      <x:c r="L6" s="18" t="str">
        <x:v>S92</x:v>
      </x:c>
    </x:row>
    <x:row r="7" ht="54" customHeight="1">
      <x:c r="A7" s="29" t="str">
        <x:v>EV0002</x:v>
      </x:c>
      <x:c r="B7" s="29" t="str">
        <x:v>2009</x:v>
      </x:c>
      <x:c r="C7" s="29" t="str">
        <x:v>식품·소비</x:v>
      </x:c>
      <x:c r="D7" s="29" t="str">
        <x:v>정치·정책</x:v>
      </x:c>
      <x:c r="E7" s="29" t="str">
        <x:v>녹색성장·4대강</x:v>
      </x:c>
      <x:c r="F7" s="29" t="str">
        <x:v>녹색성장 서사와 4대강 대형 예산이 결합해 건설·환경·자재주 수혜 기대를 증폭시켰다.</x:v>
      </x:c>
      <x:c r="G7" s="29" t="str">
        <x:v>발언·보도 → 인맥·지역 관련주 찾기 → 온라인 확산 → 급등락 → 무관 공시·선거 종료</x:v>
      </x:c>
      <x:c r="H7" s="28" t="str">
        <x:v>상승</x:v>
      </x:c>
      <x:c r="I7" s="29" t="n">
        <x:f>COUNTIF('02_종목반응'!$B:$B,A7)</x:f>
        <x:v>5</x:v>
      </x:c>
      <x:c r="J7" s="29" t="str">
        <x:v>당일 상승</x:v>
      </x:c>
      <x:c r="K7" s="29" t="str">
        <x:v>단일 핵심 출처</x:v>
      </x:c>
      <x:c r="L7" s="29" t="str">
        <x:v>S93</x:v>
      </x:c>
    </x:row>
    <x:row r="8" ht="54" customHeight="1">
      <x:c r="A8" s="18" t="str">
        <x:v>EV0003</x:v>
      </x:c>
      <x:c r="B8" s="18" t="str">
        <x:v>2009</x:v>
      </x:c>
      <x:c r="C8" s="18" t="str">
        <x:v>식품·소비</x:v>
      </x:c>
      <x:c r="D8" s="18" t="str">
        <x:v>소비·품절</x:v>
      </x:c>
      <x:c r="E8" s="18" t="str">
        <x:v>녹색성장·자전거도로</x:v>
      </x:c>
      <x:c r="F8" s="18" t="str">
        <x:v>저탄소 녹색성장 구호와 자전거도로 확대 계획이 친환경 이동수단 기대를 키웠다.</x:v>
      </x:c>
      <x:c r="G8" s="18" t="str">
        <x:v>제품 노출 → 후기·인증 확산 → 품절·검색 급증 → 관련 기업 주가 반응 → 재구매 검증</x:v>
      </x:c>
      <x:c r="H8" s="28" t="str">
        <x:v>상승</x:v>
      </x:c>
      <x:c r="I8" s="18" t="n">
        <x:f>COUNTIF('02_종목반응'!$B:$B,A8)</x:f>
        <x:v>1</x:v>
      </x:c>
      <x:c r="J8" s="18" t="str">
        <x:v>상한가</x:v>
      </x:c>
      <x:c r="K8" s="18" t="str">
        <x:v>단일 핵심 출처</x:v>
      </x:c>
      <x:c r="L8" s="18" t="str">
        <x:v>S93</x:v>
      </x:c>
    </x:row>
    <x:row r="9" ht="54" customHeight="1">
      <x:c r="A9" s="29" t="str">
        <x:v>EV0004</x:v>
      </x:c>
      <x:c r="B9" s="29" t="str">
        <x:v>2009</x:v>
      </x:c>
      <x:c r="C9" s="29" t="str">
        <x:v>건강·재난</x:v>
      </x:c>
      <x:c r="D9" s="29" t="str">
        <x:v>공포·사회심리</x:v>
      </x:c>
      <x:c r="E9" s="29" t="str">
        <x:v>신종플루 확산</x:v>
      </x:c>
      <x:c r="F9" s="29" t="str">
        <x:v>빠른 감염 확산과 사망 보도로 불안이 커지고 백신·마스크·방역 수요 기대가 반복 보도됐다.</x:v>
      </x:c>
      <x:c r="G9" s="29" t="str">
        <x:v>사건 발생 → 공포성 게시물 확산 → 사재기·행동 변화 → 관련주 급등락 → 사실 검증</x:v>
      </x:c>
      <x:c r="H9" s="28" t="str">
        <x:v>상승</x:v>
      </x:c>
      <x:c r="I9" s="29" t="n">
        <x:f>COUNTIF('02_종목반응'!$B:$B,A9)</x:f>
        <x:v>11</x:v>
      </x:c>
      <x:c r="J9" s="29" t="str">
        <x:v>사망자 발생일 상한가</x:v>
      </x:c>
      <x:c r="K9" s="29" t="str">
        <x:v>복수 출처 교차확인</x:v>
      </x:c>
      <x:c r="L9" s="29" t="str">
        <x:v>S101;S100</x:v>
      </x:c>
    </x:row>
    <x:row r="10" ht="54" customHeight="1">
      <x:c r="A10" s="18" t="str">
        <x:v>EV0005</x:v>
      </x:c>
      <x:c r="B10" s="18" t="str">
        <x:v>2009</x:v>
      </x:c>
      <x:c r="C10" s="18" t="str">
        <x:v>식품·소비</x:v>
      </x:c>
      <x:c r="D10" s="18" t="str">
        <x:v>소비·품절</x:v>
      </x:c>
      <x:c r="E10" s="18" t="str">
        <x:v>자전거 산업 활성화</x:v>
      </x:c>
      <x:c r="F10" s="18" t="str">
        <x:v>친환경 정책과 건강·레저 관심이 결합하고 정부 대책이 발표되면서 자전거가 상징적 테마가 됐다.</x:v>
      </x:c>
      <x:c r="G10" s="18" t="str">
        <x:v>제품 노출 → 후기·인증 확산 → 품절·검색 급증 → 관련 기업 주가 반응 → 재구매 검증</x:v>
      </x:c>
      <x:c r="H10" s="28" t="str">
        <x:v>상승</x:v>
      </x:c>
      <x:c r="I10" s="18" t="n">
        <x:f>COUNTIF('02_종목반응'!$B:$B,A10)</x:f>
        <x:v>3</x:v>
      </x:c>
      <x:c r="J10" s="18" t="str">
        <x:v>상한가</x:v>
      </x:c>
      <x:c r="K10" s="18" t="str">
        <x:v>복수 출처 교차확인</x:v>
      </x:c>
      <x:c r="L10" s="18" t="str">
        <x:v>S94;S95</x:v>
      </x:c>
    </x:row>
    <x:row r="11" ht="54" customHeight="1">
      <x:c r="A11" s="29" t="str">
        <x:v>EV0006</x:v>
      </x:c>
      <x:c r="B11" s="29" t="str">
        <x:v>2010</x:v>
      </x:c>
      <x:c r="C11" s="29" t="str">
        <x:v>스포츠·행사</x:v>
      </x:c>
      <x:c r="D11" s="29" t="str">
        <x:v>콘텐츠·팬덤</x:v>
      </x:c>
      <x:c r="E11" s="29" t="str">
        <x:v>남아공월드컵 치킨 수요 기대</x:v>
      </x:c>
      <x:c r="F11" s="29" t="str">
        <x:v>국가대표 경기의 집단 응원과 치맥 문화가 주문 급증 기대와 결합했다.</x:v>
      </x:c>
      <x:c r="G11" s="29" t="str">
        <x:v>공개·방영 → 조회수·팬덤 확산 → 관련 기업 탐색 → 주가 반응 → 흥행 지속성 검증</x:v>
      </x:c>
      <x:c r="H11" s="28" t="str">
        <x:v>상승→소멸</x:v>
      </x:c>
      <x:c r="I11" s="29" t="n">
        <x:f>COUNTIF('02_종목반응'!$B:$B,A11)</x:f>
        <x:v>2</x:v>
      </x:c>
      <x:c r="J11" s="29" t="str">
        <x:v>급락장 중 약 8% 상승 후 16강 진출일 하락</x:v>
      </x:c>
      <x:c r="K11" s="29" t="str">
        <x:v>단일 핵심 출처</x:v>
      </x:c>
      <x:c r="L11" s="29" t="str">
        <x:v>S103</x:v>
      </x:c>
    </x:row>
    <x:row r="12" ht="54" customHeight="1">
      <x:c r="A12" s="18" t="str">
        <x:v>EV0007</x:v>
      </x:c>
      <x:c r="B12" s="18" t="str">
        <x:v>2010</x:v>
      </x:c>
      <x:c r="C12" s="18" t="str">
        <x:v>식품·소비</x:v>
      </x:c>
      <x:c r="D12" s="18" t="str">
        <x:v>소비·품절</x:v>
      </x:c>
      <x:c r="E12" s="18" t="str">
        <x:v>막걸리 웰빙·복고 열풍</x:v>
      </x:c>
      <x:c r="F12" s="18" t="str">
        <x:v>웰빙·복고 소비와 젊어진 제품 이미지, 전통주 장려 분위기가 세대와 국경을 넘어 관심을 넓혔다.</x:v>
      </x:c>
      <x:c r="G12" s="18" t="str">
        <x:v>제품 노출 → 후기·인증 확산 → 품절·검색 급증 → 관련 기업 주가 반응 → 재구매 검증</x:v>
      </x:c>
      <x:c r="H12" s="28" t="str">
        <x:v>상승</x:v>
      </x:c>
      <x:c r="I12" s="18" t="n">
        <x:f>COUNTIF('02_종목반응'!$B:$B,A12)</x:f>
        <x:v>1</x:v>
      </x:c>
      <x:c r="J12" s="18" t="str">
        <x:v>연일 신고가 행진</x:v>
      </x:c>
      <x:c r="K12" s="18" t="str">
        <x:v>단일 핵심 출처</x:v>
      </x:c>
      <x:c r="L12" s="18" t="str">
        <x:v>S102</x:v>
      </x:c>
    </x:row>
    <x:row r="13" ht="54" customHeight="1">
      <x:c r="A13" s="29" t="str">
        <x:v>EV0008</x:v>
      </x:c>
      <x:c r="B13" s="29" t="str">
        <x:v>2010</x:v>
      </x:c>
      <x:c r="C13" s="29" t="str">
        <x:v>콘텐츠·팬덤</x:v>
      </x:c>
      <x:c r="D13" s="29" t="str">
        <x:v>콘텐츠·팬덤</x:v>
      </x:c>
      <x:c r="E13" s="29" t="str">
        <x:v>아바타·3D 열풍</x:v>
      </x:c>
      <x:c r="F13" s="29" t="str">
        <x:v>영화 ‘아바타’의 압도적 영상 경험이 3D 영화·TV가 차세대 표준이 될 것이라는 기대를 만들었다.</x:v>
      </x:c>
      <x:c r="G13" s="29" t="str">
        <x:v>공개·방영 → 조회수·팬덤 확산 → 관련 기업 탐색 → 주가 반응 → 흥행 지속성 검증</x:v>
      </x:c>
      <x:c r="H13" s="30" t="str">
        <x:v>미확인</x:v>
      </x:c>
      <x:c r="I13" s="29" t="n">
        <x:f>COUNTIF('02_종목반응'!$B:$B,A13)</x:f>
        <x:v>3</x:v>
      </x:c>
      <x:c r="J13" s="29" t="str">
        <x:v>기사상 급등 후 하락 언급; 정확 수치 미제공</x:v>
      </x:c>
      <x:c r="K13" s="29" t="str">
        <x:v>단일 핵심 출처</x:v>
      </x:c>
      <x:c r="L13" s="29" t="str">
        <x:v>S96</x:v>
      </x:c>
    </x:row>
    <x:row r="14" ht="54" customHeight="1">
      <x:c r="A14" s="18" t="str">
        <x:v>EV0009</x:v>
      </x:c>
      <x:c r="B14" s="18" t="str">
        <x:v>2010</x:v>
      </x:c>
      <x:c r="C14" s="18" t="str">
        <x:v>기술·플랫폼</x:v>
      </x:c>
      <x:c r="D14" s="18" t="str">
        <x:v>과학·기술 테마</x:v>
      </x:c>
      <x:c r="E14" s="18" t="str">
        <x:v>아이폰·스마트폰 확산</x:v>
      </x:c>
      <x:c r="F14" s="18" t="str">
        <x:v>국내 아이폰 출시가 앱 생태계라는 새 경험을 보여주며 교체 수요와 부품주 기대를 동시에 키웠다.</x:v>
      </x:c>
      <x:c r="G14" s="18" t="str">
        <x:v>발화 → 포털·SNS 확산 → 관련주 묶기 → 주가 반응 → 기사·공시로 검증</x:v>
      </x:c>
      <x:c r="H14" s="30" t="str">
        <x:v>미확인</x:v>
      </x:c>
      <x:c r="I14" s="18" t="n">
        <x:f>COUNTIF('02_종목반응'!$B:$B,A14)</x:f>
        <x:v>6</x:v>
      </x:c>
      <x:c r="J14" s="18" t="str">
        <x:v>수혜주로 주목; 원문 정확 수치 미제공</x:v>
      </x:c>
      <x:c r="K14" s="18" t="str">
        <x:v>복수 출처 교차확인</x:v>
      </x:c>
      <x:c r="L14" s="18" t="str">
        <x:v>S80;S96</x:v>
      </x:c>
    </x:row>
    <x:row r="15" ht="54" customHeight="1">
      <x:c r="A15" s="29" t="str">
        <x:v>EV0010</x:v>
      </x:c>
      <x:c r="B15" s="29" t="str">
        <x:v>2011</x:v>
      </x:c>
      <x:c r="C15" s="29" t="str">
        <x:v>생활·건강</x:v>
      </x:c>
      <x:c r="D15" s="29" t="str">
        <x:v>방사능 공포·괴담</x:v>
      </x:c>
      <x:c r="E15" s="29" t="str">
        <x:v>후쿠시마 방사능 공포</x:v>
      </x:c>
      <x:c r="F15" s="29" t="str">
        <x:v>일본 원전 사고 뒤 ‘방사능비·요오드·마스크’ 메시지가 메신저와 온라인에서 확산되며 과도한 예방 소비가 발생했다.</x:v>
      </x:c>
      <x:c r="G15" s="29" t="str">
        <x:v>원전 사고 → 방사능비 괴담 → 국내 미량 검출 → 마스크·요오드주 급등 → 안전성 설명</x:v>
      </x:c>
      <x:c r="H15" s="28" t="str">
        <x:v>상승</x:v>
      </x:c>
      <x:c r="I15" s="29" t="n">
        <x:f>COUNTIF('02_종목반응'!$B:$B,A15)</x:f>
        <x:v>4</x:v>
      </x:c>
      <x:c r="J15" s="29" t="str">
        <x:v>웰크론 5%대·요오드 관련주 4~7%대 상승</x:v>
      </x:c>
      <x:c r="K15" s="29" t="str">
        <x:v>단일 핵심 출처</x:v>
      </x:c>
      <x:c r="L15" s="29" t="str">
        <x:v>S156</x:v>
      </x:c>
    </x:row>
    <x:row r="16" ht="54" customHeight="1">
      <x:c r="A16" s="18" t="str">
        <x:v>EV0011</x:v>
      </x:c>
      <x:c r="B16" s="18" t="str">
        <x:v>2012</x:v>
      </x:c>
      <x:c r="C16" s="18" t="str">
        <x:v>콘텐츠·팬덤</x:v>
      </x:c>
      <x:c r="D16" s="18" t="str">
        <x:v>콘텐츠·팬덤</x:v>
      </x:c>
      <x:c r="E16" s="18" t="str">
        <x:v>싸이 강남스타일</x:v>
      </x:c>
      <x:c r="F16" s="18" t="str">
        <x:v>따라 하기 쉬운 말춤과 유머러스한 뮤직비디오가 유튜브 추천·패러디를 타고 세계적으로 확산됐다.</x:v>
      </x:c>
      <x:c r="G16" s="18" t="str">
        <x:v>공개·방영 → 조회수·팬덤 확산 → 관련 기업 탐색 → 주가 반응 → 흥행 지속성 검증</x:v>
      </x:c>
      <x:c r="H16" s="28" t="str">
        <x:v>상승</x:v>
      </x:c>
      <x:c r="I16" s="18" t="n">
        <x:f>COUNTIF('02_종목반응'!$B:$B,A16)</x:f>
        <x:v>1</x:v>
      </x:c>
      <x:c r="J16" s="18" t="str">
        <x:v>9월 초 대비 약 50%, 이후 4일 연속 상한가</x:v>
      </x:c>
      <x:c r="K16" s="18" t="str">
        <x:v>복수 출처 교차확인</x:v>
      </x:c>
      <x:c r="L16" s="18" t="str">
        <x:v>S31;S32</x:v>
      </x:c>
    </x:row>
    <x:row r="17" ht="54" customHeight="1">
      <x:c r="A17" s="29" t="str">
        <x:v>EV0012</x:v>
      </x:c>
      <x:c r="B17" s="29" t="str">
        <x:v>2012</x:v>
      </x:c>
      <x:c r="C17" s="29" t="str">
        <x:v>정치·정책·사회</x:v>
      </x:c>
      <x:c r="D17" s="29" t="str">
        <x:v>정치·정책</x:v>
      </x:c>
      <x:c r="E17" s="29" t="str">
        <x:v>안철수</x:v>
      </x:c>
      <x:c r="F17" s="29" t="str">
        <x:v>선거 가능성과 지지율 변화가 커뮤니티의 ‘수혜주 찾기’를 자극했고, 학연·지연·인맥 같은 단순 연결이 빠르게 복제됐다.</x:v>
      </x:c>
      <x:c r="G17" s="29" t="str">
        <x:v>발언·보도 → 인맥·지역 관련주 찾기 → 온라인 확산 → 급등락 → 무관 공시·선거 종료</x:v>
      </x:c>
      <x:c r="H17" s="30" t="str">
        <x:v>미확인</x:v>
      </x:c>
      <x:c r="I17" s="29" t="n">
        <x:f>COUNTIF('02_종목반응'!$B:$B,A17)</x:f>
        <x:v>3</x:v>
      </x:c>
      <x:c r="J17" s="29" t="str">
        <x:v>정계 뉴스마다 급등락; 사퇴 뒤 월간 급락군</x:v>
      </x:c>
      <x:c r="K17" s="29" t="str">
        <x:v>복수 출처 교차확인</x:v>
      </x:c>
      <x:c r="L17" s="29" t="str">
        <x:v>S13;S14</x:v>
      </x:c>
    </x:row>
    <x:row r="18" ht="54" customHeight="1">
      <x:c r="A18" s="18" t="str">
        <x:v>EV0013</x:v>
      </x:c>
      <x:c r="B18" s="18" t="str">
        <x:v>2013</x:v>
      </x:c>
      <x:c r="C18" s="18" t="str">
        <x:v>소비자행동·논란</x:v>
      </x:c>
      <x:c r="D18" s="18" t="str">
        <x:v>불매·논란</x:v>
      </x:c>
      <x:c r="E18" s="18" t="str">
        <x:v>남양유업 갑질 녹취·불매운동</x:v>
      </x:c>
      <x:c r="F18" s="18" t="str">
        <x:v>대리점주 폭언 녹취가 온라인에서 공유되며 ‘갑질’의 상징이 됐고 소비자 불매로 번졌다.</x:v>
      </x:c>
      <x:c r="G18" s="18" t="str">
        <x:v>발화 → 포털·SNS 확산 → 관련주 묶기 → 주가 반응 → 기사·공시로 검증</x:v>
      </x:c>
      <x:c r="H18" s="31" t="str">
        <x:v>하락</x:v>
      </x:c>
      <x:c r="I18" s="18" t="n">
        <x:f>COUNTIF('02_종목반응'!$B:$B,A18)</x:f>
        <x:v>1</x:v>
      </x:c>
      <x:c r="J18" s="18" t="str">
        <x:v>논란 후 1주일 15% 하락</x:v>
      </x:c>
      <x:c r="K18" s="18" t="str">
        <x:v>단일 핵심 출처</x:v>
      </x:c>
      <x:c r="L18" s="18" t="str">
        <x:v>S104</x:v>
      </x:c>
    </x:row>
    <x:row r="19" ht="54" customHeight="1">
      <x:c r="A19" s="29" t="str">
        <x:v>EV0014</x:v>
      </x:c>
      <x:c r="B19" s="29" t="str">
        <x:v>2014</x:v>
      </x:c>
      <x:c r="C19" s="29" t="str">
        <x:v>식품·소비</x:v>
      </x:c>
      <x:c r="D19" s="29" t="str">
        <x:v>소비·품절</x:v>
      </x:c>
      <x:c r="E19" s="29" t="str">
        <x:v>불닭볶음면 챌린지</x:v>
      </x:c>
      <x:c r="F19" s="29" t="str">
        <x:v>극단적인 매운맛 도전이 짧은 영상과 리액션 콘텐츠에 적합해 글로벌 챌린지로 반복됐다.</x:v>
      </x:c>
      <x:c r="G19" s="29" t="str">
        <x:v>제품 노출 → 후기·인증 확산 → 품절·검색 급증 → 관련 기업 주가 반응 → 재구매 검증</x:v>
      </x:c>
      <x:c r="H19" s="28" t="str">
        <x:v>상승</x:v>
      </x:c>
      <x:c r="I19" s="29" t="n">
        <x:f>COUNTIF('02_종목반응'!$B:$B,A19)</x:f>
        <x:v>1</x:v>
      </x:c>
      <x:c r="J19" s="29" t="str">
        <x:v>2024년 주가 254% 상승</x:v>
      </x:c>
      <x:c r="K19" s="29" t="str">
        <x:v>단일 핵심 출처</x:v>
      </x:c>
      <x:c r="L19" s="29" t="str">
        <x:v>S53</x:v>
      </x:c>
    </x:row>
    <x:row r="20" ht="54" customHeight="1">
      <x:c r="A20" s="18" t="str">
        <x:v>EV0015</x:v>
      </x:c>
      <x:c r="B20" s="18" t="str">
        <x:v>2014</x:v>
      </x:c>
      <x:c r="C20" s="18" t="str">
        <x:v>생활·건강</x:v>
      </x:c>
      <x:c r="D20" s="18" t="str">
        <x:v>감염병 공포·백신기대</x:v>
      </x:c>
      <x:c r="E20" s="18" t="str">
        <x:v>에볼라 공포·백신 기대</x:v>
      </x:c>
      <x:c r="F20" s="18" t="str">
        <x:v>서아프리카 확산 영상과 높은 치명률 보도가 전 세계 공포를 키웠고 국내에서도 백신·보호복 관련주 찾기가 확산됐다.</x:v>
      </x:c>
      <x:c r="G20" s="18" t="str">
        <x:v>해외 확산 → 공포 뉴스 → 관련주 탐색 → 백신 생산 계약 → 진원생명과학 급등</x:v>
      </x:c>
      <x:c r="H20" s="28" t="str">
        <x:v>상승</x:v>
      </x:c>
      <x:c r="I20" s="18" t="n">
        <x:f>COUNTIF('02_종목반응'!$B:$B,A20)</x:f>
        <x:v>1</x:v>
      </x:c>
      <x:c r="J20" s="18" t="str">
        <x:v>진원생명과학 이틀째 급등·당일 11.53%</x:v>
      </x:c>
      <x:c r="K20" s="18" t="str">
        <x:v>단일 핵심 출처</x:v>
      </x:c>
      <x:c r="L20" s="18" t="str">
        <x:v>S157</x:v>
      </x:c>
    </x:row>
    <x:row r="21" ht="54" customHeight="1">
      <x:c r="A21" s="29" t="str">
        <x:v>EV0016</x:v>
      </x:c>
      <x:c r="B21" s="29" t="str">
        <x:v>2014</x:v>
      </x:c>
      <x:c r="C21" s="29" t="str">
        <x:v>식품·소비</x:v>
      </x:c>
      <x:c r="D21" s="29" t="str">
        <x:v>소비·품절</x:v>
      </x:c>
      <x:c r="E21" s="29" t="str">
        <x:v>허니버터칩 품절</x:v>
      </x:c>
      <x:c r="F21" s="29" t="str">
        <x:v>‘단짠’이라는 새로운 맛, 초기 공급 부족, SNS 품절 인증과 웃돈 거래가 희소성 경쟁을 키웠다.</x:v>
      </x:c>
      <x:c r="G21" s="29" t="str">
        <x:v>제품 노출 → 후기·인증 확산 → 품절·검색 급증 → 관련 기업 주가 반응 → 재구매 검증</x:v>
      </x:c>
      <x:c r="H21" s="28" t="str">
        <x:v>상승</x:v>
      </x:c>
      <x:c r="I21" s="29" t="n">
        <x:f>COUNTIF('02_종목반응'!$B:$B,A21)</x:f>
        <x:v>1</x:v>
      </x:c>
      <x:c r="J21" s="29" t="str">
        <x:v>2014-11-21 전일 대비 9.7%, 전년 동기 대비 26.6% 상승</x:v>
      </x:c>
      <x:c r="K21" s="29" t="str">
        <x:v>단일 핵심 출처</x:v>
      </x:c>
      <x:c r="L21" s="29" t="str">
        <x:v>S62</x:v>
      </x:c>
    </x:row>
    <x:row r="22" ht="54" customHeight="1">
      <x:c r="A22" s="18" t="str">
        <x:v>EV0017</x:v>
      </x:c>
      <x:c r="B22" s="18" t="str">
        <x:v>2015</x:v>
      </x:c>
      <x:c r="C22" s="18" t="str">
        <x:v>소비자행동·논란</x:v>
      </x:c>
      <x:c r="D22" s="18" t="str">
        <x:v>불매·논란</x:v>
      </x:c>
      <x:c r="E22" s="18" t="str">
        <x:v>가짜 백수오 파동</x:v>
      </x:c>
      <x:c r="F22" s="18" t="str">
        <x:v>건강식품 신뢰를 뒤흔든 원료 진위 논란이 소비자 불안과 분노를 동시에 키웠다.</x:v>
      </x:c>
      <x:c r="G22" s="18" t="str">
        <x:v>발화 → 포털·SNS 확산 → 관련주 묶기 → 주가 반응 → 기사·공시로 검증</x:v>
      </x:c>
      <x:c r="H22" s="31" t="str">
        <x:v>하락</x:v>
      </x:c>
      <x:c r="I22" s="18" t="n">
        <x:f>COUNTIF('02_종목반응'!$B:$B,A22)</x:f>
        <x:v>1</x:v>
      </x:c>
      <x:c r="J22" s="18" t="str">
        <x:v>발표 후 연속 급락</x:v>
      </x:c>
      <x:c r="K22" s="18" t="str">
        <x:v>단일 핵심 출처</x:v>
      </x:c>
      <x:c r="L22" s="18" t="str">
        <x:v>S105</x:v>
      </x:c>
    </x:row>
    <x:row r="23" ht="54" customHeight="1">
      <x:c r="A23" s="29" t="str">
        <x:v>EV0018</x:v>
      </x:c>
      <x:c r="B23" s="29" t="str">
        <x:v>2015</x:v>
      </x:c>
      <x:c r="C23" s="29" t="str">
        <x:v>생활·건강</x:v>
      </x:c>
      <x:c r="D23" s="29" t="str">
        <x:v>감염병 공포·사재기</x:v>
      </x:c>
      <x:c r="E23" s="29" t="str">
        <x:v>메르스 공포·마스크 사재기</x:v>
      </x:c>
      <x:c r="F23" s="29" t="str">
        <x:v>확진자 동선과 병원 명단이 메신저·SNS에서 급속히 공유되고 마스크 품절·여행 취소가 일상 행동으로 번졌다.</x:v>
      </x:c>
      <x:c r="G23" s="29" t="str">
        <x:v>첫 확진 → 동선 루머·공포 → 마스크 품절 → 방역주 급등·여행주 급락 → 종식</x:v>
      </x:c>
      <x:c r="H23" s="30" t="str">
        <x:v>혼합·급등락</x:v>
      </x:c>
      <x:c r="I23" s="29" t="n">
        <x:f>COUNTIF('02_종목반응'!$B:$B,A23)</x:f>
        <x:v>7</x:v>
      </x:c>
      <x:c r="J23" s="29" t="str">
        <x:v>케이엠 48.53%·오공 43.65% 상승, 하나투어 15.27% 하락</x:v>
      </x:c>
      <x:c r="K23" s="29" t="str">
        <x:v>복수 출처 교차확인</x:v>
      </x:c>
      <x:c r="L23" s="29" t="str">
        <x:v>S146;S147</x:v>
      </x:c>
    </x:row>
    <x:row r="24" ht="54" customHeight="1">
      <x:c r="A24" s="18" t="str">
        <x:v>EV0019</x:v>
      </x:c>
      <x:c r="B24" s="18" t="str">
        <x:v>2016</x:v>
      </x:c>
      <x:c r="C24" s="18" t="str">
        <x:v>정치·정책·사회</x:v>
      </x:c>
      <x:c r="D24" s="18" t="str">
        <x:v>정치·정책</x:v>
      </x:c>
      <x:c r="E24" s="18" t="str">
        <x:v>문재인</x:v>
      </x:c>
      <x:c r="F24" s="18" t="str">
        <x:v>선거 가능성과 지지율 변화가 커뮤니티의 ‘수혜주 찾기’를 자극했고, 학연·지연·인맥 같은 단순 연결이 빠르게 복제됐다.</x:v>
      </x:c>
      <x:c r="G24" s="18" t="str">
        <x:v>발언·보도 → 인맥·지역 관련주 찾기 → 온라인 확산 → 급등락 → 무관 공시·선거 종료</x:v>
      </x:c>
      <x:c r="H24" s="28" t="str">
        <x:v>상승</x:v>
      </x:c>
      <x:c r="I24" s="18" t="n">
        <x:f>COUNTIF('02_종목반응'!$B:$B,A24)</x:f>
        <x:v>4</x:v>
      </x:c>
      <x:c r="J24" s="18" t="str">
        <x:v>2016년 연초 대비 202%</x:v>
      </x:c>
      <x:c r="K24" s="18" t="str">
        <x:v>복수 출처 교차확인</x:v>
      </x:c>
      <x:c r="L24" s="18" t="str">
        <x:v>S10;S11;S12</x:v>
      </x:c>
    </x:row>
    <x:row r="25" ht="54" customHeight="1">
      <x:c r="A25" s="29" t="str">
        <x:v>EV0020</x:v>
      </x:c>
      <x:c r="B25" s="29" t="str">
        <x:v>2016</x:v>
      </x:c>
      <x:c r="C25" s="29" t="str">
        <x:v>정치·정책·사회</x:v>
      </x:c>
      <x:c r="D25" s="29" t="str">
        <x:v>정치·정책</x:v>
      </x:c>
      <x:c r="E25" s="29" t="str">
        <x:v>반기문</x:v>
      </x:c>
      <x:c r="F25" s="29" t="str">
        <x:v>사진·친분·임원 인맥 같은 비사업적 연결이 선거 기대와 결합해 온라인에서 ‘수혜주’ 서사로 복제됐다.</x:v>
      </x:c>
      <x:c r="G25" s="29" t="str">
        <x:v>발언·보도 → 인맥·지역 관련주 찾기 → 온라인 확산 → 급등락 → 무관 공시·선거 종료</x:v>
      </x:c>
      <x:c r="H25" s="30" t="str">
        <x:v>혼합·급등락</x:v>
      </x:c>
      <x:c r="I25" s="29" t="n">
        <x:f>COUNTIF('02_종목반응'!$B:$B,A25)</x:f>
        <x:v>3</x:v>
      </x:c>
      <x:c r="J25" s="29" t="str">
        <x:v>총선 후 한 달 108.6%</x:v>
      </x:c>
      <x:c r="K25" s="29" t="str">
        <x:v>복수 출처 교차확인</x:v>
      </x:c>
      <x:c r="L25" s="29" t="str">
        <x:v>S11;S10</x:v>
      </x:c>
    </x:row>
    <x:row r="26" ht="54" customHeight="1">
      <x:c r="A26" s="18" t="str">
        <x:v>EV0021</x:v>
      </x:c>
      <x:c r="B26" s="18" t="str">
        <x:v>2016</x:v>
      </x:c>
      <x:c r="C26" s="18" t="str">
        <x:v>시장현상</x:v>
      </x:c>
      <x:c r="D26" s="18" t="str">
        <x:v>품절주·온라인 군중</x:v>
      </x:c>
      <x:c r="E26" s="18" t="str">
        <x:v>코데즈컴바인 품절주 광풍</x:v>
      </x:c>
      <x:c r="F26" s="18" t="str">
        <x:v>유통주식이 0.7%에 불과한 종목의 이유 없는 급등이 포털 실시간 뉴스와 커뮤니티 호기심을 자극해 추종매매가 몰렸다.</x:v>
      </x:c>
      <x:c r="G26" s="18" t="str">
        <x:v>저유통 구조 → 9일 급등 → 코스닥 시총 2위 → 거래정지·조사 → 급락·해프닝 결론</x:v>
      </x:c>
      <x:c r="H26" s="30" t="str">
        <x:v>급등→급락</x:v>
      </x:c>
      <x:c r="I26" s="18" t="n">
        <x:f>COUNTIF('02_종목반응'!$B:$B,A26)</x:f>
        <x:v>1</x:v>
      </x:c>
      <x:c r="J26" s="18" t="str">
        <x:v>2만5천원대에서 15만1천원까지 약 6배 뒤 급락</x:v>
      </x:c>
      <x:c r="K26" s="18" t="str">
        <x:v>복수 출처 교차확인</x:v>
      </x:c>
      <x:c r="L26" s="18" t="str">
        <x:v>S162;S163</x:v>
      </x:c>
    </x:row>
    <x:row r="27" ht="54" customHeight="1">
      <x:c r="A27" s="29" t="str">
        <x:v>EV0022</x:v>
      </x:c>
      <x:c r="B27" s="29" t="str">
        <x:v>2016</x:v>
      </x:c>
      <x:c r="C27" s="29" t="str">
        <x:v>드라마·한류</x:v>
      </x:c>
      <x:c r="D27" s="29" t="str">
        <x:v>흥행·SNS 입소문</x:v>
      </x:c>
      <x:c r="E27" s="29" t="str">
        <x:v>태양의 후예 신드롬</x:v>
      </x:c>
      <x:c r="F27" s="29" t="str">
        <x:v>한중 동시방영과 송중기·송혜교 팬덤, 유행어·장면 공유가 SNS에서 폭발하며 시청률과 해외 판권 기대가 동반 확산됐다.</x:v>
      </x:c>
      <x:c r="G27" s="29" t="str">
        <x:v>첫 방송 → 명대사·장면 확산 → 중국 조회수 급증 → 일본 수출 → NEW 급등</x:v>
      </x:c>
      <x:c r="H27" s="28" t="str">
        <x:v>상승</x:v>
      </x:c>
      <x:c r="I27" s="29" t="n">
        <x:f>COUNTIF('02_종목반응'!$B:$B,A27)</x:f>
        <x:v>1</x:v>
      </x:c>
      <x:c r="J27" s="29" t="str">
        <x:v>첫 방송 뒤 약 3주간 NEW 48.34% 상승</x:v>
      </x:c>
      <x:c r="K27" s="29" t="str">
        <x:v>단일 핵심 출처</x:v>
      </x:c>
      <x:c r="L27" s="29" t="str">
        <x:v>S145</x:v>
      </x:c>
    </x:row>
    <x:row r="28" ht="54" customHeight="1">
      <x:c r="A28" s="18" t="str">
        <x:v>EV0023</x:v>
      </x:c>
      <x:c r="B28" s="18" t="str">
        <x:v>2016</x:v>
      </x:c>
      <x:c r="C28" s="18" t="str">
        <x:v>식품·소비</x:v>
      </x:c>
      <x:c r="D28" s="18" t="str">
        <x:v>소비·품절</x:v>
      </x:c>
      <x:c r="E28" s="18" t="str">
        <x:v>허니버터칩 후광</x:v>
      </x:c>
      <x:c r="F28" s="18" t="str">
        <x:v>허니버터칩 품절 열풍이 같은 맛·원료를 연상시키는 제품과 기업으로 관심을 전이시켰다.</x:v>
      </x:c>
      <x:c r="G28" s="18" t="str">
        <x:v>제품 노출 → 후기·인증 확산 → 품절·검색 급증 → 관련 기업 주가 반응 → 재구매 검증</x:v>
      </x:c>
      <x:c r="H28" s="28" t="str">
        <x:v>상승</x:v>
      </x:c>
      <x:c r="I28" s="18" t="n">
        <x:f>COUNTIF('02_종목반응'!$B:$B,A28)</x:f>
        <x:v>1</x:v>
      </x:c>
      <x:c r="J28" s="18" t="str">
        <x:v>상장 7일 만에 공모가의 4.5배</x:v>
      </x:c>
      <x:c r="K28" s="18" t="str">
        <x:v>단일 핵심 출처</x:v>
      </x:c>
      <x:c r="L28" s="18" t="str">
        <x:v>S63</x:v>
      </x:c>
    </x:row>
    <x:row r="29" ht="54" customHeight="1">
      <x:c r="A29" s="29" t="str">
        <x:v>EV0024</x:v>
      </x:c>
      <x:c r="B29" s="29" t="str">
        <x:v>2018</x:v>
      </x:c>
      <x:c r="C29" s="29" t="str">
        <x:v>정치·정책·사회</x:v>
      </x:c>
      <x:c r="D29" s="29" t="str">
        <x:v>정치·정책</x:v>
      </x:c>
      <x:c r="E29" s="29" t="str">
        <x:v>정상회담</x:v>
      </x:c>
      <x:c r="F29" s="29" t="str">
        <x:v>남북관계 개선이라는 상징성이 관광·철도·개성공단 재개 기대와 결합해 관련주 관심을 폭발시켰다.</x:v>
      </x:c>
      <x:c r="G29" s="29" t="str">
        <x:v>발언·보도 → 인맥·지역 관련주 찾기 → 온라인 확산 → 급등락 → 무관 공시·선거 종료</x:v>
      </x:c>
      <x:c r="H29" s="30" t="str">
        <x:v>혼합·급등락</x:v>
      </x:c>
      <x:c r="I29" s="29" t="n">
        <x:f>COUNTIF('02_종목반응'!$B:$B,A29)</x:f>
        <x:v>5</x:v>
      </x:c>
      <x:c r="J29" s="29" t="str">
        <x:v>당일 25.95%</x:v>
      </x:c>
      <x:c r="K29" s="29" t="str">
        <x:v>복수 출처 교차확인</x:v>
      </x:c>
      <x:c r="L29" s="29" t="str">
        <x:v>S23;S24</x:v>
      </x:c>
    </x:row>
    <x:row r="30" ht="54" customHeight="1">
      <x:c r="A30" s="18" t="str">
        <x:v>EV0025</x:v>
      </x:c>
      <x:c r="B30" s="18" t="str">
        <x:v>2019</x:v>
      </x:c>
      <x:c r="C30" s="18" t="str">
        <x:v>영화·콘텐츠</x:v>
      </x:c>
      <x:c r="D30" s="18" t="str">
        <x:v>흥행·입소문</x:v>
      </x:c>
      <x:c r="E30" s="18" t="str">
        <x:v>극한직업 천만 흥행</x:v>
      </x:c>
      <x:c r="F30" s="18" t="str">
        <x:v>“이것은 갈비인가 통닭인가” 같은 대사와 장면이 밈으로 확산되고 가족 단위 입소문이 설 연휴 관객을 끌어올렸다.</x:v>
      </x:c>
      <x:c r="G30" s="18" t="str">
        <x:v>개봉 → 대사 밈 → 손익분기점 돌파 → 1500만 관객 → CJ ENM 강세</x:v>
      </x:c>
      <x:c r="H30" s="28" t="str">
        <x:v>상승</x:v>
      </x:c>
      <x:c r="I30" s="18" t="n">
        <x:f>COUNTIF('02_종목반응'!$B:$B,A30)</x:f>
        <x:v>1</x:v>
      </x:c>
      <x:c r="J30" s="18" t="str">
        <x:v>흥행 기간 CJ ENM 주가 강세·시총 상위권 접근</x:v>
      </x:c>
      <x:c r="K30" s="18" t="str">
        <x:v>단일 핵심 출처</x:v>
      </x:c>
      <x:c r="L30" s="18" t="str">
        <x:v>S161</x:v>
      </x:c>
    </x:row>
    <x:row r="31" ht="54" customHeight="1">
      <x:c r="A31" s="29" t="str">
        <x:v>EV0026</x:v>
      </x:c>
      <x:c r="B31" s="29" t="str">
        <x:v>2019</x:v>
      </x:c>
      <x:c r="C31" s="29" t="str">
        <x:v>생활·환경</x:v>
      </x:c>
      <x:c r="D31" s="29" t="str">
        <x:v>공포·사회심리</x:v>
      </x:c>
      <x:c r="E31" s="29" t="str">
        <x:v>미세먼지·공기청정기 수요</x:v>
      </x:c>
      <x:c r="F31" s="29" t="str">
        <x:v>일상에서 체감되는 공기질 악화와 정부 경보가 공기청정기 구매를 생활 필수 수요로 만들었다.</x:v>
      </x:c>
      <x:c r="G31" s="29" t="str">
        <x:v>사건 발생 → 공포성 게시물 확산 → 사재기·행동 변화 → 관련주 급등락 → 사실 검증</x:v>
      </x:c>
      <x:c r="H31" s="28" t="str">
        <x:v>상승</x:v>
      </x:c>
      <x:c r="I31" s="29" t="n">
        <x:f>COUNTIF('02_종목반응'!$B:$B,A31)</x:f>
        <x:v>3</x:v>
      </x:c>
      <x:c r="J31" s="29" t="str">
        <x:v>연초 이후 88.3% 상승</x:v>
      </x:c>
      <x:c r="K31" s="29" t="str">
        <x:v>단일 핵심 출처</x:v>
      </x:c>
      <x:c r="L31" s="29" t="str">
        <x:v>S106</x:v>
      </x:c>
    </x:row>
    <x:row r="32" ht="54" customHeight="1">
      <x:c r="A32" s="18" t="str">
        <x:v>EV0027</x:v>
      </x:c>
      <x:c r="B32" s="18" t="str">
        <x:v>2019</x:v>
      </x:c>
      <x:c r="C32" s="18" t="str">
        <x:v>생활·환경</x:v>
      </x:c>
      <x:c r="D32" s="18" t="str">
        <x:v>공포·사회심리</x:v>
      </x:c>
      <x:c r="E32" s="18" t="str">
        <x:v>미세먼지·마스크 수요</x:v>
      </x:c>
      <x:c r="F32" s="18" t="str">
        <x:v>반복되는 고농도 미세먼지 경보가 마스크 착용을 일상적 예방 행동으로 만들었다.</x:v>
      </x:c>
      <x:c r="G32" s="18" t="str">
        <x:v>사건 발생 → 공포성 게시물 확산 → 사재기·행동 변화 → 관련주 급등락 → 사실 검증</x:v>
      </x:c>
      <x:c r="H32" s="28" t="str">
        <x:v>상승</x:v>
      </x:c>
      <x:c r="I32" s="18" t="n">
        <x:f>COUNTIF('02_종목반응'!$B:$B,A32)</x:f>
        <x:v>4</x:v>
      </x:c>
      <x:c r="J32" s="18" t="str">
        <x:v>연초 이후 57.3% 상승</x:v>
      </x:c>
      <x:c r="K32" s="18" t="str">
        <x:v>단일 핵심 출처</x:v>
      </x:c>
      <x:c r="L32" s="18" t="str">
        <x:v>S106</x:v>
      </x:c>
    </x:row>
    <x:row r="33" ht="54" customHeight="1">
      <x:c r="A33" s="29" t="str">
        <x:v>EV0028</x:v>
      </x:c>
      <x:c r="B33" s="29" t="str">
        <x:v>2019</x:v>
      </x:c>
      <x:c r="C33" s="29" t="str">
        <x:v>콘텐츠·팬덤</x:v>
      </x:c>
      <x:c r="D33" s="29" t="str">
        <x:v>연예인 스캔들·풍문</x:v>
      </x:c>
      <x:c r="E33" s="29" t="str">
        <x:v>버닝썬·승리 스캔들</x:v>
      </x:c>
      <x:c r="F33" s="29" t="str">
        <x:v>클럽 폭행 영상에서 시작된 의혹이 메신저 폭로·연예인 루머·경찰 유착 논란으로 확대되며 엔터 업종 전체 불신으로 번졌다.</x:v>
      </x:c>
      <x:c r="G33" s="29" t="str">
        <x:v>폭행 영상 → 성접대·메신저 의혹 → SNS·포털 폭증 → YG 급락 → 타 엔터주 전염</x:v>
      </x:c>
      <x:c r="H33" s="31" t="str">
        <x:v>하락</x:v>
      </x:c>
      <x:c r="I33" s="29" t="n">
        <x:f>COUNTIF('02_종목반응'!$B:$B,A33)</x:f>
        <x:v>5</x:v>
      </x:c>
      <x:c r="J33" s="29" t="str">
        <x:v>YG 하루 14% 하락·한 달 19.38% 하락</x:v>
      </x:c>
      <x:c r="K33" s="29" t="str">
        <x:v>단일 핵심 출처</x:v>
      </x:c>
      <x:c r="L33" s="29" t="str">
        <x:v>S140</x:v>
      </x:c>
    </x:row>
    <x:row r="34" ht="54" customHeight="1">
      <x:c r="A34" s="18" t="str">
        <x:v>EV0029</x:v>
      </x:c>
      <x:c r="B34" s="18" t="str">
        <x:v>2019</x:v>
      </x:c>
      <x:c r="C34" s="18" t="str">
        <x:v>식품·축산</x:v>
      </x:c>
      <x:c r="D34" s="18" t="str">
        <x:v>감염병 공포·대체소비</x:v>
      </x:c>
      <x:c r="E34" s="18" t="str">
        <x:v>아프리카돼지열병 국내 발생</x:v>
      </x:c>
      <x:c r="F34" s="18" t="str">
        <x:v>돼지고기 공급 부족 공포와 농장 살처분 영상이 확산되며 닭고기 대체 수요 기대가 즉시 테마화됐다.</x:v>
      </x:c>
      <x:c r="G34" s="18" t="str">
        <x:v>국내 첫 발생 → 살처분·가격 공포 → 대체육 관련주 찾기 → 닭고기주 상한가</x:v>
      </x:c>
      <x:c r="H34" s="28" t="str">
        <x:v>상승</x:v>
      </x:c>
      <x:c r="I34" s="18" t="n">
        <x:f>COUNTIF('02_종목반응'!$B:$B,A34)</x:f>
        <x:v>2</x:v>
      </x:c>
      <x:c r="J34" s="18" t="str">
        <x:v>하림·마니커 상한가</x:v>
      </x:c>
      <x:c r="K34" s="18" t="str">
        <x:v>단일 핵심 출처</x:v>
      </x:c>
      <x:c r="L34" s="18" t="str">
        <x:v>S148</x:v>
      </x:c>
    </x:row>
    <x:row r="35" ht="54" customHeight="1">
      <x:c r="A35" s="29" t="str">
        <x:v>EV0030</x:v>
      </x:c>
      <x:c r="B35" s="29" t="str">
        <x:v>2019</x:v>
      </x:c>
      <x:c r="C35" s="29" t="str">
        <x:v>소비자행동·불매</x:v>
      </x:c>
      <x:c r="D35" s="29" t="str">
        <x:v>불매·논란</x:v>
      </x:c>
      <x:c r="E35" s="29" t="str">
        <x:v>일본제품 불매운동</x:v>
      </x:c>
      <x:c r="F35" s="29" t="str">
        <x:v>일본 수출규제에 대한 반감이 ‘사지 않습니다’ 인증과 국산 대체품 찾기로 조직화됐다.</x:v>
      </x:c>
      <x:c r="G35" s="29" t="str">
        <x:v>발화 → 포털·SNS 확산 → 관련주 묶기 → 주가 반응 → 기사·공시로 검증</x:v>
      </x:c>
      <x:c r="H35" s="28" t="str">
        <x:v>상승</x:v>
      </x:c>
      <x:c r="I35" s="29" t="n">
        <x:f>COUNTIF('02_종목반응'!$B:$B,A35)</x:f>
        <x:v>3</x:v>
      </x:c>
      <x:c r="J35" s="29" t="str">
        <x:v>6월 말 대비 147% 상승</x:v>
      </x:c>
      <x:c r="K35" s="29" t="str">
        <x:v>단일 핵심 출처</x:v>
      </x:c>
      <x:c r="L35" s="29" t="str">
        <x:v>S107</x:v>
      </x:c>
    </x:row>
    <x:row r="36" ht="54" customHeight="1">
      <x:c r="A36" s="18" t="str">
        <x:v>EV0031</x:v>
      </x:c>
      <x:c r="B36" s="18" t="str">
        <x:v>2019</x:v>
      </x:c>
      <x:c r="C36" s="18" t="str">
        <x:v>정치·정책·사회</x:v>
      </x:c>
      <x:c r="D36" s="18" t="str">
        <x:v>정치·정책</x:v>
      </x:c>
      <x:c r="E36" s="18" t="str">
        <x:v>조국</x:v>
      </x:c>
      <x:c r="F36" s="18" t="str">
        <x:v>선거 가능성과 지지율 변화가 커뮤니티의 ‘수혜주 찾기’를 자극했고, 학연·지연·인맥 같은 단순 연결이 빠르게 복제됐다.</x:v>
      </x:c>
      <x:c r="G36" s="18" t="str">
        <x:v>발언·보도 → 인맥·지역 관련주 찾기 → 온라인 확산 → 급등락 → 무관 공시·선거 종료</x:v>
      </x:c>
      <x:c r="H36" s="30" t="str">
        <x:v>미확인</x:v>
      </x:c>
      <x:c r="I36" s="18" t="n">
        <x:f>COUNTIF('02_종목반응'!$B:$B,A36)</x:f>
        <x:v>1</x:v>
      </x:c>
      <x:c r="J36" s="18" t="str">
        <x:v>투자주의 수준 급등 뒤 총선 후 급락</x:v>
      </x:c>
      <x:c r="K36" s="18" t="str">
        <x:v>단일 핵심 출처</x:v>
      </x:c>
      <x:c r="L36" s="18" t="str">
        <x:v>S18</x:v>
      </x:c>
    </x:row>
    <x:row r="37" ht="54" customHeight="1">
      <x:c r="A37" s="29" t="str">
        <x:v>EV0032</x:v>
      </x:c>
      <x:c r="B37" s="29" t="str">
        <x:v>2020</x:v>
      </x:c>
      <x:c r="C37" s="29" t="str">
        <x:v>시장현상</x:v>
      </x:c>
      <x:c r="D37" s="29" t="str">
        <x:v>온라인 군중·수급</x:v>
      </x:c>
      <x:c r="E37" s="29" t="str">
        <x:v>2020 우선주 광풍</x:v>
      </x:c>
      <x:c r="F37" s="29" t="str">
        <x:v>소액 유통물량과 연속 상한가 기록이 포털·주식 커뮤니티에서 화제가 되며 실적과 무관한 추종매수가 다른 우선주로 번졌다.</x:v>
      </x:c>
      <x:c r="G37" s="29" t="str">
        <x:v>삼성중공업우 연속 상한가 → 커뮤니티 확산 → 우선주 무더기 상한가 → 거래소 경고 → 급락</x:v>
      </x:c>
      <x:c r="H37" s="28" t="str">
        <x:v>상승</x:v>
      </x:c>
      <x:c r="I37" s="29" t="n">
        <x:f>COUNTIF('02_종목반응'!$B:$B,A37)</x:f>
        <x:v>7</x:v>
      </x:c>
      <x:c r="J37" s="29" t="str">
        <x:v>삼성중공업우 10연속 상한가·약 13.7배</x:v>
      </x:c>
      <x:c r="K37" s="29" t="str">
        <x:v>복수 출처 교차확인</x:v>
      </x:c>
      <x:c r="L37" s="29" t="str">
        <x:v>S125;S126</x:v>
      </x:c>
    </x:row>
    <x:row r="38" ht="54" customHeight="1">
      <x:c r="A38" s="18" t="str">
        <x:v>EV0033</x:v>
      </x:c>
      <x:c r="B38" s="18" t="str">
        <x:v>2020</x:v>
      </x:c>
      <x:c r="C38" s="18" t="str">
        <x:v>정치·정책·사회</x:v>
      </x:c>
      <x:c r="D38" s="18" t="str">
        <x:v>정치·정책</x:v>
      </x:c>
      <x:c r="E38" s="18" t="str">
        <x:v>가덕도 특별법</x:v>
      </x:c>
      <x:c r="F38" s="18" t="str">
        <x:v>특별법과 지역개발 기대가 선거 이슈와 결합해 부산 연고·건설 관련주로 확산됐다.</x:v>
      </x:c>
      <x:c r="G38" s="18" t="str">
        <x:v>발언·보도 → 인맥·지역 관련주 찾기 → 온라인 확산 → 급등락 → 무관 공시·선거 종료</x:v>
      </x:c>
      <x:c r="H38" s="31" t="str">
        <x:v>하락</x:v>
      </x:c>
      <x:c r="I38" s="18" t="n">
        <x:f>COUNTIF('02_종목반응'!$B:$B,A38)</x:f>
        <x:v>3</x:v>
      </x:c>
      <x:c r="J38" s="18" t="str">
        <x:v>법 통과 후 -14.44%로 상승분 반납</x:v>
      </x:c>
      <x:c r="K38" s="18" t="str">
        <x:v>단일 핵심 출처</x:v>
      </x:c>
      <x:c r="L38" s="18" t="str">
        <x:v>S25</x:v>
      </x:c>
    </x:row>
    <x:row r="39" ht="54" customHeight="1">
      <x:c r="A39" s="29" t="str">
        <x:v>EV0034</x:v>
      </x:c>
      <x:c r="B39" s="29" t="str">
        <x:v>2020</x:v>
      </x:c>
      <x:c r="C39" s="29" t="str">
        <x:v>콘텐츠·팬덤</x:v>
      </x:c>
      <x:c r="D39" s="29" t="str">
        <x:v>콘텐츠·팬덤</x:v>
      </x:c>
      <x:c r="E39" s="29" t="str">
        <x:v>기생충</x:v>
      </x:c>
      <x:c r="F39" s="29" t="str">
        <x:v>아카데미 수상과 계층 서사가 세계적 화제를 만들고 작품 속 음식·제작사까지 관심이 확장됐다.</x:v>
      </x:c>
      <x:c r="G39" s="29" t="str">
        <x:v>공개·방영 → 조회수·팬덤 확산 → 관련 기업 탐색 → 주가 반응 → 흥행 지속성 검증</x:v>
      </x:c>
      <x:c r="H39" s="30" t="str">
        <x:v>혼합·급등락</x:v>
      </x:c>
      <x:c r="I39" s="29" t="n">
        <x:f>COUNTIF('02_종목반응'!$B:$B,A39)</x:f>
        <x:v>2</x:v>
      </x:c>
      <x:c r="J39" s="29" t="str">
        <x:v>수상 당일 급등</x:v>
      </x:c>
      <x:c r="K39" s="29" t="str">
        <x:v>단일 핵심 출처</x:v>
      </x:c>
      <x:c r="L39" s="29" t="str">
        <x:v>S35</x:v>
      </x:c>
    </x:row>
    <x:row r="40" ht="54" customHeight="1">
      <x:c r="A40" s="18" t="str">
        <x:v>EV0035</x:v>
      </x:c>
      <x:c r="B40" s="18" t="str">
        <x:v>2020</x:v>
      </x:c>
      <x:c r="C40" s="18" t="str">
        <x:v>식품·소비</x:v>
      </x:c>
      <x:c r="D40" s="18" t="str">
        <x:v>콘텐츠·팬덤</x:v>
      </x:c>
      <x:c r="E40" s="18" t="str">
        <x:v>기생충 짜파구리</x:v>
      </x:c>
      <x:c r="F40" s="18" t="str">
        <x:v>영화 속 친숙하면서도 낯선 조합이 수상 화제와 맞물려 레시피 따라 하기와 인증 소비로 번졌다.</x:v>
      </x:c>
      <x:c r="G40" s="18" t="str">
        <x:v>공개·방영 → 조회수·팬덤 확산 → 관련 기업 탐색 → 주가 반응 → 흥행 지속성 검증</x:v>
      </x:c>
      <x:c r="H40" s="30" t="str">
        <x:v>미확인</x:v>
      </x:c>
      <x:c r="I40" s="18" t="n">
        <x:f>COUNTIF('02_종목반응'!$B:$B,A40)</x:f>
        <x:v>1</x:v>
      </x:c>
      <x:c r="J40" s="18" t="str">
        <x:v>농심 주가도 급등 보도; 정확 수치 미기재</x:v>
      </x:c>
      <x:c r="K40" s="18" t="str">
        <x:v>단일 핵심 출처</x:v>
      </x:c>
      <x:c r="L40" s="18" t="str">
        <x:v>S61</x:v>
      </x:c>
    </x:row>
    <x:row r="41" ht="54" customHeight="1">
      <x:c r="A41" s="29" t="str">
        <x:v>EV0036</x:v>
      </x:c>
      <x:c r="B41" s="29" t="str">
        <x:v>2020</x:v>
      </x:c>
      <x:c r="C41" s="29" t="str">
        <x:v>콘텐츠·팬덤</x:v>
      </x:c>
      <x:c r="D41" s="29" t="str">
        <x:v>콘텐츠·팬덤</x:v>
      </x:c>
      <x:c r="E41" s="29" t="str">
        <x:v>아기상어 유튜브 세계 1위</x:v>
      </x:c>
      <x:c r="F41" s="29" t="str">
        <x:v>짧고 반복적인 멜로디와 쉬운 율동이 어린이의 반복 시청과 부모 공유를 통해 세계적으로 확산됐다.</x:v>
      </x:c>
      <x:c r="G41" s="29" t="str">
        <x:v>공개·방영 → 조회수·팬덤 확산 → 관련 기업 탐색 → 주가 반응 → 흥행 지속성 검증</x:v>
      </x:c>
      <x:c r="H41" s="28" t="str">
        <x:v>상승</x:v>
      </x:c>
      <x:c r="I41" s="29" t="n">
        <x:f>COUNTIF('02_종목반응'!$B:$B,A41)</x:f>
        <x:v>1</x:v>
      </x:c>
      <x:c r="J41" s="29" t="str">
        <x:v>당일 약 10% 상승</x:v>
      </x:c>
      <x:c r="K41" s="29" t="str">
        <x:v>단일 핵심 출처</x:v>
      </x:c>
      <x:c r="L41" s="29" t="str">
        <x:v>S59</x:v>
      </x:c>
    </x:row>
    <x:row r="42" ht="54" customHeight="1">
      <x:c r="A42" s="18" t="str">
        <x:v>EV0037</x:v>
      </x:c>
      <x:c r="B42" s="18" t="str">
        <x:v>2020</x:v>
      </x:c>
      <x:c r="C42" s="18" t="str">
        <x:v>생활·비대면</x:v>
      </x:c>
      <x:c r="D42" s="18" t="str">
        <x:v>유행·관심</x:v>
      </x:c>
      <x:c r="E42" s="18" t="str">
        <x:v>온라인교육 확산</x:v>
      </x:c>
      <x:c r="F42" s="18" t="str">
        <x:v>개학 연기와 학원 휴원으로 학생·학부모가 온라인 수업으로 급하게 이동했다.</x:v>
      </x:c>
      <x:c r="G42" s="18" t="str">
        <x:v>발화 → 포털·SNS 확산 → 관련주 묶기 → 주가 반응 → 기사·공시로 검증</x:v>
      </x:c>
      <x:c r="H42" s="28" t="str">
        <x:v>상승</x:v>
      </x:c>
      <x:c r="I42" s="18" t="n">
        <x:f>COUNTIF('02_종목반응'!$B:$B,A42)</x:f>
        <x:v>3</x:v>
      </x:c>
      <x:c r="J42" s="18" t="str">
        <x:v>당일 4.93% 상승</x:v>
      </x:c>
      <x:c r="K42" s="18" t="str">
        <x:v>단일 핵심 출처</x:v>
      </x:c>
      <x:c r="L42" s="18" t="str">
        <x:v>S109</x:v>
      </x:c>
    </x:row>
    <x:row r="43" ht="54" customHeight="1">
      <x:c r="A43" s="29" t="str">
        <x:v>EV0038</x:v>
      </x:c>
      <x:c r="B43" s="29" t="str">
        <x:v>2020</x:v>
      </x:c>
      <x:c r="C43" s="29" t="str">
        <x:v>생활·비대면</x:v>
      </x:c>
      <x:c r="D43" s="29" t="str">
        <x:v>유행·관심</x:v>
      </x:c>
      <x:c r="E43" s="29" t="str">
        <x:v>재택근무 확산</x:v>
      </x:c>
      <x:c r="F43" s="29" t="str">
        <x:v>거리두기로 출근이 제한되면서 원격접속·협업·보안 도구가 일상 업무의 필수품이 됐다.</x:v>
      </x:c>
      <x:c r="G43" s="29" t="str">
        <x:v>발화 → 포털·SNS 확산 → 관련주 묶기 → 주가 반응 → 기사·공시로 검증</x:v>
      </x:c>
      <x:c r="H43" s="28" t="str">
        <x:v>상승</x:v>
      </x:c>
      <x:c r="I43" s="29" t="n">
        <x:f>COUNTIF('02_종목반응'!$B:$B,A43)</x:f>
        <x:v>3</x:v>
      </x:c>
      <x:c r="J43" s="29" t="str">
        <x:v>당일 11.46% 상승</x:v>
      </x:c>
      <x:c r="K43" s="29" t="str">
        <x:v>단일 핵심 출처</x:v>
      </x:c>
      <x:c r="L43" s="29" t="str">
        <x:v>S109</x:v>
      </x:c>
    </x:row>
    <x:row r="44" ht="54" customHeight="1">
      <x:c r="A44" s="18" t="str">
        <x:v>EV0039</x:v>
      </x:c>
      <x:c r="B44" s="18" t="str">
        <x:v>2020</x:v>
      </x:c>
      <x:c r="C44" s="18" t="str">
        <x:v>건강·재난</x:v>
      </x:c>
      <x:c r="D44" s="18" t="str">
        <x:v>공포·사회심리</x:v>
      </x:c>
      <x:c r="E44" s="18" t="str">
        <x:v>코로나19 진단 수요</x:v>
      </x:c>
      <x:c r="F44" s="18" t="str">
        <x:v>감염 규모와 검사 필요가 급증하며 진단키트 공급 능력이 국가적 관심사가 됐다.</x:v>
      </x:c>
      <x:c r="G44" s="18" t="str">
        <x:v>사건 발생 → 공포성 게시물 확산 → 사재기·행동 변화 → 관련주 급등락 → 사실 검증</x:v>
      </x:c>
      <x:c r="H44" s="28" t="str">
        <x:v>상승</x:v>
      </x:c>
      <x:c r="I44" s="18" t="n">
        <x:f>COUNTIF('02_종목반응'!$B:$B,A44)</x:f>
        <x:v>4</x:v>
      </x:c>
      <x:c r="J44" s="18" t="str">
        <x:v>2020 상반기 약 690% 상승</x:v>
      </x:c>
      <x:c r="K44" s="18" t="str">
        <x:v>단일 핵심 출처</x:v>
      </x:c>
      <x:c r="L44" s="18" t="str">
        <x:v>S108</x:v>
      </x:c>
    </x:row>
    <x:row r="45" ht="54" customHeight="1">
      <x:c r="A45" s="29" t="str">
        <x:v>EV0040</x:v>
      </x:c>
      <x:c r="B45" s="29" t="str">
        <x:v>2021</x:v>
      </x:c>
      <x:c r="C45" s="29" t="str">
        <x:v>가상자산·금융</x:v>
      </x:c>
      <x:c r="D45" s="29" t="str">
        <x:v>상장설·풍문</x:v>
      </x:c>
      <x:c r="E45" s="29" t="str">
        <x:v>두나무 미국 상장설</x:v>
      </x:c>
      <x:c r="F45" s="29" t="str">
        <x:v>코인베이스 상장 열풍과 업비트 거래대금 급증이 ‘두나무 나스닥·NYSE 상장’ 보도로 번지며 지분 보유사 찾기가 유행했다.</x:v>
      </x:c>
      <x:c r="G45" s="29" t="str">
        <x:v>코인 열풍 → 미국 상장설 → 지분 보유사 상한가 → 회사 “확정 없음” → 변동성 확대</x:v>
      </x:c>
      <x:c r="H45" s="28" t="str">
        <x:v>상승</x:v>
      </x:c>
      <x:c r="I45" s="29" t="n">
        <x:f>COUNTIF('02_종목반응'!$B:$B,A45)</x:f>
        <x:v>4</x:v>
      </x:c>
      <x:c r="J45" s="29" t="str">
        <x:v>에이티넘·우리기술투자·한화투자증권 등 급등</x:v>
      </x:c>
      <x:c r="K45" s="29" t="str">
        <x:v>복수 출처 교차확인</x:v>
      </x:c>
      <x:c r="L45" s="29" t="str">
        <x:v>S151;S152</x:v>
      </x:c>
    </x:row>
    <x:row r="46" ht="54" customHeight="1">
      <x:c r="A46" s="18" t="str">
        <x:v>EV0041</x:v>
      </x:c>
      <x:c r="B46" s="18" t="str">
        <x:v>2021</x:v>
      </x:c>
      <x:c r="C46" s="18" t="str">
        <x:v>기술·플랫폼</x:v>
      </x:c>
      <x:c r="D46" s="18" t="str">
        <x:v>과학·기술 테마</x:v>
      </x:c>
      <x:c r="E46" s="18" t="str">
        <x:v>메타버스 열풍</x:v>
      </x:c>
      <x:c r="F46" s="18" t="str">
        <x:v>코로나 비대면 생활과 가상공간·아바타·NFT 서사가 결합해 미래 산업 기대를 키웠다.</x:v>
      </x:c>
      <x:c r="G46" s="18" t="str">
        <x:v>발화 → 포털·SNS 확산 → 관련주 묶기 → 주가 반응 → 기사·공시로 검증</x:v>
      </x:c>
      <x:c r="H46" s="28" t="str">
        <x:v>상승</x:v>
      </x:c>
      <x:c r="I46" s="18" t="n">
        <x:f>COUNTIF('02_종목반응'!$B:$B,A46)</x:f>
        <x:v>4</x:v>
      </x:c>
      <x:c r="J46" s="18" t="str">
        <x:v>상장 후 따상상상</x:v>
      </x:c>
      <x:c r="K46" s="18" t="str">
        <x:v>복수 출처 교차확인</x:v>
      </x:c>
      <x:c r="L46" s="18" t="str">
        <x:v>S110;S111</x:v>
      </x:c>
    </x:row>
    <x:row r="47" ht="54" customHeight="1">
      <x:c r="A47" s="29" t="str">
        <x:v>EV0042</x:v>
      </x:c>
      <x:c r="B47" s="29" t="str">
        <x:v>2021</x:v>
      </x:c>
      <x:c r="C47" s="29" t="str">
        <x:v>기술·플랫폼</x:v>
      </x:c>
      <x:c r="D47" s="29" t="str">
        <x:v>과학·기술 테마</x:v>
      </x:c>
      <x:c r="E47" s="29" t="str">
        <x:v>메타버스·버추얼 아바타</x:v>
      </x:c>
      <x:c r="F47" s="29" t="str">
        <x:v>가상 캐릭터로 소통하고 소비하는 경험이 팬덤·게임·엔터테인먼트와 결합해 확산됐다.</x:v>
      </x:c>
      <x:c r="G47" s="29" t="str">
        <x:v>발화 → 포털·SNS 확산 → 관련주 묶기 → 주가 반응 → 기사·공시로 검증</x:v>
      </x:c>
      <x:c r="H47" s="28" t="str">
        <x:v>상승</x:v>
      </x:c>
      <x:c r="I47" s="29" t="n">
        <x:f>COUNTIF('02_종목반응'!$B:$B,A47)</x:f>
        <x:v>1</x:v>
      </x:c>
      <x:c r="J47" s="29" t="str">
        <x:v>테마 급등 및 별도일 12.96% 상승</x:v>
      </x:c>
      <x:c r="K47" s="29" t="str">
        <x:v>복수 출처 교차확인</x:v>
      </x:c>
      <x:c r="L47" s="29" t="str">
        <x:v>S110;S111</x:v>
      </x:c>
    </x:row>
    <x:row r="48" ht="54" customHeight="1">
      <x:c r="A48" s="18" t="str">
        <x:v>EV0043</x:v>
      </x:c>
      <x:c r="B48" s="18" t="str">
        <x:v>2021</x:v>
      </x:c>
      <x:c r="C48" s="18" t="str">
        <x:v>식품·건강</x:v>
      </x:c>
      <x:c r="D48" s="18" t="str">
        <x:v>과장 주장·오정보</x:v>
      </x:c>
      <x:c r="E48" s="18" t="str">
        <x:v>불가리스 코로나 억제 주장</x:v>
      </x:c>
      <x:c r="F48" s="18" t="str">
        <x:v>남양유업 발표가 코로나 해결 기대와 결합해 즉시 퍼졌지만 임상 근거 부족 지적과 당국 반박이 뒤따랐다.</x:v>
      </x:c>
      <x:c r="G48" s="18" t="str">
        <x:v>기업 발표 → 상한가 → 전문가·당국 반박 → 다음날 5%대 하락 → 수사·불매</x:v>
      </x:c>
      <x:c r="H48" s="30" t="str">
        <x:v>급등→급락</x:v>
      </x:c>
      <x:c r="I48" s="18" t="n">
        <x:f>COUNTIF('02_종목반응'!$B:$B,A48)</x:f>
        <x:v>1</x:v>
      </x:c>
      <x:c r="J48" s="18" t="str">
        <x:v>남양유업 장중 상한가 뒤 다음날 5%대 하락</x:v>
      </x:c>
      <x:c r="K48" s="18" t="str">
        <x:v>복수 출처 교차확인</x:v>
      </x:c>
      <x:c r="L48" s="18" t="str">
        <x:v>S135;S136</x:v>
      </x:c>
    </x:row>
    <x:row r="49" ht="54" customHeight="1">
      <x:c r="A49" s="29" t="str">
        <x:v>EV0044</x:v>
      </x:c>
      <x:c r="B49" s="29" t="str">
        <x:v>2021</x:v>
      </x:c>
      <x:c r="C49" s="29" t="str">
        <x:v>자동차·테크</x:v>
      </x:c>
      <x:c r="D49" s="29" t="str">
        <x:v>외신 풍문·협력설</x:v>
      </x:c>
      <x:c r="E49" s="29" t="str">
        <x:v>애플카-현대차 협력설→중단</x:v>
      </x:c>
      <x:c r="F49" s="29" t="str">
        <x:v>외신과 단독 보도가 ‘애플카 생산 파트너’ 기대를 키웠고 온라인에서 계열사·부품사까지 관련주 지도가 확장됐다.</x:v>
      </x:c>
      <x:c r="G49" s="29" t="str">
        <x:v>협력 보도 → 그룹주 폭등 → 후속 추측 보도 → 협의 중단 공시 → 시총 급감</x:v>
      </x:c>
      <x:c r="H49" s="30" t="str">
        <x:v>급등→급락</x:v>
      </x:c>
      <x:c r="I49" s="29" t="n">
        <x:f>COUNTIF('02_종목반응'!$B:$B,A49)</x:f>
        <x:v>5</x:v>
      </x:c>
      <x:c r="J49" s="29" t="str">
        <x:v>협력설 뒤 현대차 25%·기아 39% 상승, 중단일 기아 약 15% 급락</x:v>
      </x:c>
      <x:c r="K49" s="29" t="str">
        <x:v>복수 출처 교차확인</x:v>
      </x:c>
      <x:c r="L49" s="29" t="str">
        <x:v>S149;S150</x:v>
      </x:c>
    </x:row>
    <x:row r="50" ht="54" customHeight="1">
      <x:c r="A50" s="18" t="str">
        <x:v>EV0045</x:v>
      </x:c>
      <x:c r="B50" s="18" t="str">
        <x:v>2021</x:v>
      </x:c>
      <x:c r="C50" s="18" t="str">
        <x:v>콘텐츠·팬덤</x:v>
      </x:c>
      <x:c r="D50" s="18" t="str">
        <x:v>콘텐츠·팬덤</x:v>
      </x:c>
      <x:c r="E50" s="18" t="str">
        <x:v>오징어게임</x:v>
      </x:c>
      <x:c r="F50" s="18" t="str">
        <x:v>단순한 놀이와 강렬한 비주얼·사회적 메시지가 넷플릭스를 통해 전 세계 밈과 패러디로 복제됐다.</x:v>
      </x:c>
      <x:c r="G50" s="18" t="str">
        <x:v>공개·방영 → 조회수·팬덤 확산 → 관련 기업 탐색 → 주가 반응 → 흥행 지속성 검증</x:v>
      </x:c>
      <x:c r="H50" s="30" t="str">
        <x:v>미확인</x:v>
      </x:c>
      <x:c r="I50" s="18" t="n">
        <x:f>COUNTIF('02_종목반응'!$B:$B,A50)</x:f>
        <x:v>2</x:v>
      </x:c>
      <x:c r="J50" s="18" t="str">
        <x:v>상한가를 거듭</x:v>
      </x:c>
      <x:c r="K50" s="18" t="str">
        <x:v>복수 출처 교차확인</x:v>
      </x:c>
      <x:c r="L50" s="18" t="str">
        <x:v>S33;S34</x:v>
      </x:c>
    </x:row>
    <x:row r="51" ht="54" customHeight="1">
      <x:c r="A51" s="29" t="str">
        <x:v>EV0046</x:v>
      </x:c>
      <x:c r="B51" s="29" t="str">
        <x:v>2021</x:v>
      </x:c>
      <x:c r="C51" s="29" t="str">
        <x:v>정치·정책·사회</x:v>
      </x:c>
      <x:c r="D51" s="29" t="str">
        <x:v>정치·정책</x:v>
      </x:c>
      <x:c r="E51" s="29" t="str">
        <x:v>윤석열</x:v>
      </x:c>
      <x:c r="F51" s="29" t="str">
        <x:v>사진·친분·임원 인맥 같은 비사업적 연결이 선거 기대와 결합해 온라인에서 ‘수혜주’ 서사로 복제됐다.</x:v>
      </x:c>
      <x:c r="G51" s="29" t="str">
        <x:v>발언·보도 → 인맥·지역 관련주 찾기 → 온라인 확산 → 급등락 → 무관 공시·선거 종료</x:v>
      </x:c>
      <x:c r="H51" s="28" t="str">
        <x:v>상승</x:v>
      </x:c>
      <x:c r="I51" s="29" t="n">
        <x:f>COUNTIF('02_종목반응'!$B:$B,A51)</x:f>
        <x:v>4</x:v>
      </x:c>
      <x:c r="J51" s="29" t="str">
        <x:v>회사가 무관 공시했지만 약 150% 급등</x:v>
      </x:c>
      <x:c r="K51" s="29" t="str">
        <x:v>복수 출처 교차확인</x:v>
      </x:c>
      <x:c r="L51" s="29" t="str">
        <x:v>S04;S05;S06</x:v>
      </x:c>
    </x:row>
    <x:row r="52" ht="54" customHeight="1">
      <x:c r="A52" s="18" t="str">
        <x:v>EV0047</x:v>
      </x:c>
      <x:c r="B52" s="18" t="str">
        <x:v>2021</x:v>
      </x:c>
      <x:c r="C52" s="18" t="str">
        <x:v>드라마·사회논란</x:v>
      </x:c>
      <x:c r="D52" s="18" t="str">
        <x:v>온라인 불매·역사논란</x:v>
      </x:c>
      <x:c r="E52" s="18" t="str">
        <x:v>조선구마사 역사왜곡 논란</x:v>
      </x:c>
      <x:c r="F52" s="18" t="str">
        <x:v>중국풍 소품 캡처가 커뮤니티에서 반중·역사왜곡 논쟁으로 번지고 광고주 목록 공유와 철회 요구가 집단 행동으로 이어졌다.</x:v>
      </x:c>
      <x:c r="G52" s="18" t="str">
        <x:v>첫 방송 캡처 → 커뮤니티 비판 → 광고주 압박 → 2회 폐지 → 관련주 하락</x:v>
      </x:c>
      <x:c r="H52" s="31" t="str">
        <x:v>하락</x:v>
      </x:c>
      <x:c r="I52" s="18" t="n">
        <x:f>COUNTIF('02_종목반응'!$B:$B,A52)</x:f>
        <x:v>3</x:v>
      </x:c>
      <x:c r="J52" s="18" t="str">
        <x:v>YG 5.63%·SBS 5.24%·YG PLUS 2.64% 하락</x:v>
      </x:c>
      <x:c r="K52" s="18" t="str">
        <x:v>단일 핵심 출처</x:v>
      </x:c>
      <x:c r="L52" s="18" t="str">
        <x:v>S155</x:v>
      </x:c>
    </x:row>
    <x:row r="53" ht="54" customHeight="1">
      <x:c r="A53" s="29" t="str">
        <x:v>EV0048</x:v>
      </x:c>
      <x:c r="B53" s="29" t="str">
        <x:v>2021</x:v>
      </x:c>
      <x:c r="C53" s="29" t="str">
        <x:v>생활·유통</x:v>
      </x:c>
      <x:c r="D53" s="29" t="str">
        <x:v>온라인 불매·논란</x:v>
      </x:c>
      <x:c r="E53" s="29" t="str">
        <x:v>GS25 손가락 포스터 논란</x:v>
      </x:c>
      <x:c r="F53" s="29" t="str">
        <x:v>포스터 이미지가 특정 커뮤니티에서 젠더 갈등 상징으로 해석되며 불매 인증과 주식 매도 독려가 빠르게 확산됐다.</x:v>
      </x:c>
      <x:c r="G53" s="29" t="str">
        <x:v>이미지 캡처 → 커뮤니티 확산 → 불매·매도 독려 → 사과·수정 → 주가 5일 하락</x:v>
      </x:c>
      <x:c r="H53" s="31" t="str">
        <x:v>하락</x:v>
      </x:c>
      <x:c r="I53" s="29" t="n">
        <x:f>COUNTIF('02_종목반응'!$B:$B,A53)</x:f>
        <x:v>1</x:v>
      </x:c>
      <x:c r="J53" s="29" t="str">
        <x:v>GS리테일 5거래일 연속 하락·당일 3.35% 하락</x:v>
      </x:c>
      <x:c r="K53" s="29" t="str">
        <x:v>복수 출처 교차확인</x:v>
      </x:c>
      <x:c r="L53" s="29" t="str">
        <x:v>S132;S133</x:v>
      </x:c>
    </x:row>
    <x:row r="54" ht="54" customHeight="1">
      <x:c r="A54" s="18" t="str">
        <x:v>EV0049</x:v>
      </x:c>
      <x:c r="B54" s="18" t="str">
        <x:v>2022</x:v>
      </x:c>
      <x:c r="C54" s="18" t="str">
        <x:v>게임·커뮤니티</x:v>
      </x:c>
      <x:c r="D54" s="18" t="str">
        <x:v>이용자 행동·불매</x:v>
      </x:c>
      <x:c r="E54" s="18" t="str">
        <x:v>우마무스메 이용자 마차 시위</x:v>
      </x:c>
      <x:c r="F54" s="18" t="str">
        <x:v>운영 차별 논란이 게임 커뮤니티에서 집단 행동으로 조직되고 실제 마차 시위와 간담회 생중계로 확산됐다.</x:v>
      </x:c>
      <x:c r="G54" s="18" t="str">
        <x:v>운영 불만 → 커뮤니티 결집 → 마차 시위 → 간담회 혹평 → 주가 하락</x:v>
      </x:c>
      <x:c r="H54" s="31" t="str">
        <x:v>하락</x:v>
      </x:c>
      <x:c r="I54" s="18" t="n">
        <x:f>COUNTIF('02_종목반응'!$B:$B,A54)</x:f>
        <x:v>1</x:v>
      </x:c>
      <x:c r="J54" s="18" t="str">
        <x:v>카카오게임즈 열흘 약 13% 하락·간담회 날 장중 5.97% 하락</x:v>
      </x:c>
      <x:c r="K54" s="18" t="str">
        <x:v>복수 출처 교차확인</x:v>
      </x:c>
      <x:c r="L54" s="18" t="str">
        <x:v>S128;S129</x:v>
      </x:c>
    </x:row>
    <x:row r="55" ht="54" customHeight="1">
      <x:c r="A55" s="29" t="str">
        <x:v>EV0050</x:v>
      </x:c>
      <x:c r="B55" s="29" t="str">
        <x:v>2022</x:v>
      </x:c>
      <x:c r="C55" s="29" t="str">
        <x:v>콘텐츠·팬덤</x:v>
      </x:c>
      <x:c r="D55" s="29" t="str">
        <x:v>콘텐츠·팬덤</x:v>
      </x:c>
      <x:c r="E55" s="29" t="str">
        <x:v>이상한 변호사 우영우 신드롬</x:v>
      </x:c>
      <x:c r="F55" s="29" t="str">
        <x:v>신선한 캐릭터와 따뜻한 서사, 가파른 시청률 상승, 온라인 대사·고래 밈이 입소문을 만들었다.</x:v>
      </x:c>
      <x:c r="G55" s="29" t="str">
        <x:v>공개·방영 → 조회수·팬덤 확산 → 관련 기업 탐색 → 주가 반응 → 흥행 지속성 검증</x:v>
      </x:c>
      <x:c r="H55" s="28" t="str">
        <x:v>상승</x:v>
      </x:c>
      <x:c r="I55" s="29" t="n">
        <x:f>COUNTIF('02_종목반응'!$B:$B,A55)</x:f>
        <x:v>1</x:v>
      </x:c>
      <x:c r="J55" s="29" t="str">
        <x:v>11거래일 89.5% 상승</x:v>
      </x:c>
      <x:c r="K55" s="29" t="str">
        <x:v>단일 핵심 출처</x:v>
      </x:c>
      <x:c r="L55" s="29" t="str">
        <x:v>S112</x:v>
      </x:c>
    </x:row>
    <x:row r="56" ht="54" customHeight="1">
      <x:c r="A56" s="18" t="str">
        <x:v>EV0051</x:v>
      </x:c>
      <x:c r="B56" s="18" t="str">
        <x:v>2022</x:v>
      </x:c>
      <x:c r="C56" s="18" t="str">
        <x:v>콘텐츠·팬덤</x:v>
      </x:c>
      <x:c r="D56" s="18" t="str">
        <x:v>콘텐츠·팬덤</x:v>
      </x:c>
      <x:c r="E56" s="18" t="str">
        <x:v>재벌집 막내아들 흥행</x:v>
      </x:c>
      <x:c r="F56" s="18" t="str">
        <x:v>회귀 판타지와 재벌·현대사 소재, 배우 팬덤, 높은 시청률이 온라인 화제성을 키웠다.</x:v>
      </x:c>
      <x:c r="G56" s="18" t="str">
        <x:v>공개·방영 → 조회수·팬덤 확산 → 관련 기업 탐색 → 주가 반응 → 흥행 지속성 검증</x:v>
      </x:c>
      <x:c r="H56" s="31" t="str">
        <x:v>상승→하락</x:v>
      </x:c>
      <x:c r="I56" s="18" t="n">
        <x:f>COUNTIF('02_종목반응'!$B:$B,A56)</x:f>
        <x:v>1</x:v>
      </x:c>
      <x:c r="J56" s="18" t="str">
        <x:v>첫 주 약 70% 상승 후 고점 대비 30% 이상 하락</x:v>
      </x:c>
      <x:c r="K56" s="18" t="str">
        <x:v>단일 핵심 출처</x:v>
      </x:c>
      <x:c r="L56" s="18" t="str">
        <x:v>S113</x:v>
      </x:c>
    </x:row>
    <x:row r="57" ht="54" customHeight="1">
      <x:c r="A57" s="29" t="str">
        <x:v>EV0052</x:v>
      </x:c>
      <x:c r="B57" s="29" t="str">
        <x:v>2022</x:v>
      </x:c>
      <x:c r="C57" s="29" t="str">
        <x:v>스포츠·행사</x:v>
      </x:c>
      <x:c r="D57" s="29" t="str">
        <x:v>콘텐츠·팬덤</x:v>
      </x:c>
      <x:c r="E57" s="29" t="str">
        <x:v>카타르월드컵 치맥 소비</x:v>
      </x:c>
      <x:c r="F57" s="29" t="str">
        <x:v>심야 국가대표 경기와 거리 응원 열기가 치맥 주문·인증 소비로 직접 이어졌다.</x:v>
      </x:c>
      <x:c r="G57" s="29" t="str">
        <x:v>공개·방영 → 조회수·팬덤 확산 → 관련 기업 탐색 → 주가 반응 → 흥행 지속성 검증</x:v>
      </x:c>
      <x:c r="H57" s="31" t="str">
        <x:v>상승·하락</x:v>
      </x:c>
      <x:c r="I57" s="29" t="n">
        <x:f>COUNTIF('02_종목반응'!$B:$B,A57)</x:f>
        <x:v>2</x:v>
      </x:c>
      <x:c r="J57" s="29" t="str">
        <x:v>16강 진출 후 강세, 가나전 패배 후 하락</x:v>
      </x:c>
      <x:c r="K57" s="29" t="str">
        <x:v>단일 핵심 출처</x:v>
      </x:c>
      <x:c r="L57" s="29" t="str">
        <x:v>S114</x:v>
      </x:c>
    </x:row>
    <x:row r="58" ht="54" customHeight="1">
      <x:c r="A58" s="18" t="str">
        <x:v>EV0053</x:v>
      </x:c>
      <x:c r="B58" s="18" t="str">
        <x:v>2022</x:v>
      </x:c>
      <x:c r="C58" s="18" t="str">
        <x:v>스포츠·행사</x:v>
      </x:c>
      <x:c r="D58" s="18" t="str">
        <x:v>콘텐츠·팬덤</x:v>
      </x:c>
      <x:c r="E58" s="18" t="str">
        <x:v>카타르월드컵 치킨 수요</x:v>
      </x:c>
      <x:c r="F58" s="18" t="str">
        <x:v>국가대표 경기의 집단 응원과 배달 문화가 매 경기 치킨 주문 폭증 기대로 이어졌다.</x:v>
      </x:c>
      <x:c r="G58" s="18" t="str">
        <x:v>공개·방영 → 조회수·팬덤 확산 → 관련 기업 탐색 → 주가 반응 → 흥행 지속성 검증</x:v>
      </x:c>
      <x:c r="H58" s="30" t="str">
        <x:v>혼합·급등락</x:v>
      </x:c>
      <x:c r="I58" s="18" t="n">
        <x:f>COUNTIF('02_종목반응'!$B:$B,A58)</x:f>
        <x:v>2</x:v>
      </x:c>
      <x:c r="J58" s="18" t="str">
        <x:v>16강 진출 후 강세, 가나전 패배 후 하락</x:v>
      </x:c>
      <x:c r="K58" s="18" t="str">
        <x:v>단일 핵심 출처</x:v>
      </x:c>
      <x:c r="L58" s="18" t="str">
        <x:v>S114</x:v>
      </x:c>
    </x:row>
    <x:row r="59" ht="54" customHeight="1">
      <x:c r="A59" s="29" t="str">
        <x:v>EV0054</x:v>
      </x:c>
      <x:c r="B59" s="29" t="str">
        <x:v>2022</x:v>
      </x:c>
      <x:c r="C59" s="29" t="str">
        <x:v>식품·소비</x:v>
      </x:c>
      <x:c r="D59" s="29" t="str">
        <x:v>소비·품절</x:v>
      </x:c>
      <x:c r="E59" s="29" t="str">
        <x:v>포켓몬빵·띠부씰</x:v>
      </x:c>
      <x:c r="F59" s="29" t="str">
        <x:v>어린 시절 향수와 랜덤 띠부씰 수집·교환 욕구, 한정 공급이 결합해 품절 경쟁을 만들었다.</x:v>
      </x:c>
      <x:c r="G59" s="29" t="str">
        <x:v>제품 노출 → 후기·인증 확산 → 품절·검색 급증 → 관련 기업 주가 반응 → 재구매 검증</x:v>
      </x:c>
      <x:c r="H59" s="28" t="str">
        <x:v>상승</x:v>
      </x:c>
      <x:c r="I59" s="29" t="n">
        <x:f>COUNTIF('02_종목반응'!$B:$B,A59)</x:f>
        <x:v>1</x:v>
      </x:c>
      <x:c r="J59" s="29" t="str">
        <x:v>2월 20% 상승 뒤 열풍이 주가를 추가로 밀어올림</x:v>
      </x:c>
      <x:c r="K59" s="29" t="str">
        <x:v>단일 핵심 출처</x:v>
      </x:c>
      <x:c r="L59" s="29" t="str">
        <x:v>S54</x:v>
      </x:c>
    </x:row>
    <x:row r="60" ht="54" customHeight="1">
      <x:c r="A60" s="18" t="str">
        <x:v>EV0055</x:v>
      </x:c>
      <x:c r="B60" s="18" t="str">
        <x:v>2022</x:v>
      </x:c>
      <x:c r="C60" s="18" t="str">
        <x:v>콘텐츠·팬덤</x:v>
      </x:c>
      <x:c r="D60" s="18" t="str">
        <x:v>팬덤·활동중단</x:v>
      </x:c>
      <x:c r="E60" s="18" t="str">
        <x:v>BTS 단체활동 중단 발언</x:v>
      </x:c>
      <x:c r="F60" s="18" t="str">
        <x:v>멤버들의 유튜브 영상 속 단체활동 중단 취지 발언이 ‘해체·휴식’ 해석으로 글로벌 팬덤과 외신에 급속 확산됐다.</x:v>
      </x:c>
      <x:c r="G60" s="18" t="str">
        <x:v>유튜브 공개 → 해체 우려 번역 확산 → 하이브 급락 → 회사 설명</x:v>
      </x:c>
      <x:c r="H60" s="31" t="str">
        <x:v>하락</x:v>
      </x:c>
      <x:c r="I60" s="18" t="n">
        <x:f>COUNTIF('02_종목반응'!$B:$B,A60)</x:f>
        <x:v>1</x:v>
      </x:c>
      <x:c r="J60" s="18" t="str">
        <x:v>하이브 하루 21% 급락</x:v>
      </x:c>
      <x:c r="K60" s="18" t="str">
        <x:v>단일 핵심 출처</x:v>
      </x:c>
      <x:c r="L60" s="18" t="str">
        <x:v>S138</x:v>
      </x:c>
    </x:row>
    <x:row r="61" ht="54" customHeight="1">
      <x:c r="A61" s="29" t="str">
        <x:v>EV0056</x:v>
      </x:c>
      <x:c r="B61" s="29" t="str">
        <x:v>2022</x:v>
      </x:c>
      <x:c r="C61" s="29" t="str">
        <x:v>콘텐츠·팬덤</x:v>
      </x:c>
      <x:c r="D61" s="29" t="str">
        <x:v>팬덤·병역이슈</x:v>
      </x:c>
      <x:c r="E61" s="29" t="str">
        <x:v>BTS 입대 발표·불확실성 완화</x:v>
      </x:c>
      <x:c r="F61" s="29" t="str">
        <x:v>장기간 이어진 병역특례 논쟁이 팬덤·정치권·언론에서 반복되다 공식 입대 발표로 불확실성이 해소됐다.</x:v>
      </x:c>
      <x:c r="G61" s="29" t="str">
        <x:v>병역 논쟁 장기화 → 공식 발표 → 불확실성 완화 해석 → 하이브 상승</x:v>
      </x:c>
      <x:c r="H61" s="28" t="str">
        <x:v>상승</x:v>
      </x:c>
      <x:c r="I61" s="29" t="n">
        <x:f>COUNTIF('02_종목반응'!$B:$B,A61)</x:f>
        <x:v>1</x:v>
      </x:c>
      <x:c r="J61" s="29" t="str">
        <x:v>하이브 5.22% 상승</x:v>
      </x:c>
      <x:c r="K61" s="29" t="str">
        <x:v>단일 핵심 출처</x:v>
      </x:c>
      <x:c r="L61" s="29" t="str">
        <x:v>S139</x:v>
      </x:c>
    </x:row>
    <x:row r="62" ht="54" customHeight="1">
      <x:c r="A62" s="18" t="str">
        <x:v>EV0057</x:v>
      </x:c>
      <x:c r="B62" s="18" t="str">
        <x:v>2022</x:v>
      </x:c>
      <x:c r="C62" s="18" t="str">
        <x:v>식품·소비</x:v>
      </x:c>
      <x:c r="D62" s="18" t="str">
        <x:v>온라인 불매·사회논란</x:v>
      </x:c>
      <x:c r="E62" s="18" t="str">
        <x:v>SPC 공장 사고 불매운동</x:v>
      </x:c>
      <x:c r="F62" s="18" t="str">
        <x:v>공장 사망 사고와 이후 대응 논란이 SNS 해시태그·불매 인증으로 확산되며 브랜드 전반의 소비 거부 운동으로 이어졌다.</x:v>
      </x:c>
      <x:c r="G62" s="18" t="str">
        <x:v>사고 보도 → 대응 논란 → SNS 불매 해시태그 → SPC삼립 하락</x:v>
      </x:c>
      <x:c r="H62" s="31" t="str">
        <x:v>하락</x:v>
      </x:c>
      <x:c r="I62" s="18" t="n">
        <x:f>COUNTIF('02_종목반응'!$B:$B,A62)</x:f>
        <x:v>1</x:v>
      </x:c>
      <x:c r="J62" s="18" t="str">
        <x:v>SPC삼립 4.3% 하락</x:v>
      </x:c>
      <x:c r="K62" s="18" t="str">
        <x:v>단일 핵심 출처</x:v>
      </x:c>
      <x:c r="L62" s="18" t="str">
        <x:v>S134</x:v>
      </x:c>
    </x:row>
    <x:row r="63" ht="54" customHeight="1">
      <x:c r="A63" s="29" t="str">
        <x:v>EV0058</x:v>
      </x:c>
      <x:c r="B63" s="29" t="str">
        <x:v>2023</x:v>
      </x:c>
      <x:c r="C63" s="29" t="str">
        <x:v>정치·정책·사회</x:v>
      </x:c>
      <x:c r="D63" s="29" t="str">
        <x:v>정치·정책</x:v>
      </x:c>
      <x:c r="E63" s="29" t="str">
        <x:v>김동연</x:v>
      </x:c>
      <x:c r="F63" s="29" t="str">
        <x:v>선거 가능성과 지지율 변화가 커뮤니티의 ‘수혜주 찾기’를 자극했고, 학연·지연·인맥 같은 단순 연결이 빠르게 복제됐다.</x:v>
      </x:c>
      <x:c r="G63" s="29" t="str">
        <x:v>발언·보도 → 인맥·지역 관련주 찾기 → 온라인 확산 → 급등락 → 무관 공시·선거 종료</x:v>
      </x:c>
      <x:c r="H63" s="30" t="str">
        <x:v>미확인</x:v>
      </x:c>
      <x:c r="I63" s="29" t="n">
        <x:f>COUNTIF('02_종목반응'!$B:$B,A63)</x:f>
        <x:v>1</x:v>
      </x:c>
      <x:c r="J63" s="29" t="str">
        <x:v>이틀 사이 상한가와 약 10% 추가 급등</x:v>
      </x:c>
      <x:c r="K63" s="29" t="str">
        <x:v>단일 핵심 출처</x:v>
      </x:c>
      <x:c r="L63" s="29" t="str">
        <x:v>S18</x:v>
      </x:c>
    </x:row>
    <x:row r="64" ht="54" customHeight="1">
      <x:c r="A64" s="18" t="str">
        <x:v>EV0059</x:v>
      </x:c>
      <x:c r="B64" s="18" t="str">
        <x:v>2023</x:v>
      </x:c>
      <x:c r="C64" s="18" t="str">
        <x:v>드라마·콘텐츠</x:v>
      </x:c>
      <x:c r="D64" s="18" t="str">
        <x:v>글로벌 흥행·입소문</x:v>
      </x:c>
      <x:c r="E64" s="18" t="str">
        <x:v>더 글로리 글로벌 흥행</x:v>
      </x:c>
      <x:c r="F64" s="18" t="str">
        <x:v>학교폭력 복수극의 대사·캐릭터가 밈과 패러디로 재생산되고 넷플릭스 추천 알고리즘을 통해 글로벌 시청이 확산됐다.</x:v>
      </x:c>
      <x:c r="G64" s="18" t="str">
        <x:v>시즌1 공개 → 대사·패러디 확산 → 제작사 급등락 → 시즌2 기대 선반영</x:v>
      </x:c>
      <x:c r="H64" s="30" t="str">
        <x:v>급등락</x:v>
      </x:c>
      <x:c r="I64" s="18" t="n">
        <x:f>COUNTIF('02_종목반응'!$B:$B,A64)</x:f>
        <x:v>1</x:v>
      </x:c>
      <x:c r="J64" s="18" t="str">
        <x:v>공개 직후 스튜디오드래곤 급등락</x:v>
      </x:c>
      <x:c r="K64" s="18" t="str">
        <x:v>단일 핵심 출처</x:v>
      </x:c>
      <x:c r="L64" s="18" t="str">
        <x:v>S154</x:v>
      </x:c>
    </x:row>
    <x:row r="65" ht="54" customHeight="1">
      <x:c r="A65" s="29" t="str">
        <x:v>EV0060</x:v>
      </x:c>
      <x:c r="B65" s="29" t="str">
        <x:v>2023</x:v>
      </x:c>
      <x:c r="C65" s="29" t="str">
        <x:v>뷰티·패션</x:v>
      </x:c>
      <x:c r="D65" s="29" t="str">
        <x:v>소비·품절</x:v>
      </x:c>
      <x:c r="E65" s="29" t="str">
        <x:v>리들샷</x:v>
      </x:c>
      <x:c r="F65" s="29" t="str">
        <x:v>다이소의 낮은 체험 가격과 피부 시술을 연상시키는 독특한 사용감이 뷰티 후기와 품절 인증을 만들었다.</x:v>
      </x:c>
      <x:c r="G65" s="29" t="str">
        <x:v>제품 노출 → 후기·인증 확산 → 품절·검색 급증 → 관련 기업 주가 반응 → 재구매 검증</x:v>
      </x:c>
      <x:c r="H65" s="28" t="str">
        <x:v>상승</x:v>
      </x:c>
      <x:c r="I65" s="29" t="n">
        <x:f>COUNTIF('02_종목반응'!$B:$B,A65)</x:f>
        <x:v>1</x:v>
      </x:c>
      <x:c r="J65" s="29" t="str">
        <x:v>2023년 당시 연초 대비 3배 이상 상승</x:v>
      </x:c>
      <x:c r="K65" s="29" t="str">
        <x:v>단일 핵심 출처</x:v>
      </x:c>
      <x:c r="L65" s="29" t="str">
        <x:v>S56</x:v>
      </x:c>
    </x:row>
    <x:row r="66" ht="54" customHeight="1">
      <x:c r="A66" s="18" t="str">
        <x:v>EV0061</x:v>
      </x:c>
      <x:c r="B66" s="18" t="str">
        <x:v>2023</x:v>
      </x:c>
      <x:c r="C66" s="18" t="str">
        <x:v>과학·테마</x:v>
      </x:c>
      <x:c r="D66" s="18" t="str">
        <x:v>과학 주장·테마</x:v>
      </x:c>
      <x:c r="E66" s="18" t="str">
        <x:v>맥신 상용화 기대</x:v>
      </x:c>
      <x:c r="F66" s="18" t="str">
        <x:v>한국 연구진의 대량생산 가능성 보도가 초전도체 다음 테마를 찾던 온라인 투자자 수요와 결합해 관련성 탐색이 급속히 퍼졌다.</x:v>
      </x:c>
      <x:c r="G66" s="18" t="str">
        <x:v>연구 보도 → 온라인 관련주 찾기 → 3개 종목 동시 상한가 → 단기 테마 소진</x:v>
      </x:c>
      <x:c r="H66" s="28" t="str">
        <x:v>상승</x:v>
      </x:c>
      <x:c r="I66" s="18" t="n">
        <x:f>COUNTIF('02_종목반응'!$B:$B,A66)</x:f>
        <x:v>3</x:v>
      </x:c>
      <x:c r="J66" s="18" t="str">
        <x:v>태경산업·휴비스·경동인베스트 동시 상한가</x:v>
      </x:c>
      <x:c r="K66" s="18" t="str">
        <x:v>단일 핵심 출처</x:v>
      </x:c>
      <x:c r="L66" s="18" t="str">
        <x:v>S123</x:v>
      </x:c>
    </x:row>
    <x:row r="67" ht="54" customHeight="1">
      <x:c r="A67" s="29" t="str">
        <x:v>EV0062</x:v>
      </x:c>
      <x:c r="B67" s="29" t="str">
        <x:v>2023</x:v>
      </x:c>
      <x:c r="C67" s="29" t="str">
        <x:v>식품·소비</x:v>
      </x:c>
      <x:c r="D67" s="29" t="str">
        <x:v>소비·품절</x:v>
      </x:c>
      <x:c r="E67" s="29" t="str">
        <x:v>미국 냉동김밥 품절</x:v>
      </x:c>
      <x:c r="F67" s="29" t="str">
        <x:v>한식 친숙도 상승과 간편식 수요 속에서 해외 유통점 품절 영상이 희소성과 호기심을 키웠다.</x:v>
      </x:c>
      <x:c r="G67" s="29" t="str">
        <x:v>제품 노출 → 후기·인증 확산 → 품절·검색 급증 → 관련 기업 주가 반응 → 재구매 검증</x:v>
      </x:c>
      <x:c r="H67" s="30" t="str">
        <x:v>미확인</x:v>
      </x:c>
      <x:c r="I67" s="29" t="n">
        <x:f>COUNTIF('02_종목반응'!$B:$B,A67)</x:f>
        <x:v>1</x:v>
      </x:c>
      <x:c r="J67" s="29" t="str">
        <x:v>K푸드 SNS 열풍 수혜 보고서·주가 관심 확대; 정확 수치 미확인</x:v>
      </x:c>
      <x:c r="K67" s="29" t="str">
        <x:v>단일 핵심 출처</x:v>
      </x:c>
      <x:c r="L67" s="29" t="str">
        <x:v>S57</x:v>
      </x:c>
    </x:row>
    <x:row r="68" ht="54" customHeight="1">
      <x:c r="A68" s="18" t="str">
        <x:v>EV0063</x:v>
      </x:c>
      <x:c r="B68" s="18" t="str">
        <x:v>2023</x:v>
      </x:c>
      <x:c r="C68" s="18" t="str">
        <x:v>콘텐츠·팬덤</x:v>
      </x:c>
      <x:c r="D68" s="18" t="str">
        <x:v>팬덤·계약루머</x:v>
      </x:c>
      <x:c r="E68" s="18" t="str">
        <x:v>블랙핑크 재계약 불확실성→확정</x:v>
      </x:c>
      <x:c r="F68" s="18" t="str">
        <x:v>멤버별 이적설과 재계약 루머가 팬 커뮤니티·외신을 통해 반복되며 YG의 핵심 IP 존속 여부가 일일 재료가 됐다.</x:v>
      </x:c>
      <x:c r="G68" s="18" t="str">
        <x:v>계약 만료 임박 → 이적설 반복 → 한 달 급락 → 그룹 계약 확정 → 장중 급등</x:v>
      </x:c>
      <x:c r="H68" s="31" t="str">
        <x:v>하락→상승</x:v>
      </x:c>
      <x:c r="I68" s="18" t="n">
        <x:f>COUNTIF('02_종목반응'!$B:$B,A68)</x:f>
        <x:v>1</x:v>
      </x:c>
      <x:c r="J68" s="18" t="str">
        <x:v>한 달 24.28% 하락 뒤 계약 확정일 장중 22% 상승</x:v>
      </x:c>
      <x:c r="K68" s="18" t="str">
        <x:v>복수 출처 교차확인</x:v>
      </x:c>
      <x:c r="L68" s="18" t="str">
        <x:v>S141;S142</x:v>
      </x:c>
    </x:row>
    <x:row r="69" ht="54" customHeight="1">
      <x:c r="A69" s="29" t="str">
        <x:v>EV0064</x:v>
      </x:c>
      <x:c r="B69" s="29" t="str">
        <x:v>2023</x:v>
      </x:c>
      <x:c r="C69" s="29" t="str">
        <x:v>생활·건강</x:v>
      </x:c>
      <x:c r="D69" s="29" t="str">
        <x:v>공포·사재기</x:v>
      </x:c>
      <x:c r="E69" s="29" t="str">
        <x:v>빈대 공포 확산</x:v>
      </x:c>
      <x:c r="F69" s="29" t="str">
        <x:v>전국 빈대 출몰 제보와 사진이 뉴스·SNS에서 반복 노출되면서 살충제 품절과 방역 수요 공포가 커졌다.</x:v>
      </x:c>
      <x:c r="G69" s="29" t="str">
        <x:v>출몰 제보 → SNS 사진·뉴스 확산 → 살충제 판매 급증 → 제약·방역주 급등</x:v>
      </x:c>
      <x:c r="H69" s="28" t="str">
        <x:v>상승</x:v>
      </x:c>
      <x:c r="I69" s="29" t="n">
        <x:f>COUNTIF('02_종목반응'!$B:$B,A69)</x:f>
        <x:v>2</x:v>
      </x:c>
      <x:c r="J69" s="29" t="str">
        <x:v>경남제약 주간 39.2%, 동성제약 16.2% 상승</x:v>
      </x:c>
      <x:c r="K69" s="29" t="str">
        <x:v>단일 핵심 출처</x:v>
      </x:c>
      <x:c r="L69" s="29" t="str">
        <x:v>S124</x:v>
      </x:c>
    </x:row>
    <x:row r="70" ht="54" customHeight="1">
      <x:c r="A70" s="18" t="str">
        <x:v>EV0065</x:v>
      </x:c>
      <x:c r="B70" s="18" t="str">
        <x:v>2023</x:v>
      </x:c>
      <x:c r="C70" s="18" t="str">
        <x:v>영화·콘텐츠</x:v>
      </x:c>
      <x:c r="D70" s="18" t="str">
        <x:v>흥행·입소문</x:v>
      </x:c>
      <x:c r="E70" s="18" t="str">
        <x:v>서울의 봄 천만 흥행</x:v>
      </x:c>
      <x:c r="F70" s="18" t="str">
        <x:v>현대사 소재와 ‘분노 유발’ 관람 후기, 심박수 챌린지 등이 SNS에서 번지며 세대 간 입소문이 커졌다.</x:v>
      </x:c>
      <x:c r="G70" s="18" t="str">
        <x:v>개봉 → 관람 후기·심박수 챌린지 → 100만 돌파 → 콘텐트리중앙 상승 → 천만 관객</x:v>
      </x:c>
      <x:c r="H70" s="28" t="str">
        <x:v>상승</x:v>
      </x:c>
      <x:c r="I70" s="18" t="n">
        <x:f>COUNTIF('02_종목반응'!$B:$B,A70)</x:f>
        <x:v>1</x:v>
      </x:c>
      <x:c r="J70" s="18" t="str">
        <x:v>흥행 초기 콘텐트리중앙 동반 상승</x:v>
      </x:c>
      <x:c r="K70" s="18" t="str">
        <x:v>단일 핵심 출처</x:v>
      </x:c>
      <x:c r="L70" s="18" t="str">
        <x:v>S160</x:v>
      </x:c>
    </x:row>
    <x:row r="71" ht="54" customHeight="1">
      <x:c r="A71" s="29" t="str">
        <x:v>EV0066</x:v>
      </x:c>
      <x:c r="B71" s="29" t="str">
        <x:v>2023</x:v>
      </x:c>
      <x:c r="C71" s="29" t="str">
        <x:v>콘텐츠·팬덤</x:v>
      </x:c>
      <x:c r="D71" s="29" t="str">
        <x:v>콘텐츠·팬덤</x:v>
      </x:c>
      <x:c r="E71" s="29" t="str">
        <x:v>아기상어 제작사 IPO 기대</x:v>
      </x:c>
      <x:c r="F71" s="29" t="str">
        <x:v>‘아기상어’의 세계적 조회 수 기록이 제작사 상장 기대와 결합해 관련 기업 찾기로 이어졌다.</x:v>
      </x:c>
      <x:c r="G71" s="29" t="str">
        <x:v>공개·방영 → 조회수·팬덤 확산 → 관련 기업 탐색 → 주가 반응 → 흥행 지속성 검증</x:v>
      </x:c>
      <x:c r="H71" s="28" t="str">
        <x:v>상승</x:v>
      </x:c>
      <x:c r="I71" s="29" t="n">
        <x:f>COUNTIF('02_종목반응'!$B:$B,A71)</x:f>
        <x:v>1</x:v>
      </x:c>
      <x:c r="J71" s="29" t="str">
        <x:v>상장 추진 보도에 상한가</x:v>
      </x:c>
      <x:c r="K71" s="29" t="str">
        <x:v>단일 핵심 출처</x:v>
      </x:c>
      <x:c r="L71" s="29" t="str">
        <x:v>S60</x:v>
      </x:c>
    </x:row>
    <x:row r="72" ht="54" customHeight="1">
      <x:c r="A72" s="18" t="str">
        <x:v>EV0067</x:v>
      </x:c>
      <x:c r="B72" s="18" t="str">
        <x:v>2023</x:v>
      </x:c>
      <x:c r="C72" s="18" t="str">
        <x:v>기술·플랫폼</x:v>
      </x:c>
      <x:c r="D72" s="18" t="str">
        <x:v>과학·기술 테마</x:v>
      </x:c>
      <x:c r="E72" s="18" t="str">
        <x:v>챗GPT 돌풍</x:v>
      </x:c>
      <x:c r="F72" s="18" t="str">
        <x:v>누구나 바로 체험할 수 있는 대화형 AI가 놀라운 결과물을 보여주며 사용 후기와 직업 대체 논쟁을 폭발시켰다.</x:v>
      </x:c>
      <x:c r="G72" s="18" t="str">
        <x:v>발화 → 포털·SNS 확산 → 관련주 묶기 → 주가 반응 → 기사·공시로 검증</x:v>
      </x:c>
      <x:c r="H72" s="28" t="str">
        <x:v>상승</x:v>
      </x:c>
      <x:c r="I72" s="18" t="n">
        <x:f>COUNTIF('02_종목반응'!$B:$B,A72)</x:f>
        <x:v>6</x:v>
      </x:c>
      <x:c r="J72" s="18" t="str">
        <x:v>당일 상한가 29.93%</x:v>
      </x:c>
      <x:c r="K72" s="18" t="str">
        <x:v>단일 핵심 출처</x:v>
      </x:c>
      <x:c r="L72" s="18" t="str">
        <x:v>S115</x:v>
      </x:c>
    </x:row>
    <x:row r="73" ht="54" customHeight="1">
      <x:c r="A73" s="29" t="str">
        <x:v>EV0068</x:v>
      </x:c>
      <x:c r="B73" s="29" t="str">
        <x:v>2023</x:v>
      </x:c>
      <x:c r="C73" s="29" t="str">
        <x:v>정치·정책·사회</x:v>
      </x:c>
      <x:c r="D73" s="29" t="str">
        <x:v>정치·정책</x:v>
      </x:c>
      <x:c r="E73" s="29" t="str">
        <x:v>한동훈</x:v>
      </x:c>
      <x:c r="F73" s="29" t="str">
        <x:v>선거 가능성과 지지율 변화가 커뮤니티의 ‘수혜주 찾기’를 자극했고, 학연·지연·인맥 같은 단순 연결이 빠르게 복제됐다.</x:v>
      </x:c>
      <x:c r="G73" s="29" t="str">
        <x:v>발언·보도 → 인맥·지역 관련주 찾기 → 온라인 확산 → 급등락 → 무관 공시·선거 종료</x:v>
      </x:c>
      <x:c r="H73" s="30" t="str">
        <x:v>혼합·급등락</x:v>
      </x:c>
      <x:c r="I73" s="29" t="n">
        <x:f>COUNTIF('02_종목반응'!$B:$B,A73)</x:f>
        <x:v>2</x:v>
      </x:c>
      <x:c r="J73" s="29" t="str">
        <x:v>11월 중 120% 급등</x:v>
      </x:c>
      <x:c r="K73" s="29" t="str">
        <x:v>단일 핵심 출처</x:v>
      </x:c>
      <x:c r="L73" s="29" t="str">
        <x:v>S17</x:v>
      </x:c>
    </x:row>
    <x:row r="74" ht="54" customHeight="1">
      <x:c r="A74" s="18" t="str">
        <x:v>EV0069</x:v>
      </x:c>
      <x:c r="B74" s="18" t="str">
        <x:v>2023</x:v>
      </x:c>
      <x:c r="C74" s="18" t="str">
        <x:v>인물·관계·기타</x:v>
      </x:c>
      <x:c r="D74" s="18" t="str">
        <x:v>유행·관심</x:v>
      </x:c>
      <x:c r="E74" s="18" t="str">
        <x:v>한동훈·이정재</x:v>
      </x:c>
      <x:c r="F74" s="18" t="str">
        <x:v>두 인물의 식사 사진이 온라인에서 화제가 되며 실제 사업과 무관한 인맥 연결이 증시 테마로 번졌다.</x:v>
      </x:c>
      <x:c r="G74" s="18" t="str">
        <x:v>발화 → 포털·SNS 확산 → 관련주 묶기 → 주가 반응 → 기사·공시로 검증</x:v>
      </x:c>
      <x:c r="H74" s="30" t="str">
        <x:v>미확인</x:v>
      </x:c>
      <x:c r="I74" s="18" t="n">
        <x:f>COUNTIF('02_종목반응'!$B:$B,A74)</x:f>
        <x:v>2</x:v>
      </x:c>
      <x:c r="J74" s="18" t="str">
        <x:v>7거래일 연속 상한가</x:v>
      </x:c>
      <x:c r="K74" s="18" t="str">
        <x:v>복수 출처 교차확인</x:v>
      </x:c>
      <x:c r="L74" s="18" t="str">
        <x:v>S15;S16</x:v>
      </x:c>
    </x:row>
    <x:row r="75" ht="54" customHeight="1">
      <x:c r="A75" s="29" t="str">
        <x:v>EV0070</x:v>
      </x:c>
      <x:c r="B75" s="29" t="str">
        <x:v>2023</x:v>
      </x:c>
      <x:c r="C75" s="29" t="str">
        <x:v>식품·소비</x:v>
      </x:c>
      <x:c r="D75" s="29" t="str">
        <x:v>공포·사재기</x:v>
      </x:c>
      <x:c r="E75" s="29" t="str">
        <x:v>후쿠시마 오염수·천일염 사재기</x:v>
      </x:c>
      <x:c r="F75" s="29" t="str">
        <x:v>오염수 방류를 앞두고 소금 오염 가능성에 대한 불안과 사재기 사진이 온라인에서 확산됐다.</x:v>
      </x:c>
      <x:c r="G75" s="29" t="str">
        <x:v>방류 뉴스 → 사재기 인증·품절 → 소금 관련주 급등 → 과열 인식 뒤 급락</x:v>
      </x:c>
      <x:c r="H75" s="30" t="str">
        <x:v>급등→급락</x:v>
      </x:c>
      <x:c r="I75" s="29" t="n">
        <x:f>COUNTIF('02_종목반응'!$B:$B,A75)</x:f>
        <x:v>2</x:v>
      </x:c>
      <x:c r="J75" s="29" t="str">
        <x:v>인산가·신송홀딩스 급등 뒤 급락</x:v>
      </x:c>
      <x:c r="K75" s="29" t="str">
        <x:v>단일 핵심 출처</x:v>
      </x:c>
      <x:c r="L75" s="29" t="str">
        <x:v>S127</x:v>
      </x:c>
    </x:row>
    <x:row r="76" ht="54" customHeight="1">
      <x:c r="A76" s="18" t="str">
        <x:v>EV0071</x:v>
      </x:c>
      <x:c r="B76" s="18" t="str">
        <x:v>2023</x:v>
      </x:c>
      <x:c r="C76" s="18" t="str">
        <x:v>과학·테마</x:v>
      </x:c>
      <x:c r="D76" s="18" t="str">
        <x:v>과학 주장·SNS</x:v>
      </x:c>
      <x:c r="E76" s="18" t="str">
        <x:v>LK-99 상온 초전도체 주장</x:v>
      </x:c>
      <x:c r="F76" s="18" t="str">
        <x:v>국내 연구진의 상온·상압 초전도체 주장 논문이 커뮤니티와 SNS에서 재생산되고 해외 검증 글까지 실시간 중계되며 FOMO가 형성됐다.</x:v>
      </x:c>
      <x:c r="G76" s="18" t="str">
        <x:v>논문 공개 → SNS·커뮤니티 폭증 → 무관 종목까지 상한가 → 해외 반박 급락 → 긍정 SNS 글에 재급등</x:v>
      </x:c>
      <x:c r="H76" s="30" t="str">
        <x:v>급등→급락</x:v>
      </x:c>
      <x:c r="I76" s="18" t="n">
        <x:f>COUNTIF('02_종목반응'!$B:$B,A76)</x:f>
        <x:v>8</x:v>
      </x:c>
      <x:c r="J76" s="18" t="str">
        <x:v>2~4배 급등 뒤 다수 종목 하한가·20%대 급락</x:v>
      </x:c>
      <x:c r="K76" s="18" t="str">
        <x:v>복수 출처 교차확인</x:v>
      </x:c>
      <x:c r="L76" s="18" t="str">
        <x:v>S119;S120;S121;S122</x:v>
      </x:c>
    </x:row>
    <x:row r="77" ht="54" customHeight="1">
      <x:c r="A77" s="29" t="str">
        <x:v>EV0072</x:v>
      </x:c>
      <x:c r="B77" s="29" t="str">
        <x:v>2024</x:v>
      </x:c>
      <x:c r="C77" s="29" t="str">
        <x:v>정치·정책·사회</x:v>
      </x:c>
      <x:c r="D77" s="29" t="str">
        <x:v>정치·정책</x:v>
      </x:c>
      <x:c r="E77" s="29" t="str">
        <x:v>동해 심해 가스전</x:v>
      </x:c>
      <x:c r="F77" s="29" t="str">
        <x:v>정부의 대형 매장 가능성 발표가 ‘한국판 산유국’ 서사를 만들며 탐사·시추·배관주 찾기로 확산됐다.</x:v>
      </x:c>
      <x:c r="G77" s="29" t="str">
        <x:v>발언·보도 → 인맥·지역 관련주 찾기 → 온라인 확산 → 급등락 → 무관 공시·선거 종료</x:v>
      </x:c>
      <x:c r="H77" s="30" t="str">
        <x:v>혼합·급등락</x:v>
      </x:c>
      <x:c r="I77" s="29" t="n">
        <x:f>COUNTIF('02_종목반응'!$B:$B,A77)</x:f>
        <x:v>7</x:v>
      </x:c>
      <x:c r="J77" s="29" t="str">
        <x:v>발표 뒤 38% 상승</x:v>
      </x:c>
      <x:c r="K77" s="29" t="str">
        <x:v>복수 출처 교차확인</x:v>
      </x:c>
      <x:c r="L77" s="29" t="str">
        <x:v>S27;S28;S30;S29</x:v>
      </x:c>
    </x:row>
    <x:row r="78" ht="54" customHeight="1">
      <x:c r="A78" s="18" t="str">
        <x:v>EV0073</x:v>
      </x:c>
      <x:c r="B78" s="18" t="str">
        <x:v>2024</x:v>
      </x:c>
      <x:c r="C78" s="18" t="str">
        <x:v>음악·팬덤</x:v>
      </x:c>
      <x:c r="D78" s="18" t="str">
        <x:v>글로벌 밈·숏폼</x:v>
      </x:c>
      <x:c r="E78" s="18" t="str">
        <x:v>로제 APT. 글로벌 밈</x:v>
      </x:c>
      <x:c r="F78" s="18" t="str">
        <x:v>한국 술게임 구호와 단순한 후렴이 틱톡·릴스·유튜브 챌린지에 최적화돼 전 세계 커버와 패러디가 폭발했다.</x:v>
      </x:c>
      <x:c r="G78" s="18" t="str">
        <x:v>음원·MV 공개 → 숏폼 챌린지 → 글로벌 차트 1위 → YG PLUS 2연속 상한가 → 차익 급락</x:v>
      </x:c>
      <x:c r="H78" s="30" t="str">
        <x:v>혼합·급등락</x:v>
      </x:c>
      <x:c r="I78" s="18" t="n">
        <x:f>COUNTIF('02_종목반응'!$B:$B,A78)</x:f>
        <x:v>2</x:v>
      </x:c>
      <x:c r="J78" s="18" t="str">
        <x:v>YG PLUS 6거래일 157.84% 상승 뒤 이틀 급락</x:v>
      </x:c>
      <x:c r="K78" s="18" t="str">
        <x:v>복수 출처 교차확인</x:v>
      </x:c>
      <x:c r="L78" s="18" t="str">
        <x:v>S158;S159</x:v>
      </x:c>
    </x:row>
    <x:row r="79" ht="54" customHeight="1">
      <x:c r="A79" s="29" t="str">
        <x:v>EV0074</x:v>
      </x:c>
      <x:c r="B79" s="29" t="str">
        <x:v>2024</x:v>
      </x:c>
      <x:c r="C79" s="29" t="str">
        <x:v>키즈·콘텐츠</x:v>
      </x:c>
      <x:c r="D79" s="29" t="str">
        <x:v>캐릭터·팬덤</x:v>
      </x:c>
      <x:c r="E79" s="29" t="str">
        <x:v>사랑의 하츄핑 신드롬</x:v>
      </x:c>
      <x:c r="F79" s="29" t="str">
        <x:v>어린이 팬덤과 부모 세대의 관람 후기, 굿즈 인증, 밈이 겹치며 국산 애니메이션 100만 관객 기대가 커졌다.</x:v>
      </x:c>
      <x:c r="G79" s="29" t="str">
        <x:v>개봉 → 부모·키즈 입소문 → 굿즈·밈 확산 → 100만 기대 → SAMG엔터 연일 급등</x:v>
      </x:c>
      <x:c r="H79" s="28" t="str">
        <x:v>상승</x:v>
      </x:c>
      <x:c r="I79" s="29" t="n">
        <x:f>COUNTIF('02_종목반응'!$B:$B,A79)</x:f>
        <x:v>1</x:v>
      </x:c>
      <x:c r="J79" s="29" t="str">
        <x:v>100만 관객 기대 구간에서 SAMG엔터 연일 급등</x:v>
      </x:c>
      <x:c r="K79" s="29" t="str">
        <x:v>단일 핵심 출처</x:v>
      </x:c>
      <x:c r="L79" s="29" t="str">
        <x:v>S143</x:v>
      </x:c>
    </x:row>
    <x:row r="80" ht="54" customHeight="1">
      <x:c r="A80" s="18" t="str">
        <x:v>EV0075</x:v>
      </x:c>
      <x:c r="B80" s="18" t="str">
        <x:v>2024</x:v>
      </x:c>
      <x:c r="C80" s="18" t="str">
        <x:v>드라마·팬덤</x:v>
      </x:c>
      <x:c r="D80" s="18" t="str">
        <x:v>흥행·팬덤</x:v>
      </x:c>
      <x:c r="E80" s="18" t="str">
        <x:v>선재 업고 튀어 신드롬</x:v>
      </x:c>
      <x:c r="F80" s="18" t="str">
        <x:v>짧은 영상, OST, 변우석 팬덤과 팝업스토어 인증이 SNS를 장악하며 낮은 시청률 대비 압도적 화제성이 형성됐다.</x:v>
      </x:c>
      <x:c r="G80" s="18" t="str">
        <x:v>방영 → 숏폼·OST 역주행 → 팬덤 급증 → 팝업 품절 → CJ ENM 반등</x:v>
      </x:c>
      <x:c r="H80" s="28" t="str">
        <x:v>상승</x:v>
      </x:c>
      <x:c r="I80" s="18" t="n">
        <x:f>COUNTIF('02_종목반응'!$B:$B,A80)</x:f>
        <x:v>1</x:v>
      </x:c>
      <x:c r="J80" s="18" t="str">
        <x:v>저점 대비 CJ ENM 약 70% 반등 구간에 흥행 모멘텀</x:v>
      </x:c>
      <x:c r="K80" s="18" t="str">
        <x:v>단일 핵심 출처</x:v>
      </x:c>
      <x:c r="L80" s="18" t="str">
        <x:v>S153</x:v>
      </x:c>
    </x:row>
    <x:row r="81" ht="54" customHeight="1">
      <x:c r="A81" s="29" t="str">
        <x:v>EV0076</x:v>
      </x:c>
      <x:c r="B81" s="29" t="str">
        <x:v>2024</x:v>
      </x:c>
      <x:c r="C81" s="29" t="str">
        <x:v>영화·콘텐츠</x:v>
      </x:c>
      <x:c r="D81" s="29" t="str">
        <x:v>흥행·입소문</x:v>
      </x:c>
      <x:c r="E81" s="29" t="str">
        <x:v>파묘 천만 흥행</x:v>
      </x:c>
      <x:c r="F81" s="29" t="str">
        <x:v>오컬트와 한국 민속 소재, 배우 장면 밈·팬아트가 SNS에서 확산되며 장기 흥행으로 이어졌다.</x:v>
      </x:c>
      <x:c r="G81" s="29" t="str">
        <x:v>개봉 → SNS 후기·팬아트 → 1주일 1년 신고가 → 천만 관객</x:v>
      </x:c>
      <x:c r="H81" s="28" t="str">
        <x:v>상승</x:v>
      </x:c>
      <x:c r="I81" s="29" t="n">
        <x:f>COUNTIF('02_종목반응'!$B:$B,A81)</x:f>
        <x:v>2</x:v>
      </x:c>
      <x:c r="J81" s="29" t="str">
        <x:v>쇼박스 개봉 1주일 만에 1년 신고가</x:v>
      </x:c>
      <x:c r="K81" s="29" t="str">
        <x:v>단일 핵심 출처</x:v>
      </x:c>
      <x:c r="L81" s="29" t="str">
        <x:v>S144</x:v>
      </x:c>
    </x:row>
    <x:row r="82" ht="54" customHeight="1">
      <x:c r="A82" s="18" t="str">
        <x:v>EV0077</x:v>
      </x:c>
      <x:c r="B82" s="18" t="str">
        <x:v>2024</x:v>
      </x:c>
      <x:c r="C82" s="18" t="str">
        <x:v>콘텐츠·팬덤</x:v>
      </x:c>
      <x:c r="D82" s="18" t="str">
        <x:v>인물·관계·논란</x:v>
      </x:c>
      <x:c r="E82" s="18" t="str">
        <x:v>하이브-어도어·민희진 갈등</x:v>
      </x:c>
      <x:c r="F82" s="18" t="str">
        <x:v>감사 착수와 기자회견이 밈·패러디·실시간 중계로 번지며 뉴진스 활동 불확실성과 경영권 갈등 서사가 팬덤 밖까지 확산됐다.</x:v>
      </x:c>
      <x:c r="G82" s="18" t="str">
        <x:v>감사 보도 → 양측 폭로 → 기자회견 밈화 → 하이브 급락 → 화해 제안에 장중 반등</x:v>
      </x:c>
      <x:c r="H82" s="30" t="str">
        <x:v>급락→반등</x:v>
      </x:c>
      <x:c r="I82" s="18" t="n">
        <x:f>COUNTIF('02_종목반응'!$B:$B,A82)</x:f>
        <x:v>1</x:v>
      </x:c>
      <x:c r="J82" s="18" t="str">
        <x:v>감사 보도일 하이브 7.81% 하락</x:v>
      </x:c>
      <x:c r="K82" s="18" t="str">
        <x:v>복수 출처 교차확인</x:v>
      </x:c>
      <x:c r="L82" s="18" t="str">
        <x:v>S130;S131</x:v>
      </x:c>
    </x:row>
    <x:row r="83" ht="54" customHeight="1">
      <x:c r="A83" s="29" t="str">
        <x:v>EV0078</x:v>
      </x:c>
      <x:c r="B83" s="29" t="str">
        <x:v>2024</x:v>
      </x:c>
      <x:c r="C83" s="29" t="str">
        <x:v>콘텐츠·팬덤</x:v>
      </x:c>
      <x:c r="D83" s="29" t="str">
        <x:v>콘텐츠·팬덤</x:v>
      </x:c>
      <x:c r="E83" s="29" t="str">
        <x:v>한강 노벨문학상·텍스트힙</x:v>
      </x:c>
      <x:c r="F83" s="29" t="str">
        <x:v>한국 최초 노벨문학상이라는 상징성과 즉시 품절, 독서 인증·‘텍스트힙’ 문화가 관심을 확장했다.</x:v>
      </x:c>
      <x:c r="G83" s="29" t="str">
        <x:v>공개·방영 → 조회수·팬덤 확산 → 관련 기업 탐색 → 주가 반응 → 흥행 지속성 검증</x:v>
      </x:c>
      <x:c r="H83" s="28" t="str">
        <x:v>상승</x:v>
      </x:c>
      <x:c r="I83" s="29" t="n">
        <x:f>COUNTIF('02_종목반응'!$B:$B,A83)</x:f>
        <x:v>4</x:v>
      </x:c>
      <x:c r="J83" s="29" t="str">
        <x:v>당일 상한가 29.81%</x:v>
      </x:c>
      <x:c r="K83" s="29" t="str">
        <x:v>단일 핵심 출처</x:v>
      </x:c>
      <x:c r="L83" s="29" t="str">
        <x:v>S116</x:v>
      </x:c>
    </x:row>
    <x:row r="84" ht="54" customHeight="1">
      <x:c r="A84" s="18" t="str">
        <x:v>EV0079</x:v>
      </x:c>
      <x:c r="B84" s="18" t="str">
        <x:v>2024</x:v>
      </x:c>
      <x:c r="C84" s="18" t="str">
        <x:v>뷰티·패션</x:v>
      </x:c>
      <x:c r="D84" s="18" t="str">
        <x:v>소비·품절</x:v>
      </x:c>
      <x:c r="E84" s="18" t="str">
        <x:v>K뷰티 글로벌 바이럴</x:v>
      </x:c>
      <x:c r="F84" s="18" t="str">
        <x:v>틱톡의 짧은 사용 후기와 전후 비교, 합리적 가격·독특한 제형이 해외 소비자의 자발적 추천을 만들었다.</x:v>
      </x:c>
      <x:c r="G84" s="18" t="str">
        <x:v>제품 노출 → 후기·인증 확산 → 품절·검색 급증 → 관련 기업 주가 반응 → 재구매 검증</x:v>
      </x:c>
      <x:c r="H84" s="28" t="str">
        <x:v>상승</x:v>
      </x:c>
      <x:c r="I84" s="18" t="n">
        <x:f>COUNTIF('02_종목반응'!$B:$B,A84)</x:f>
        <x:v>1</x:v>
      </x:c>
      <x:c r="J84" s="18" t="str">
        <x:v>2024년 기사 기준 연초 이후 주가 5배 이상</x:v>
      </x:c>
      <x:c r="K84" s="18" t="str">
        <x:v>단일 핵심 출처</x:v>
      </x:c>
      <x:c r="L84" s="18" t="str">
        <x:v>S65</x:v>
      </x:c>
    </x:row>
    <x:row r="85" ht="54" customHeight="1">
      <x:c r="A85" s="29" t="str">
        <x:v>EV0080</x:v>
      </x:c>
      <x:c r="B85" s="29" t="str">
        <x:v>2024</x:v>
      </x:c>
      <x:c r="C85" s="29" t="str">
        <x:v>식품·소비</x:v>
      </x:c>
      <x:c r="D85" s="29" t="str">
        <x:v>소비·품절</x:v>
      </x:c>
      <x:c r="E85" s="29" t="str">
        <x:v>SNS발 두바이 초콜릿 열풍</x:v>
      </x:c>
      <x:c r="F85" s="29" t="str">
        <x:v>해외 인플루언서 영상의 강한 시각·식감 자극과 국내 한정 물량이 품절·오픈런을 만들었다.</x:v>
      </x:c>
      <x:c r="G85" s="29" t="str">
        <x:v>제품 노출 → 후기·인증 확산 → 품절·검색 급증 → 관련 기업 주가 반응 → 재구매 검증</x:v>
      </x:c>
      <x:c r="H85" s="30" t="str">
        <x:v>가격 미확인</x:v>
      </x:c>
      <x:c r="I85" s="29" t="n">
        <x:f>COUNTIF('02_종목반응'!$B:$B,A85)</x:f>
        <x:v>1</x:v>
      </x:c>
      <x:c r="J85" s="29" t="str">
        <x:v>CU 초도 20만개 하루 완판; 주가 반응 미검증</x:v>
      </x:c>
      <x:c r="K85" s="29" t="str">
        <x:v>단일 핵심 출처</x:v>
      </x:c>
      <x:c r="L85" s="29" t="str">
        <x:v>S117</x:v>
      </x:c>
    </x:row>
    <x:row r="86" ht="54" customHeight="1">
      <x:c r="A86" s="18" t="str">
        <x:v>EV0081</x:v>
      </x:c>
      <x:c r="B86" s="18" t="str">
        <x:v>2025</x:v>
      </x:c>
      <x:c r="C86" s="18" t="str">
        <x:v>정치·정책·사회</x:v>
      </x:c>
      <x:c r="D86" s="18" t="str">
        <x:v>정치·정책</x:v>
      </x:c>
      <x:c r="E86" s="18" t="str">
        <x:v>김문수</x:v>
      </x:c>
      <x:c r="F86" s="18" t="str">
        <x:v>고향·지역 연고라는 약한 연결이 지지율·선거 뉴스와 결합해 정치 테마로 빠르게 묶였다.</x:v>
      </x:c>
      <x:c r="G86" s="18" t="str">
        <x:v>발언·보도 → 인맥·지역 관련주 찾기 → 온라인 확산 → 급등락 → 무관 공시·선거 종료</x:v>
      </x:c>
      <x:c r="H86" s="28" t="str">
        <x:v>상승</x:v>
      </x:c>
      <x:c r="I86" s="18" t="n">
        <x:f>COUNTIF('02_종목반응'!$B:$B,A86)</x:f>
        <x:v>1</x:v>
      </x:c>
      <x:c r="J86" s="18" t="str">
        <x:v>2025년 4월 초까지 293.66%</x:v>
      </x:c>
      <x:c r="K86" s="18" t="str">
        <x:v>복수 출처 교차확인</x:v>
      </x:c>
      <x:c r="L86" s="18" t="str">
        <x:v>S19;S20</x:v>
      </x:c>
    </x:row>
    <x:row r="87" ht="54" customHeight="1">
      <x:c r="A87" s="29" t="str">
        <x:v>EV0082</x:v>
      </x:c>
      <x:c r="B87" s="29" t="str">
        <x:v>2025</x:v>
      </x:c>
      <x:c r="C87" s="29" t="str">
        <x:v>뷰티·패션</x:v>
      </x:c>
      <x:c r="D87" s="29" t="str">
        <x:v>소비·품절</x:v>
      </x:c>
      <x:c r="E87" s="29" t="str">
        <x:v>메디큐브·AGE-R</x:v>
      </x:c>
      <x:c r="F87" s="29" t="str">
        <x:v>홈뷰티 기기로 전문 시술 효과를 기대할 수 있다는 메시지와 인플루언서 전후 비교 영상이 구매를 자극했다.</x:v>
      </x:c>
      <x:c r="G87" s="29" t="str">
        <x:v>제품 노출 → 후기·인증 확산 → 품절·검색 급증 → 관련 기업 주가 반응 → 재구매 검증</x:v>
      </x:c>
      <x:c r="H87" s="28" t="str">
        <x:v>상승</x:v>
      </x:c>
      <x:c r="I87" s="29" t="n">
        <x:f>COUNTIF('02_종목반응'!$B:$B,A87)</x:f>
        <x:v>1</x:v>
      </x:c>
      <x:c r="J87" s="29" t="str">
        <x:v>2026년 4월 기준 연초 대비 80.04% 상승</x:v>
      </x:c>
      <x:c r="K87" s="29" t="str">
        <x:v>단일 핵심 출처</x:v>
      </x:c>
      <x:c r="L87" s="29" t="str">
        <x:v>S64</x:v>
      </x:c>
    </x:row>
    <x:row r="88" ht="54" customHeight="1">
      <x:c r="A88" s="18" t="str">
        <x:v>EV0083</x:v>
      </x:c>
      <x:c r="B88" s="18" t="str">
        <x:v>2025</x:v>
      </x:c>
      <x:c r="C88" s="18" t="str">
        <x:v>식품·소비</x:v>
      </x:c>
      <x:c r="D88" s="18" t="str">
        <x:v>유튜브·가격논란</x:v>
      </x:c>
      <x:c r="E88" s="18" t="str">
        <x:v>빽햄 가격 논란</x:v>
      </x:c>
      <x:c r="F88" s="18" t="str">
        <x:v>유튜브와 커뮤니티에서 할인 전 정가·돼지고기 함량 비교 영상이 확산되고 백종원의 해명 영상이 다시 화제가 됐다.</x:v>
      </x:c>
      <x:c r="G88" s="18" t="str">
        <x:v>비교 게시물 → 유튜브 확산 → 해명 영상 → 브랜드 신뢰 논쟁 → 더본코리아 변동성</x:v>
      </x:c>
      <x:c r="H88" s="31" t="str">
        <x:v>하락</x:v>
      </x:c>
      <x:c r="I88" s="18" t="n">
        <x:f>COUNTIF('02_종목반응'!$B:$B,A88)</x:f>
        <x:v>1</x:v>
      </x:c>
      <x:c r="J88" s="18" t="str">
        <x:v>논란·해명 과정에서 더본코리아 약세 보도</x:v>
      </x:c>
      <x:c r="K88" s="18" t="str">
        <x:v>단일 핵심 출처</x:v>
      </x:c>
      <x:c r="L88" s="18" t="str">
        <x:v>S137</x:v>
      </x:c>
    </x:row>
    <x:row r="89" ht="54" customHeight="1">
      <x:c r="A89" s="29" t="str">
        <x:v>EV0084</x:v>
      </x:c>
      <x:c r="B89" s="29" t="str">
        <x:v>2025</x:v>
      </x:c>
      <x:c r="C89" s="29" t="str">
        <x:v>정치·정책·사회</x:v>
      </x:c>
      <x:c r="D89" s="29" t="str">
        <x:v>정치·정책</x:v>
      </x:c>
      <x:c r="E89" s="29" t="str">
        <x:v>세종 이전</x:v>
      </x:c>
      <x:c r="F89" s="29" t="str">
        <x:v>행정수도 이전 논의가 세종시 토지·건설·인프라 수혜 기대를 자극했다.</x:v>
      </x:c>
      <x:c r="G89" s="29" t="str">
        <x:v>발언·보도 → 인맥·지역 관련주 찾기 → 온라인 확산 → 급등락 → 무관 공시·선거 종료</x:v>
      </x:c>
      <x:c r="H89" s="28" t="str">
        <x:v>상승</x:v>
      </x:c>
      <x:c r="I89" s="29" t="n">
        <x:f>COUNTIF('02_종목반응'!$B:$B,A89)</x:f>
        <x:v>2</x:v>
      </x:c>
      <x:c r="J89" s="29" t="str">
        <x:v>기사 당일 5.36%</x:v>
      </x:c>
      <x:c r="K89" s="29" t="str">
        <x:v>단일 핵심 출처</x:v>
      </x:c>
      <x:c r="L89" s="29" t="str">
        <x:v>S26</x:v>
      </x:c>
    </x:row>
    <x:row r="90" ht="54" customHeight="1">
      <x:c r="A90" s="18" t="str">
        <x:v>EV0085</x:v>
      </x:c>
      <x:c r="B90" s="18" t="str">
        <x:v>2025</x:v>
      </x:c>
      <x:c r="C90" s="18" t="str">
        <x:v>정치·정책·사회</x:v>
      </x:c>
      <x:c r="D90" s="18" t="str">
        <x:v>정치·정책</x:v>
      </x:c>
      <x:c r="E90" s="18" t="str">
        <x:v>이재명</x:v>
      </x:c>
      <x:c r="F90" s="18" t="str">
        <x:v>고향·지역 연고라는 약한 연결이 지지율·선거 뉴스와 결합해 정치 테마로 빠르게 묶였다.</x:v>
      </x:c>
      <x:c r="G90" s="18" t="str">
        <x:v>발언·보도 → 인맥·지역 관련주 찾기 → 온라인 확산 → 급등락 → 무관 공시·선거 종료</x:v>
      </x:c>
      <x:c r="H90" s="30" t="str">
        <x:v>혼합·급등락</x:v>
      </x:c>
      <x:c r="I90" s="18" t="n">
        <x:f>COUNTIF('02_종목반응'!$B:$B,A90)</x:f>
        <x:v>10</x:v>
      </x:c>
      <x:c r="J90" s="18" t="str">
        <x:v>당일 7.89% 상승</x:v>
      </x:c>
      <x:c r="K90" s="18" t="str">
        <x:v>복수 출처 교차확인</x:v>
      </x:c>
      <x:c r="L90" s="18" t="str">
        <x:v>S07;S08;S09;S49;S20;S17</x:v>
      </x:c>
    </x:row>
    <x:row r="91" ht="54" customHeight="1">
      <x:c r="A91" s="29" t="str">
        <x:v>EV0086</x:v>
      </x:c>
      <x:c r="B91" s="29" t="str">
        <x:v>2025</x:v>
      </x:c>
      <x:c r="C91" s="29" t="str">
        <x:v>식품·소비</x:v>
      </x:c>
      <x:c r="D91" s="29" t="str">
        <x:v>소비·품절</x:v>
      </x:c>
      <x:c r="E91" s="29" t="str">
        <x:v>케이팝 데몬 헌터스·김밥</x:v>
      </x:c>
      <x:c r="F91" s="29" t="str">
        <x:v>K팝·애니메이션·한국 음식이 결합된 글로벌 콘텐츠가 팬덤의 재현·검색·구매 행동을 만들었다.</x:v>
      </x:c>
      <x:c r="G91" s="29" t="str">
        <x:v>제품 노출 → 후기·인증 확산 → 품절·검색 급증 → 관련 기업 주가 반응 → 재구매 검증</x:v>
      </x:c>
      <x:c r="H91" s="30" t="str">
        <x:v>미확인</x:v>
      </x:c>
      <x:c r="I91" s="29" t="n">
        <x:f>COUNTIF('02_종목반응'!$B:$B,A91)</x:f>
        <x:v>1</x:v>
      </x:c>
      <x:c r="J91" s="29" t="str">
        <x:v>관련 기대감으로 상승 보도; 정확 상승률 미기재</x:v>
      </x:c>
      <x:c r="K91" s="29" t="str">
        <x:v>단일 핵심 출처</x:v>
      </x:c>
      <x:c r="L91" s="29" t="str">
        <x:v>S58</x:v>
      </x:c>
    </x:row>
    <x:row r="92" ht="54" customHeight="1">
      <x:c r="A92" s="18" t="str">
        <x:v>EV0087</x:v>
      </x:c>
      <x:c r="B92" s="18" t="str">
        <x:v>2025</x:v>
      </x:c>
      <x:c r="C92" s="18" t="str">
        <x:v>식품·소비</x:v>
      </x:c>
      <x:c r="D92" s="18" t="str">
        <x:v>소비·품절</x:v>
      </x:c>
      <x:c r="E92" s="18" t="str">
        <x:v>크보빵·야구 스티커</x:v>
      </x:c>
      <x:c r="F92" s="18" t="str">
        <x:v>프로야구 흥행과 선수 스티커 수집·팬덤 경쟁이 결합해 구매 인증과 교환 문화를 만들었다.</x:v>
      </x:c>
      <x:c r="G92" s="18" t="str">
        <x:v>제품 노출 → 후기·인증 확산 → 품절·검색 급증 → 관련 기업 주가 반응 → 재구매 검증</x:v>
      </x:c>
      <x:c r="H92" s="28" t="str">
        <x:v>상승</x:v>
      </x:c>
      <x:c r="I92" s="18" t="n">
        <x:f>COUNTIF('02_종목반응'!$B:$B,A92)</x:f>
        <x:v>1</x:v>
      </x:c>
      <x:c r="J92" s="18" t="str">
        <x:v>판매 호조 보도일 8% 급등</x:v>
      </x:c>
      <x:c r="K92" s="18" t="str">
        <x:v>단일 핵심 출처</x:v>
      </x:c>
      <x:c r="L92" s="18" t="str">
        <x:v>S55</x:v>
      </x:c>
    </x:row>
    <x:row r="93" ht="54" customHeight="1">
      <x:c r="A93" s="29" t="str">
        <x:v>EV0088</x:v>
      </x:c>
      <x:c r="B93" s="29" t="str">
        <x:v>2026</x:v>
      </x:c>
      <x:c r="C93" s="29" t="str">
        <x:v>식품·소비</x:v>
      </x:c>
      <x:c r="D93" s="29" t="str">
        <x:v>소비·품절</x:v>
      </x:c>
      <x:c r="E93" s="29" t="str">
        <x:v>두바이 쫀득쿠키</x:v>
      </x:c>
      <x:c r="F93" s="29" t="str">
        <x:v>단면과 식감이 숏폼에 잘 보이고 희소한 피스타치오·카다이프, 오픈런 인증이 모방 구매를 부추겼다.</x:v>
      </x:c>
      <x:c r="G93" s="29" t="str">
        <x:v>제품 노출 → 후기·인증 확산 → 품절·검색 급증 → 관련 기업 주가 반응 → 재구매 검증</x:v>
      </x:c>
      <x:c r="H93" s="30" t="str">
        <x:v>혼합·급등락</x:v>
      </x:c>
      <x:c r="I93" s="29" t="n">
        <x:f>COUNTIF('02_종목반응'!$B:$B,A93)</x:f>
        <x:v>3</x:v>
      </x:c>
      <x:c r="J93" s="29" t="str">
        <x:v>원재료 공급 확대 소식에 상한가</x:v>
      </x:c>
      <x:c r="K93" s="29" t="str">
        <x:v>복수 출처 교차확인</x:v>
      </x:c>
      <x:c r="L93" s="29" t="str">
        <x:v>S50;S51;S52</x:v>
      </x:c>
    </x:row>
  </x:sheetData>
  <x:mergeCells>
    <x:mergeCell ref="A1:L1"/>
    <x:mergeCell ref="A2:L2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" hidden="0" customWidth="1"/>
    <x:col min="2" max="2" width="11" hidden="0" customWidth="1"/>
    <x:col min="3" max="3" width="8" hidden="0" customWidth="1"/>
    <x:col min="4" max="4" width="15" hidden="0" customWidth="1"/>
    <x:col min="5" max="5" width="25" hidden="0" customWidth="1"/>
    <x:col min="6" max="6" width="25" hidden="0" customWidth="1"/>
    <x:col min="7" max="7" width="10" hidden="0" customWidth="1"/>
    <x:col min="8" max="8" width="13" hidden="0" customWidth="1"/>
    <x:col min="9" max="9" width="31" hidden="0" customWidth="1"/>
    <x:col min="10" max="10" width="15" hidden="0" customWidth="1"/>
    <x:col min="11" max="11" width="15" hidden="0" customWidth="1"/>
    <x:col min="12" max="12" width="36" hidden="0" customWidth="1"/>
    <x:col min="13" max="13" width="18" hidden="0" customWidth="1"/>
    <x:col min="14" max="14" width="8" hidden="0" customWidth="1"/>
    <x:col min="15" max="15" width="8" hidden="0" customWidth="1"/>
    <x:col min="16" max="16" width="8" hidden="0" customWidth="1"/>
    <x:col min="17" max="17" width="10" hidden="0" customWidth="1"/>
    <x:col min="18" max="18" width="10" hidden="0" customWidth="1"/>
    <x:col min="19" max="19" width="12" hidden="0" customWidth="1"/>
  </x:cols>
  <x:sheetData>
    <x:row r="1" ht="34" customHeight="1">
      <x:c r="A1" s="3" t="str">
        <x:v>02 종목반응 — 사건과 개별 상장기업 연결</x:v>
      </x:c>
      <x:c r="B1" s="3" t="str">
        <x:v>02 종목반응 — 사건과 개별 상장기업 연결</x:v>
      </x:c>
      <x:c r="C1" s="3" t="str">
        <x:v>02 종목반응 — 사건과 개별 상장기업 연결</x:v>
      </x:c>
      <x:c r="D1" s="3" t="str">
        <x:v>02 종목반응 — 사건과 개별 상장기업 연결</x:v>
      </x:c>
      <x:c r="E1" s="3" t="str">
        <x:v>02 종목반응 — 사건과 개별 상장기업 연결</x:v>
      </x:c>
      <x:c r="F1" s="3" t="str">
        <x:v>02 종목반응 — 사건과 개별 상장기업 연결</x:v>
      </x:c>
      <x:c r="G1" s="3" t="str">
        <x:v>02 종목반응 — 사건과 개별 상장기업 연결</x:v>
      </x:c>
      <x:c r="H1" s="3" t="str">
        <x:v>02 종목반응 — 사건과 개별 상장기업 연결</x:v>
      </x:c>
      <x:c r="I1" s="3" t="str">
        <x:v>02 종목반응 — 사건과 개별 상장기업 연결</x:v>
      </x:c>
      <x:c r="J1" s="3" t="str">
        <x:v>02 종목반응 — 사건과 개별 상장기업 연결</x:v>
      </x:c>
      <x:c r="K1" s="3" t="str">
        <x:v>02 종목반응 — 사건과 개별 상장기업 연결</x:v>
      </x:c>
      <x:c r="L1" s="3" t="str">
        <x:v>02 종목반응 — 사건과 개별 상장기업 연결</x:v>
      </x:c>
      <x:c r="M1" s="3" t="str">
        <x:v>02 종목반응 — 사건과 개별 상장기업 연결</x:v>
      </x:c>
      <x:c r="N1" s="3" t="str">
        <x:v>02 종목반응 — 사건과 개별 상장기업 연결</x:v>
      </x:c>
      <x:c r="O1" s="3" t="str">
        <x:v>02 종목반응 — 사건과 개별 상장기업 연결</x:v>
      </x:c>
      <x:c r="P1" s="3" t="str">
        <x:v>02 종목반응 — 사건과 개별 상장기업 연결</x:v>
      </x:c>
      <x:c r="Q1" s="3" t="str">
        <x:v>02 종목반응 — 사건과 개별 상장기업 연결</x:v>
      </x:c>
      <x:c r="R1" s="3" t="str">
        <x:v>02 종목반응 — 사건과 개별 상장기업 연결</x:v>
      </x:c>
      <x:c r="S1" s="3" t="str">
        <x:v>02 종목반응 — 사건과 개별 상장기업 연결</x:v>
      </x:c>
    </x:row>
    <x:row r="2" ht="28" customHeight="1">
      <x:c r="A2" s="6" t="str">
        <x:v>같은 이벤트ID가 여러 종목에 반복될 수 있습니다. 종목 행 수와 고유 사건 수를 혼동하지 마세요.</x:v>
      </x:c>
      <x:c r="B2" s="6" t="str">
        <x:v>같은 이벤트ID가 여러 종목에 반복될 수 있습니다. 종목 행 수와 고유 사건 수를 혼동하지 마세요.</x:v>
      </x:c>
      <x:c r="C2" s="6" t="str">
        <x:v>같은 이벤트ID가 여러 종목에 반복될 수 있습니다. 종목 행 수와 고유 사건 수를 혼동하지 마세요.</x:v>
      </x:c>
      <x:c r="D2" s="6" t="str">
        <x:v>같은 이벤트ID가 여러 종목에 반복될 수 있습니다. 종목 행 수와 고유 사건 수를 혼동하지 마세요.</x:v>
      </x:c>
      <x:c r="E2" s="6" t="str">
        <x:v>같은 이벤트ID가 여러 종목에 반복될 수 있습니다. 종목 행 수와 고유 사건 수를 혼동하지 마세요.</x:v>
      </x:c>
      <x:c r="F2" s="6" t="str">
        <x:v>같은 이벤트ID가 여러 종목에 반복될 수 있습니다. 종목 행 수와 고유 사건 수를 혼동하지 마세요.</x:v>
      </x:c>
      <x:c r="G2" s="6" t="str">
        <x:v>같은 이벤트ID가 여러 종목에 반복될 수 있습니다. 종목 행 수와 고유 사건 수를 혼동하지 마세요.</x:v>
      </x:c>
      <x:c r="H2" s="6" t="str">
        <x:v>같은 이벤트ID가 여러 종목에 반복될 수 있습니다. 종목 행 수와 고유 사건 수를 혼동하지 마세요.</x:v>
      </x:c>
      <x:c r="I2" s="6" t="str">
        <x:v>같은 이벤트ID가 여러 종목에 반복될 수 있습니다. 종목 행 수와 고유 사건 수를 혼동하지 마세요.</x:v>
      </x:c>
      <x:c r="J2" s="6" t="str">
        <x:v>같은 이벤트ID가 여러 종목에 반복될 수 있습니다. 종목 행 수와 고유 사건 수를 혼동하지 마세요.</x:v>
      </x:c>
      <x:c r="K2" s="6" t="str">
        <x:v>같은 이벤트ID가 여러 종목에 반복될 수 있습니다. 종목 행 수와 고유 사건 수를 혼동하지 마세요.</x:v>
      </x:c>
      <x:c r="L2" s="6" t="str">
        <x:v>같은 이벤트ID가 여러 종목에 반복될 수 있습니다. 종목 행 수와 고유 사건 수를 혼동하지 마세요.</x:v>
      </x:c>
      <x:c r="M2" s="6" t="str">
        <x:v>같은 이벤트ID가 여러 종목에 반복될 수 있습니다. 종목 행 수와 고유 사건 수를 혼동하지 마세요.</x:v>
      </x:c>
      <x:c r="N2" s="6" t="str">
        <x:v>같은 이벤트ID가 여러 종목에 반복될 수 있습니다. 종목 행 수와 고유 사건 수를 혼동하지 마세요.</x:v>
      </x:c>
      <x:c r="O2" s="6" t="str">
        <x:v>같은 이벤트ID가 여러 종목에 반복될 수 있습니다. 종목 행 수와 고유 사건 수를 혼동하지 마세요.</x:v>
      </x:c>
      <x:c r="P2" s="6" t="str">
        <x:v>같은 이벤트ID가 여러 종목에 반복될 수 있습니다. 종목 행 수와 고유 사건 수를 혼동하지 마세요.</x:v>
      </x:c>
      <x:c r="Q2" s="6" t="str">
        <x:v>같은 이벤트ID가 여러 종목에 반복될 수 있습니다. 종목 행 수와 고유 사건 수를 혼동하지 마세요.</x:v>
      </x:c>
      <x:c r="R2" s="6" t="str">
        <x:v>같은 이벤트ID가 여러 종목에 반복될 수 있습니다. 종목 행 수와 고유 사건 수를 혼동하지 마세요.</x:v>
      </x:c>
      <x:c r="S2" s="6" t="str">
        <x:v>같은 이벤트ID가 여러 종목에 반복될 수 있습니다. 종목 행 수와 고유 사건 수를 혼동하지 마세요.</x:v>
      </x:c>
    </x:row>
    <x:row r="3">
      <x:c r="A3" t="str">
        <x:v>종목 반응</x:v>
      </x:c>
      <x:c r="B3" t="n">
        <x:v>225</x:v>
      </x:c>
      <x:c r="C3" t="str">
        <x:v>상승 포함</x:v>
      </x:c>
      <x:c r="D3" t="n">
        <x:v>150</x:v>
      </x:c>
      <x:c r="E3" t="str">
        <x:v>하락 포함</x:v>
      </x:c>
      <x:c r="F3" t="n">
        <x:v>28</x:v>
      </x:c>
      <x:c r="G3" t="str">
        <x:v>가격 P=2</x:v>
      </x:c>
      <x:c r="H3" t="n">
        <x:v>171</x:v>
      </x:c>
      <x:c r="I3" t="str">
        <x:v>경계 연결 L=0</x:v>
      </x:c>
      <x:c r="J3" t="n">
        <x:v>56</x:v>
      </x:c>
      <x:c r="K3" t="str"/>
      <x:c r="L3" t="str"/>
      <x:c r="M3" t="str"/>
      <x:c r="N3" t="str"/>
      <x:c r="O3" t="str"/>
      <x:c r="P3" t="str"/>
      <x:c r="Q3" t="str"/>
      <x:c r="R3" t="str"/>
      <x:c r="S3" t="str"/>
    </x:row>
    <x:row r="5" ht="30" customHeight="1">
      <x:c r="A5" s="16" t="str">
        <x:v>사례ID</x:v>
      </x:c>
      <x:c r="B5" s="16" t="str">
        <x:v>이벤트ID</x:v>
      </x:c>
      <x:c r="C5" s="16" t="str">
        <x:v>연도</x:v>
      </x:c>
      <x:c r="D5" s="16" t="str">
        <x:v>영역</x:v>
      </x:c>
      <x:c r="E5" s="16" t="str">
        <x:v>유행·사건</x:v>
      </x:c>
      <x:c r="F5" s="16" t="str">
        <x:v>기업·티커</x:v>
      </x:c>
      <x:c r="G5" s="16" t="str">
        <x:v>시장</x:v>
      </x:c>
      <x:c r="H5" s="16" t="str">
        <x:v>방향</x:v>
      </x:c>
      <x:c r="I5" s="16" t="str">
        <x:v>가격·반응</x:v>
      </x:c>
      <x:c r="J5" s="16" t="str">
        <x:v>기업 연결</x:v>
      </x:c>
      <x:c r="K5" s="16" t="str">
        <x:v>기존 탐색등급</x:v>
      </x:c>
      <x:c r="L5" s="16" t="str">
        <x:v>기업 연결·경계 메모</x:v>
      </x:c>
      <x:c r="M5" s="16" t="str">
        <x:v>출처ID</x:v>
      </x:c>
      <x:c r="N5" s="16" t="str">
        <x:v>T 유행</x:v>
      </x:c>
      <x:c r="O5" s="16" t="str">
        <x:v>L 연결</x:v>
      </x:c>
      <x:c r="P5" s="16" t="str">
        <x:v>P 가격</x:v>
      </x:c>
      <x:c r="Q5" s="16" t="str">
        <x:v>C 동시재료</x:v>
      </x:c>
      <x:c r="R5" s="16" t="str">
        <x:v>근거합계</x:v>
      </x:c>
      <x:c r="S5" s="16" t="str">
        <x:v>판정</x:v>
      </x:c>
    </x:row>
    <x:row r="6" ht="45" customHeight="1">
      <x:c r="A6" s="18" t="str">
        <x:v>KR-M001</x:v>
      </x:c>
      <x:c r="B6" s="18" t="str">
        <x:v>EV0046</x:v>
      </x:c>
      <x:c r="C6" s="18" t="str">
        <x:v>2021</x:v>
      </x:c>
      <x:c r="D6" s="18" t="str">
        <x:v>정치·정책·사회</x:v>
      </x:c>
      <x:c r="E6" s="18" t="str">
        <x:v>윤석열</x:v>
      </x:c>
      <x:c r="F6" s="18" t="str">
        <x:v>NE능률 (053290)</x:v>
      </x:c>
      <x:c r="G6" s="18" t="str">
        <x:v>KOSDAQ</x:v>
      </x:c>
      <x:c r="H6" s="28" t="str">
        <x:v>상승</x:v>
      </x:c>
      <x:c r="I6" s="18" t="str">
        <x:v>회사가 무관 공시했지만 약 150% 급등</x:v>
      </x:c>
      <x:c r="J6" s="18" t="str">
        <x:v>경계사례</x:v>
      </x:c>
      <x:c r="K6" s="18" t="str"/>
      <x:c r="L6" s="18" t="str">
        <x:v>강한 밈 | 완료 | 종친만으로 연결</x:v>
      </x:c>
      <x:c r="M6" s="18" t="str">
        <x:v>S04;S05</x:v>
      </x:c>
      <x:c r="N6" s="18" t="n">
        <x:v>2</x:v>
      </x:c>
      <x:c r="O6" s="18" t="n">
        <x:v>0</x:v>
      </x:c>
      <x:c r="P6" s="18" t="n">
        <x:v>2</x:v>
      </x:c>
      <x:c r="Q6" s="18" t="n">
        <x:v>0</x:v>
      </x:c>
      <x:c r="R6" s="18" t="n">
        <x:f>SUM(N6:P6)</x:f>
        <x:v>4</x:v>
      </x:c>
      <x:c r="S6" s="30" t="str">
        <x:f>IF(AND(N6=2,P6=2,R6&gt;=5),"핵심사례",IF(R6&gt;=3,"보조사례","경계사례"))</x:f>
        <x:v>보조사례</x:v>
      </x:c>
    </x:row>
    <x:row r="7" ht="45" customHeight="1">
      <x:c r="A7" s="29" t="str">
        <x:v>KR-M002</x:v>
      </x:c>
      <x:c r="B7" s="29" t="str">
        <x:v>EV0046</x:v>
      </x:c>
      <x:c r="C7" s="29" t="str">
        <x:v>2021</x:v>
      </x:c>
      <x:c r="D7" s="29" t="str">
        <x:v>정치·정책·사회</x:v>
      </x:c>
      <x:c r="E7" s="29" t="str">
        <x:v>윤석열</x:v>
      </x:c>
      <x:c r="F7" s="29" t="str">
        <x:v>덕성 (004830)</x:v>
      </x:c>
      <x:c r="G7" s="29" t="str">
        <x:v>KOSPI</x:v>
      </x:c>
      <x:c r="H7" s="28" t="str">
        <x:v>상승</x:v>
      </x:c>
      <x:c r="I7" s="29" t="str">
        <x:v>당일 상한가</x:v>
      </x:c>
      <x:c r="J7" s="29" t="str">
        <x:v>경계사례</x:v>
      </x:c>
      <x:c r="K7" s="29" t="str"/>
      <x:c r="L7" s="29" t="str">
        <x:v>강한 밈 | 완료 | 동문 테마</x:v>
      </x:c>
      <x:c r="M7" s="29" t="str">
        <x:v>S06</x:v>
      </x:c>
      <x:c r="N7" s="29" t="n">
        <x:v>2</x:v>
      </x:c>
      <x:c r="O7" s="29" t="n">
        <x:v>0</x:v>
      </x:c>
      <x:c r="P7" s="29" t="n">
        <x:v>2</x:v>
      </x:c>
      <x:c r="Q7" s="29" t="n">
        <x:v>0</x:v>
      </x:c>
      <x:c r="R7" s="29" t="n">
        <x:f>SUM(N7:P7)</x:f>
        <x:v>4</x:v>
      </x:c>
      <x:c r="S7" s="30" t="str">
        <x:f>IF(AND(N7=2,P7=2,R7&gt;=5),"핵심사례",IF(R7&gt;=3,"보조사례","경계사례"))</x:f>
        <x:v>보조사례</x:v>
      </x:c>
    </x:row>
    <x:row r="8" ht="45" customHeight="1">
      <x:c r="A8" s="18" t="str">
        <x:v>KR-M003</x:v>
      </x:c>
      <x:c r="B8" s="18" t="str">
        <x:v>EV0046</x:v>
      </x:c>
      <x:c r="C8" s="18" t="str">
        <x:v>2021</x:v>
      </x:c>
      <x:c r="D8" s="18" t="str">
        <x:v>정치·정책·사회</x:v>
      </x:c>
      <x:c r="E8" s="18" t="str">
        <x:v>윤석열</x:v>
      </x:c>
      <x:c r="F8" s="18" t="str">
        <x:v>서연 (007860)</x:v>
      </x:c>
      <x:c r="G8" s="18" t="str">
        <x:v>KOSPI</x:v>
      </x:c>
      <x:c r="H8" s="28" t="str">
        <x:v>상승</x:v>
      </x:c>
      <x:c r="I8" s="18" t="str">
        <x:v>당일 상한가</x:v>
      </x:c>
      <x:c r="J8" s="18" t="str">
        <x:v>경계사례</x:v>
      </x:c>
      <x:c r="K8" s="18" t="str"/>
      <x:c r="L8" s="18" t="str">
        <x:v>강한 밈 | 완료 | 인맥 테마</x:v>
      </x:c>
      <x:c r="M8" s="18" t="str">
        <x:v>S06</x:v>
      </x:c>
      <x:c r="N8" s="18" t="n">
        <x:v>2</x:v>
      </x:c>
      <x:c r="O8" s="18" t="n">
        <x:v>0</x:v>
      </x:c>
      <x:c r="P8" s="18" t="n">
        <x:v>2</x:v>
      </x:c>
      <x:c r="Q8" s="18" t="n">
        <x:v>0</x:v>
      </x:c>
      <x:c r="R8" s="18" t="n">
        <x:f>SUM(N8:P8)</x:f>
        <x:v>4</x:v>
      </x:c>
      <x:c r="S8" s="30" t="str">
        <x:f>IF(AND(N8=2,P8=2,R8&gt;=5),"핵심사례",IF(R8&gt;=3,"보조사례","경계사례"))</x:f>
        <x:v>보조사례</x:v>
      </x:c>
    </x:row>
    <x:row r="9" ht="45" customHeight="1">
      <x:c r="A9" s="29" t="str">
        <x:v>KR-M004</x:v>
      </x:c>
      <x:c r="B9" s="29" t="str">
        <x:v>EV0046</x:v>
      </x:c>
      <x:c r="C9" s="29" t="str">
        <x:v>2021</x:v>
      </x:c>
      <x:c r="D9" s="29" t="str">
        <x:v>정치·정책·사회</x:v>
      </x:c>
      <x:c r="E9" s="29" t="str">
        <x:v>윤석열</x:v>
      </x:c>
      <x:c r="F9" s="29" t="str">
        <x:v>서연탑메탈 (019770)</x:v>
      </x:c>
      <x:c r="G9" s="29" t="str">
        <x:v>KOSDAQ</x:v>
      </x:c>
      <x:c r="H9" s="28" t="str">
        <x:v>상승</x:v>
      </x:c>
      <x:c r="I9" s="29" t="str">
        <x:v>당일 10.14% 상승</x:v>
      </x:c>
      <x:c r="J9" s="29" t="str">
        <x:v>경계사례</x:v>
      </x:c>
      <x:c r="K9" s="29" t="str"/>
      <x:c r="L9" s="29" t="str">
        <x:v>강한 밈 | 완료 | 파생 테마</x:v>
      </x:c>
      <x:c r="M9" s="29" t="str">
        <x:v>S06</x:v>
      </x:c>
      <x:c r="N9" s="29" t="n">
        <x:v>2</x:v>
      </x:c>
      <x:c r="O9" s="29" t="n">
        <x:v>0</x:v>
      </x:c>
      <x:c r="P9" s="29" t="n">
        <x:v>2</x:v>
      </x:c>
      <x:c r="Q9" s="29" t="n">
        <x:v>0</x:v>
      </x:c>
      <x:c r="R9" s="29" t="n">
        <x:f>SUM(N9:P9)</x:f>
        <x:v>4</x:v>
      </x:c>
      <x:c r="S9" s="30" t="str">
        <x:f>IF(AND(N9=2,P9=2,R9&gt;=5),"핵심사례",IF(R9&gt;=3,"보조사례","경계사례"))</x:f>
        <x:v>보조사례</x:v>
      </x:c>
    </x:row>
    <x:row r="10" ht="45" customHeight="1">
      <x:c r="A10" s="18" t="str">
        <x:v>KR-M005</x:v>
      </x:c>
      <x:c r="B10" s="18" t="str">
        <x:v>EV0085</x:v>
      </x:c>
      <x:c r="C10" s="18" t="str">
        <x:v>2025</x:v>
      </x:c>
      <x:c r="D10" s="18" t="str">
        <x:v>정치·정책·사회</x:v>
      </x:c>
      <x:c r="E10" s="18" t="str">
        <x:v>이재명</x:v>
      </x:c>
      <x:c r="F10" s="18" t="str">
        <x:v>동신건설 (025950)</x:v>
      </x:c>
      <x:c r="G10" s="18" t="str">
        <x:v>KOSDAQ</x:v>
      </x:c>
      <x:c r="H10" s="28" t="str">
        <x:v>상승</x:v>
      </x:c>
      <x:c r="I10" s="18" t="str">
        <x:v>당일 7.89% 상승</x:v>
      </x:c>
      <x:c r="J10" s="18" t="str">
        <x:v>경계사례</x:v>
      </x:c>
      <x:c r="K10" s="18" t="str"/>
      <x:c r="L10" s="18" t="str">
        <x:v>강한 밈 | 완료 | 고향 연결</x:v>
      </x:c>
      <x:c r="M10" s="18" t="str">
        <x:v>S07</x:v>
      </x:c>
      <x:c r="N10" s="18" t="n">
        <x:v>2</x:v>
      </x:c>
      <x:c r="O10" s="18" t="n">
        <x:v>0</x:v>
      </x:c>
      <x:c r="P10" s="18" t="n">
        <x:v>2</x:v>
      </x:c>
      <x:c r="Q10" s="18" t="n">
        <x:v>0</x:v>
      </x:c>
      <x:c r="R10" s="18" t="n">
        <x:f>SUM(N10:P10)</x:f>
        <x:v>4</x:v>
      </x:c>
      <x:c r="S10" s="30" t="str">
        <x:f>IF(AND(N10=2,P10=2,R10&gt;=5),"핵심사례",IF(R10&gt;=3,"보조사례","경계사례"))</x:f>
        <x:v>보조사례</x:v>
      </x:c>
    </x:row>
    <x:row r="11" ht="45" customHeight="1">
      <x:c r="A11" s="29" t="str">
        <x:v>KR-M006</x:v>
      </x:c>
      <x:c r="B11" s="29" t="str">
        <x:v>EV0085</x:v>
      </x:c>
      <x:c r="C11" s="29" t="str">
        <x:v>2024</x:v>
      </x:c>
      <x:c r="D11" s="29" t="str">
        <x:v>정치·정책·사회</x:v>
      </x:c>
      <x:c r="E11" s="29" t="str">
        <x:v>이재명</x:v>
      </x:c>
      <x:c r="F11" s="29" t="str">
        <x:v>오리엔트정공 (065500)</x:v>
      </x:c>
      <x:c r="G11" s="29" t="str">
        <x:v>KOSDAQ</x:v>
      </x:c>
      <x:c r="H11" s="28" t="str">
        <x:v>상승</x:v>
      </x:c>
      <x:c r="I11" s="29" t="str">
        <x:v>1,294원에서 6,430원으로 약 5배</x:v>
      </x:c>
      <x:c r="J11" s="29" t="str">
        <x:v>강한사례</x:v>
      </x:c>
      <x:c r="K11" s="29" t="str"/>
      <x:c r="L11" s="29" t="str">
        <x:v>강한 밈 | 완료 | 개인 이력 연결</x:v>
      </x:c>
      <x:c r="M11" s="29" t="str">
        <x:v>S08</x:v>
      </x:c>
      <x:c r="N11" s="29" t="n">
        <x:v>2</x:v>
      </x:c>
      <x:c r="O11" s="29" t="n">
        <x:v>1</x:v>
      </x:c>
      <x:c r="P11" s="29" t="n">
        <x:v>2</x:v>
      </x:c>
      <x:c r="Q11" s="29" t="n">
        <x:v>0</x:v>
      </x:c>
      <x:c r="R11" s="29" t="n">
        <x:f>SUM(N11:P11)</x:f>
        <x:v>5</x:v>
      </x:c>
      <x:c r="S11" s="28" t="str">
        <x:f>IF(AND(N11=2,P11=2,R11&gt;=5),"핵심사례",IF(R11&gt;=3,"보조사례","경계사례"))</x:f>
        <x:v>핵심사례</x:v>
      </x:c>
    </x:row>
    <x:row r="12" ht="45" customHeight="1">
      <x:c r="A12" s="18" t="str">
        <x:v>KR-M007</x:v>
      </x:c>
      <x:c r="B12" s="18" t="str">
        <x:v>EV0085</x:v>
      </x:c>
      <x:c r="C12" s="18" t="str">
        <x:v>2024</x:v>
      </x:c>
      <x:c r="D12" s="18" t="str">
        <x:v>인물·관계·기타</x:v>
      </x:c>
      <x:c r="E12" s="18" t="str">
        <x:v>이재명</x:v>
      </x:c>
      <x:c r="F12" s="18" t="str">
        <x:v>오리엔탈정공 (014940)</x:v>
      </x:c>
      <x:c r="G12" s="18" t="str">
        <x:v>KOSDAQ</x:v>
      </x:c>
      <x:c r="H12" s="28" t="str">
        <x:v>상승</x:v>
      </x:c>
      <x:c r="I12" s="18" t="str">
        <x:v>같은 기간 64.39% 상승</x:v>
      </x:c>
      <x:c r="J12" s="18" t="str">
        <x:v>경계사례</x:v>
      </x:c>
      <x:c r="K12" s="18" t="str"/>
      <x:c r="L12" s="18" t="str">
        <x:v>강한 밈 | 완료 | 대표적 착오 매수</x:v>
      </x:c>
      <x:c r="M12" s="18" t="str">
        <x:v>S08</x:v>
      </x:c>
      <x:c r="N12" s="18" t="n">
        <x:v>2</x:v>
      </x:c>
      <x:c r="O12" s="18" t="n">
        <x:v>0</x:v>
      </x:c>
      <x:c r="P12" s="18" t="n">
        <x:v>2</x:v>
      </x:c>
      <x:c r="Q12" s="18" t="n">
        <x:v>1</x:v>
      </x:c>
      <x:c r="R12" s="18" t="n">
        <x:f>SUM(N12:P12)</x:f>
        <x:v>4</x:v>
      </x:c>
      <x:c r="S12" s="30" t="str">
        <x:f>IF(AND(N12=2,P12=2,R12&gt;=5),"핵심사례",IF(R12&gt;=3,"보조사례","경계사례"))</x:f>
        <x:v>보조사례</x:v>
      </x:c>
    </x:row>
    <x:row r="13" ht="45" customHeight="1">
      <x:c r="A13" s="29" t="str">
        <x:v>KR-M008</x:v>
      </x:c>
      <x:c r="B13" s="29" t="str">
        <x:v>EV0085</x:v>
      </x:c>
      <x:c r="C13" s="29" t="str">
        <x:v>2025</x:v>
      </x:c>
      <x:c r="D13" s="29" t="str">
        <x:v>정치·정책·사회</x:v>
      </x:c>
      <x:c r="E13" s="29" t="str">
        <x:v>이재명</x:v>
      </x:c>
      <x:c r="F13" s="29" t="str">
        <x:v>에이텍 (045660)</x:v>
      </x:c>
      <x:c r="G13" s="29" t="str">
        <x:v>KOSDAQ</x:v>
      </x:c>
      <x:c r="H13" s="30" t="str">
        <x:v>미확인</x:v>
      </x:c>
      <x:c r="I13" s="29" t="str">
        <x:v>4월 2일 44,500원 고점 후 5월 14일 24,550원(-44.8%)</x:v>
      </x:c>
      <x:c r="J13" s="29" t="str">
        <x:v>경계사례</x:v>
      </x:c>
      <x:c r="K13" s="29" t="str"/>
      <x:c r="L13" s="29" t="str">
        <x:v>강한 밈 | 완료 | 테마 소멸 위험 확인</x:v>
      </x:c>
      <x:c r="M13" s="29" t="str">
        <x:v>S09;S49</x:v>
      </x:c>
      <x:c r="N13" s="29" t="n">
        <x:v>2</x:v>
      </x:c>
      <x:c r="O13" s="29" t="n">
        <x:v>0</x:v>
      </x:c>
      <x:c r="P13" s="29" t="n">
        <x:v>1</x:v>
      </x:c>
      <x:c r="Q13" s="29" t="n">
        <x:v>0</x:v>
      </x:c>
      <x:c r="R13" s="29" t="n">
        <x:f>SUM(N13:P13)</x:f>
        <x:v>3</x:v>
      </x:c>
      <x:c r="S13" s="30" t="str">
        <x:f>IF(AND(N13=2,P13=2,R13&gt;=5),"핵심사례",IF(R13&gt;=3,"보조사례","경계사례"))</x:f>
        <x:v>보조사례</x:v>
      </x:c>
    </x:row>
    <x:row r="14" ht="45" customHeight="1">
      <x:c r="A14" s="18" t="str">
        <x:v>KR-M009</x:v>
      </x:c>
      <x:c r="B14" s="18" t="str">
        <x:v>EV0085</x:v>
      </x:c>
      <x:c r="C14" s="18" t="str">
        <x:v>2025</x:v>
      </x:c>
      <x:c r="D14" s="18" t="str">
        <x:v>정치·정책·사회</x:v>
      </x:c>
      <x:c r="E14" s="18" t="str">
        <x:v>이재명</x:v>
      </x:c>
      <x:c r="F14" s="18" t="str">
        <x:v>에이텍모빌리티 (224110)</x:v>
      </x:c>
      <x:c r="G14" s="18" t="str">
        <x:v>KOSDAQ</x:v>
      </x:c>
      <x:c r="H14" s="31" t="str">
        <x:v>하락</x:v>
      </x:c>
      <x:c r="I14" s="18" t="str">
        <x:v>관련 뉴스 당일 -10.42%로 역반응</x:v>
      </x:c>
      <x:c r="J14" s="18" t="str">
        <x:v>경계사례</x:v>
      </x:c>
      <x:c r="K14" s="18" t="str"/>
      <x:c r="L14" s="18" t="str">
        <x:v>강한 밈 | 완료 | 상승뿐 아니라 뉴스 역반응 확인</x:v>
      </x:c>
      <x:c r="M14" s="18" t="str">
        <x:v>S09</x:v>
      </x:c>
      <x:c r="N14" s="18" t="n">
        <x:v>2</x:v>
      </x:c>
      <x:c r="O14" s="18" t="n">
        <x:v>0</x:v>
      </x:c>
      <x:c r="P14" s="18" t="n">
        <x:v>2</x:v>
      </x:c>
      <x:c r="Q14" s="18" t="n">
        <x:v>0</x:v>
      </x:c>
      <x:c r="R14" s="18" t="n">
        <x:f>SUM(N14:P14)</x:f>
        <x:v>4</x:v>
      </x:c>
      <x:c r="S14" s="30" t="str">
        <x:f>IF(AND(N14=2,P14=2,R14&gt;=5),"핵심사례",IF(R14&gt;=3,"보조사례","경계사례"))</x:f>
        <x:v>보조사례</x:v>
      </x:c>
    </x:row>
    <x:row r="15" ht="45" customHeight="1">
      <x:c r="A15" s="29" t="str">
        <x:v>KR-M010</x:v>
      </x:c>
      <x:c r="B15" s="29" t="str">
        <x:v>EV0019</x:v>
      </x:c>
      <x:c r="C15" s="29" t="str">
        <x:v>2016</x:v>
      </x:c>
      <x:c r="D15" s="29" t="str">
        <x:v>정치·정책·사회</x:v>
      </x:c>
      <x:c r="E15" s="29" t="str">
        <x:v>문재인</x:v>
      </x:c>
      <x:c r="F15" s="29" t="str">
        <x:v>우리들휴브레인(당시) (118000)</x:v>
      </x:c>
      <x:c r="G15" s="29" t="str">
        <x:v>KOSPI</x:v>
      </x:c>
      <x:c r="H15" s="28" t="str">
        <x:v>상승</x:v>
      </x:c>
      <x:c r="I15" s="29" t="str">
        <x:v>2016년 연초 대비 202%</x:v>
      </x:c>
      <x:c r="J15" s="29" t="str">
        <x:v>경계사례</x:v>
      </x:c>
      <x:c r="K15" s="29" t="str"/>
      <x:c r="L15" s="29" t="str">
        <x:v>강한 밈 | 완료 | 당시 종목명 기준</x:v>
      </x:c>
      <x:c r="M15" s="29" t="str">
        <x:v>S10;S11;S12</x:v>
      </x:c>
      <x:c r="N15" s="29" t="n">
        <x:v>2</x:v>
      </x:c>
      <x:c r="O15" s="29" t="n">
        <x:v>0</x:v>
      </x:c>
      <x:c r="P15" s="29" t="n">
        <x:v>2</x:v>
      </x:c>
      <x:c r="Q15" s="29" t="n">
        <x:v>1</x:v>
      </x:c>
      <x:c r="R15" s="29" t="n">
        <x:f>SUM(N15:P15)</x:f>
        <x:v>4</x:v>
      </x:c>
      <x:c r="S15" s="30" t="str">
        <x:f>IF(AND(N15=2,P15=2,R15&gt;=5),"핵심사례",IF(R15&gt;=3,"보조사례","경계사례"))</x:f>
        <x:v>보조사례</x:v>
      </x:c>
    </x:row>
    <x:row r="16" ht="45" customHeight="1">
      <x:c r="A16" s="18" t="str">
        <x:v>KR-M011</x:v>
      </x:c>
      <x:c r="B16" s="18" t="str">
        <x:v>EV0019</x:v>
      </x:c>
      <x:c r="C16" s="18" t="str">
        <x:v>2016</x:v>
      </x:c>
      <x:c r="D16" s="18" t="str">
        <x:v>정치·정책·사회</x:v>
      </x:c>
      <x:c r="E16" s="18" t="str">
        <x:v>문재인</x:v>
      </x:c>
      <x:c r="F16" s="18" t="str">
        <x:v>우리들제약(당시) (004720)</x:v>
      </x:c>
      <x:c r="G16" s="18" t="str">
        <x:v>KOSPI</x:v>
      </x:c>
      <x:c r="H16" s="28" t="str">
        <x:v>상승</x:v>
      </x:c>
      <x:c r="I16" s="18" t="str">
        <x:v>2016년 연초 대비 157%</x:v>
      </x:c>
      <x:c r="J16" s="18" t="str">
        <x:v>경계사례</x:v>
      </x:c>
      <x:c r="K16" s="18" t="str"/>
      <x:c r="L16" s="18" t="str">
        <x:v>강한 밈 | 완료 | 현재 사명과 다를 수 있음</x:v>
      </x:c>
      <x:c r="M16" s="18" t="str">
        <x:v>S10;S11;S12</x:v>
      </x:c>
      <x:c r="N16" s="18" t="n">
        <x:v>2</x:v>
      </x:c>
      <x:c r="O16" s="18" t="n">
        <x:v>0</x:v>
      </x:c>
      <x:c r="P16" s="18" t="n">
        <x:v>2</x:v>
      </x:c>
      <x:c r="Q16" s="18" t="n">
        <x:v>1</x:v>
      </x:c>
      <x:c r="R16" s="18" t="n">
        <x:f>SUM(N16:P16)</x:f>
        <x:v>4</x:v>
      </x:c>
      <x:c r="S16" s="30" t="str">
        <x:f>IF(AND(N16=2,P16=2,R16&gt;=5),"핵심사례",IF(R16&gt;=3,"보조사례","경계사례"))</x:f>
        <x:v>보조사례</x:v>
      </x:c>
    </x:row>
    <x:row r="17" ht="45" customHeight="1">
      <x:c r="A17" s="29" t="str">
        <x:v>KR-M012</x:v>
      </x:c>
      <x:c r="B17" s="29" t="str">
        <x:v>EV0019</x:v>
      </x:c>
      <x:c r="C17" s="29" t="str">
        <x:v>2016</x:v>
      </x:c>
      <x:c r="D17" s="29" t="str">
        <x:v>정치·정책·사회</x:v>
      </x:c>
      <x:c r="E17" s="29" t="str">
        <x:v>문재인</x:v>
      </x:c>
      <x:c r="F17" s="29" t="str">
        <x:v>고려산업 (002140)</x:v>
      </x:c>
      <x:c r="G17" s="29" t="str">
        <x:v>KOSPI</x:v>
      </x:c>
      <x:c r="H17" s="28" t="str">
        <x:v>상승</x:v>
      </x:c>
      <x:c r="I17" s="29" t="str">
        <x:v>2016년 연초 대비 225%</x:v>
      </x:c>
      <x:c r="J17" s="29" t="str">
        <x:v>경계사례</x:v>
      </x:c>
      <x:c r="K17" s="29" t="str"/>
      <x:c r="L17" s="29" t="str">
        <x:v>강한 밈 | 완료 | 학연 테마</x:v>
      </x:c>
      <x:c r="M17" s="29" t="str">
        <x:v>S12</x:v>
      </x:c>
      <x:c r="N17" s="29" t="n">
        <x:v>2</x:v>
      </x:c>
      <x:c r="O17" s="29" t="n">
        <x:v>0</x:v>
      </x:c>
      <x:c r="P17" s="29" t="n">
        <x:v>2</x:v>
      </x:c>
      <x:c r="Q17" s="29" t="n">
        <x:v>0</x:v>
      </x:c>
      <x:c r="R17" s="29" t="n">
        <x:f>SUM(N17:P17)</x:f>
        <x:v>4</x:v>
      </x:c>
      <x:c r="S17" s="30" t="str">
        <x:f>IF(AND(N17=2,P17=2,R17&gt;=5),"핵심사례",IF(R17&gt;=3,"보조사례","경계사례"))</x:f>
        <x:v>보조사례</x:v>
      </x:c>
    </x:row>
    <x:row r="18" ht="45" customHeight="1">
      <x:c r="A18" s="18" t="str">
        <x:v>KR-M013</x:v>
      </x:c>
      <x:c r="B18" s="18" t="str">
        <x:v>EV0019</x:v>
      </x:c>
      <x:c r="C18" s="18" t="str">
        <x:v>2016</x:v>
      </x:c>
      <x:c r="D18" s="18" t="str">
        <x:v>정치·정책·사회</x:v>
      </x:c>
      <x:c r="E18" s="18" t="str">
        <x:v>문재인</x:v>
      </x:c>
      <x:c r="F18" s="18" t="str">
        <x:v>대성파인텍 (104040)</x:v>
      </x:c>
      <x:c r="G18" s="18" t="str">
        <x:v>KOSDAQ</x:v>
      </x:c>
      <x:c r="H18" s="28" t="str">
        <x:v>상승</x:v>
      </x:c>
      <x:c r="I18" s="18" t="str">
        <x:v>당일 상한가</x:v>
      </x:c>
      <x:c r="J18" s="18" t="str">
        <x:v>경계사례</x:v>
      </x:c>
      <x:c r="K18" s="18" t="str"/>
      <x:c r="L18" s="18" t="str">
        <x:v>강한 밈 | 완료 | 정치 이벤트 반응</x:v>
      </x:c>
      <x:c r="M18" s="18" t="str">
        <x:v>S10</x:v>
      </x:c>
      <x:c r="N18" s="18" t="n">
        <x:v>2</x:v>
      </x:c>
      <x:c r="O18" s="18" t="n">
        <x:v>0</x:v>
      </x:c>
      <x:c r="P18" s="18" t="n">
        <x:v>2</x:v>
      </x:c>
      <x:c r="Q18" s="18" t="n">
        <x:v>0</x:v>
      </x:c>
      <x:c r="R18" s="18" t="n">
        <x:f>SUM(N18:P18)</x:f>
        <x:v>4</x:v>
      </x:c>
      <x:c r="S18" s="30" t="str">
        <x:f>IF(AND(N18=2,P18=2,R18&gt;=5),"핵심사례",IF(R18&gt;=3,"보조사례","경계사례"))</x:f>
        <x:v>보조사례</x:v>
      </x:c>
    </x:row>
    <x:row r="19" ht="45" customHeight="1">
      <x:c r="A19" s="29" t="str">
        <x:v>KR-M014</x:v>
      </x:c>
      <x:c r="B19" s="29" t="str">
        <x:v>EV0020</x:v>
      </x:c>
      <x:c r="C19" s="29" t="str">
        <x:v>2016</x:v>
      </x:c>
      <x:c r="D19" s="29" t="str">
        <x:v>정치·정책·사회</x:v>
      </x:c>
      <x:c r="E19" s="29" t="str">
        <x:v>반기문</x:v>
      </x:c>
      <x:c r="F19" s="29" t="str">
        <x:v>보성파워텍 (006910)</x:v>
      </x:c>
      <x:c r="G19" s="29" t="str">
        <x:v>KOSDAQ</x:v>
      </x:c>
      <x:c r="H19" s="28" t="str">
        <x:v>상승</x:v>
      </x:c>
      <x:c r="I19" s="29" t="str">
        <x:v>총선 후 한 달 108.6%</x:v>
      </x:c>
      <x:c r="J19" s="29" t="str">
        <x:v>경계사례</x:v>
      </x:c>
      <x:c r="K19" s="29" t="str"/>
      <x:c r="L19" s="29" t="str">
        <x:v>강한 밈 | 완료 | 가족 인맥</x:v>
      </x:c>
      <x:c r="M19" s="29" t="str">
        <x:v>S11</x:v>
      </x:c>
      <x:c r="N19" s="29" t="n">
        <x:v>2</x:v>
      </x:c>
      <x:c r="O19" s="29" t="n">
        <x:v>0</x:v>
      </x:c>
      <x:c r="P19" s="29" t="n">
        <x:v>2</x:v>
      </x:c>
      <x:c r="Q19" s="29" t="n">
        <x:v>0</x:v>
      </x:c>
      <x:c r="R19" s="29" t="n">
        <x:f>SUM(N19:P19)</x:f>
        <x:v>4</x:v>
      </x:c>
      <x:c r="S19" s="30" t="str">
        <x:f>IF(AND(N19=2,P19=2,R19&gt;=5),"핵심사례",IF(R19&gt;=3,"보조사례","경계사례"))</x:f>
        <x:v>보조사례</x:v>
      </x:c>
    </x:row>
    <x:row r="20" ht="45" customHeight="1">
      <x:c r="A20" s="18" t="str">
        <x:v>KR-M015</x:v>
      </x:c>
      <x:c r="B20" s="18" t="str">
        <x:v>EV0020</x:v>
      </x:c>
      <x:c r="C20" s="18" t="str">
        <x:v>2016</x:v>
      </x:c>
      <x:c r="D20" s="18" t="str">
        <x:v>정치·정책·사회</x:v>
      </x:c>
      <x:c r="E20" s="18" t="str">
        <x:v>반기문</x:v>
      </x:c>
      <x:c r="F20" s="18" t="str">
        <x:v>지엔코 (065060)</x:v>
      </x:c>
      <x:c r="G20" s="18" t="str">
        <x:v>KOSDAQ</x:v>
      </x:c>
      <x:c r="H20" s="28" t="str">
        <x:v>상승</x:v>
      </x:c>
      <x:c r="I20" s="18" t="str">
        <x:v>하반기 160.63% 급등</x:v>
      </x:c>
      <x:c r="J20" s="18" t="str">
        <x:v>경계사례</x:v>
      </x:c>
      <x:c r="K20" s="18" t="str"/>
      <x:c r="L20" s="18" t="str">
        <x:v>강한 밈 | 완료 | 실적 역행</x:v>
      </x:c>
      <x:c r="M20" s="18" t="str">
        <x:v>S10</x:v>
      </x:c>
      <x:c r="N20" s="18" t="n">
        <x:v>2</x:v>
      </x:c>
      <x:c r="O20" s="18" t="n">
        <x:v>0</x:v>
      </x:c>
      <x:c r="P20" s="18" t="n">
        <x:v>2</x:v>
      </x:c>
      <x:c r="Q20" s="18" t="n">
        <x:v>1</x:v>
      </x:c>
      <x:c r="R20" s="18" t="n">
        <x:f>SUM(N20:P20)</x:f>
        <x:v>4</x:v>
      </x:c>
      <x:c r="S20" s="30" t="str">
        <x:f>IF(AND(N20=2,P20=2,R20&gt;=5),"핵심사례",IF(R20&gt;=3,"보조사례","경계사례"))</x:f>
        <x:v>보조사례</x:v>
      </x:c>
    </x:row>
    <x:row r="21" ht="45" customHeight="1">
      <x:c r="A21" s="29" t="str">
        <x:v>KR-M016</x:v>
      </x:c>
      <x:c r="B21" s="29" t="str">
        <x:v>EV0020</x:v>
      </x:c>
      <x:c r="C21" s="29" t="str">
        <x:v>2016</x:v>
      </x:c>
      <x:c r="D21" s="29" t="str">
        <x:v>정치·정책·사회</x:v>
      </x:c>
      <x:c r="E21" s="29" t="str">
        <x:v>반기문</x:v>
      </x:c>
      <x:c r="F21" s="29" t="str">
        <x:v>씨씨에스 (066790)</x:v>
      </x:c>
      <x:c r="G21" s="29" t="str">
        <x:v>KOSDAQ</x:v>
      </x:c>
      <x:c r="H21" s="30" t="str">
        <x:v>미확인</x:v>
      </x:c>
      <x:c r="I21" s="29" t="str">
        <x:v>정치테마주 군 동반 급등</x:v>
      </x:c>
      <x:c r="J21" s="29" t="str">
        <x:v>경계사례</x:v>
      </x:c>
      <x:c r="K21" s="29" t="str"/>
      <x:c r="L21" s="29" t="str">
        <x:v>강한 밈 | 추가검증 | 정확한 구간 수익률 보강 필요</x:v>
      </x:c>
      <x:c r="M21" s="29" t="str">
        <x:v>S10</x:v>
      </x:c>
      <x:c r="N21" s="29" t="n">
        <x:v>2</x:v>
      </x:c>
      <x:c r="O21" s="29" t="n">
        <x:v>0</x:v>
      </x:c>
      <x:c r="P21" s="29" t="n">
        <x:v>1</x:v>
      </x:c>
      <x:c r="Q21" s="29" t="n">
        <x:v>1</x:v>
      </x:c>
      <x:c r="R21" s="29" t="n">
        <x:f>SUM(N21:P21)</x:f>
        <x:v>3</x:v>
      </x:c>
      <x:c r="S21" s="30" t="str">
        <x:f>IF(AND(N21=2,P21=2,R21&gt;=5),"핵심사례",IF(R21&gt;=3,"보조사례","경계사례"))</x:f>
        <x:v>보조사례</x:v>
      </x:c>
    </x:row>
    <x:row r="22" ht="45" customHeight="1">
      <x:c r="A22" s="18" t="str">
        <x:v>KR-M017</x:v>
      </x:c>
      <x:c r="B22" s="18" t="str">
        <x:v>EV0012</x:v>
      </x:c>
      <x:c r="C22" s="18" t="str">
        <x:v>2012</x:v>
      </x:c>
      <x:c r="D22" s="18" t="str">
        <x:v>정치·정책·사회</x:v>
      </x:c>
      <x:c r="E22" s="18" t="str">
        <x:v>안철수</x:v>
      </x:c>
      <x:c r="F22" s="18" t="str">
        <x:v>써니전자 (004770)</x:v>
      </x:c>
      <x:c r="G22" s="18" t="str">
        <x:v>KOSPI</x:v>
      </x:c>
      <x:c r="H22" s="30" t="str">
        <x:v>미확인</x:v>
      </x:c>
      <x:c r="I22" s="18" t="str">
        <x:v>정계 뉴스마다 급등락; 사퇴 뒤 월간 급락군</x:v>
      </x:c>
      <x:c r="J22" s="18" t="str">
        <x:v>경계사례</x:v>
      </x:c>
      <x:c r="K22" s="18" t="str"/>
      <x:c r="L22" s="18" t="str">
        <x:v>강한 밈 | 완료 | 전직 임원 경력</x:v>
      </x:c>
      <x:c r="M22" s="18" t="str">
        <x:v>S13;S14</x:v>
      </x:c>
      <x:c r="N22" s="18" t="n">
        <x:v>2</x:v>
      </x:c>
      <x:c r="O22" s="18" t="n">
        <x:v>0</x:v>
      </x:c>
      <x:c r="P22" s="18" t="n">
        <x:v>1</x:v>
      </x:c>
      <x:c r="Q22" s="18" t="n">
        <x:v>0</x:v>
      </x:c>
      <x:c r="R22" s="18" t="n">
        <x:f>SUM(N22:P22)</x:f>
        <x:v>3</x:v>
      </x:c>
      <x:c r="S22" s="30" t="str">
        <x:f>IF(AND(N22=2,P22=2,R22&gt;=5),"핵심사례",IF(R22&gt;=3,"보조사례","경계사례"))</x:f>
        <x:v>보조사례</x:v>
      </x:c>
    </x:row>
    <x:row r="23" ht="45" customHeight="1">
      <x:c r="A23" s="29" t="str">
        <x:v>KR-M018</x:v>
      </x:c>
      <x:c r="B23" s="29" t="str">
        <x:v>EV0012</x:v>
      </x:c>
      <x:c r="C23" s="29" t="str">
        <x:v>2012</x:v>
      </x:c>
      <x:c r="D23" s="29" t="str">
        <x:v>정치·정책·사회</x:v>
      </x:c>
      <x:c r="E23" s="29" t="str">
        <x:v>안철수</x:v>
      </x:c>
      <x:c r="F23" s="29" t="str">
        <x:v>미래산업 (025560)</x:v>
      </x:c>
      <x:c r="G23" s="29" t="str">
        <x:v>KOSPI</x:v>
      </x:c>
      <x:c r="H23" s="30" t="str">
        <x:v>미확인</x:v>
      </x:c>
      <x:c r="I23" s="29" t="str">
        <x:v>11월 들어 관련주군 19.09~57.78% 급락</x:v>
      </x:c>
      <x:c r="J23" s="29" t="str">
        <x:v>경계사례</x:v>
      </x:c>
      <x:c r="K23" s="29" t="str"/>
      <x:c r="L23" s="29" t="str">
        <x:v>강한 밈 | 완료 | 테마 소멸 반응</x:v>
      </x:c>
      <x:c r="M23" s="29" t="str">
        <x:v>S14</x:v>
      </x:c>
      <x:c r="N23" s="29" t="n">
        <x:v>2</x:v>
      </x:c>
      <x:c r="O23" s="29" t="n">
        <x:v>0</x:v>
      </x:c>
      <x:c r="P23" s="29" t="n">
        <x:v>1</x:v>
      </x:c>
      <x:c r="Q23" s="29" t="n">
        <x:v>0</x:v>
      </x:c>
      <x:c r="R23" s="29" t="n">
        <x:f>SUM(N23:P23)</x:f>
        <x:v>3</x:v>
      </x:c>
      <x:c r="S23" s="30" t="str">
        <x:f>IF(AND(N23=2,P23=2,R23&gt;=5),"핵심사례",IF(R23&gt;=3,"보조사례","경계사례"))</x:f>
        <x:v>보조사례</x:v>
      </x:c>
    </x:row>
    <x:row r="24" ht="45" customHeight="1">
      <x:c r="A24" s="18" t="str">
        <x:v>KR-M019</x:v>
      </x:c>
      <x:c r="B24" s="18" t="str">
        <x:v>EV0012</x:v>
      </x:c>
      <x:c r="C24" s="18" t="str">
        <x:v>2012</x:v>
      </x:c>
      <x:c r="D24" s="18" t="str">
        <x:v>정치·정책·사회</x:v>
      </x:c>
      <x:c r="E24" s="18" t="str">
        <x:v>안철수</x:v>
      </x:c>
      <x:c r="F24" s="18" t="str">
        <x:v>오픈베이스 (049480)</x:v>
      </x:c>
      <x:c r="G24" s="18" t="str">
        <x:v>KOSDAQ</x:v>
      </x:c>
      <x:c r="H24" s="30" t="str">
        <x:v>미확인</x:v>
      </x:c>
      <x:c r="I24" s="18" t="str">
        <x:v>11월 들어 관련주군 19.09~57.78% 급락</x:v>
      </x:c>
      <x:c r="J24" s="18" t="str">
        <x:v>경계사례</x:v>
      </x:c>
      <x:c r="K24" s="18" t="str"/>
      <x:c r="L24" s="18" t="str">
        <x:v>강한 밈 | 완료 | 테마 소멸 반응</x:v>
      </x:c>
      <x:c r="M24" s="18" t="str">
        <x:v>S14</x:v>
      </x:c>
      <x:c r="N24" s="18" t="n">
        <x:v>2</x:v>
      </x:c>
      <x:c r="O24" s="18" t="n">
        <x:v>0</x:v>
      </x:c>
      <x:c r="P24" s="18" t="n">
        <x:v>1</x:v>
      </x:c>
      <x:c r="Q24" s="18" t="n">
        <x:v>0</x:v>
      </x:c>
      <x:c r="R24" s="18" t="n">
        <x:f>SUM(N24:P24)</x:f>
        <x:v>3</x:v>
      </x:c>
      <x:c r="S24" s="30" t="str">
        <x:f>IF(AND(N24=2,P24=2,R24&gt;=5),"핵심사례",IF(R24&gt;=3,"보조사례","경계사례"))</x:f>
        <x:v>보조사례</x:v>
      </x:c>
    </x:row>
    <x:row r="25" ht="45" customHeight="1">
      <x:c r="A25" s="29" t="str">
        <x:v>KR-M020</x:v>
      </x:c>
      <x:c r="B25" s="29" t="str">
        <x:v>EV0031</x:v>
      </x:c>
      <x:c r="C25" s="29" t="str">
        <x:v>2019</x:v>
      </x:c>
      <x:c r="D25" s="29" t="str">
        <x:v>정치·정책·사회</x:v>
      </x:c>
      <x:c r="E25" s="29" t="str">
        <x:v>조국</x:v>
      </x:c>
      <x:c r="F25" s="29" t="str">
        <x:v>화천기계 (010660)</x:v>
      </x:c>
      <x:c r="G25" s="29" t="str">
        <x:v>KOSPI</x:v>
      </x:c>
      <x:c r="H25" s="30" t="str">
        <x:v>미확인</x:v>
      </x:c>
      <x:c r="I25" s="29" t="str">
        <x:v>투자주의 수준 급등 뒤 총선 후 급락</x:v>
      </x:c>
      <x:c r="J25" s="29" t="str">
        <x:v>경계사례</x:v>
      </x:c>
      <x:c r="K25" s="29" t="str"/>
      <x:c r="L25" s="29" t="str">
        <x:v>강한 밈 | 완료 | 당사자 반박</x:v>
      </x:c>
      <x:c r="M25" s="29" t="str">
        <x:v>S18</x:v>
      </x:c>
      <x:c r="N25" s="29" t="n">
        <x:v>2</x:v>
      </x:c>
      <x:c r="O25" s="29" t="n">
        <x:v>0</x:v>
      </x:c>
      <x:c r="P25" s="29" t="n">
        <x:v>1</x:v>
      </x:c>
      <x:c r="Q25" s="29" t="n">
        <x:v>0</x:v>
      </x:c>
      <x:c r="R25" s="29" t="n">
        <x:f>SUM(N25:P25)</x:f>
        <x:v>3</x:v>
      </x:c>
      <x:c r="S25" s="30" t="str">
        <x:f>IF(AND(N25=2,P25=2,R25&gt;=5),"핵심사례",IF(R25&gt;=3,"보조사례","경계사례"))</x:f>
        <x:v>보조사례</x:v>
      </x:c>
    </x:row>
    <x:row r="26" ht="45" customHeight="1">
      <x:c r="A26" s="18" t="str">
        <x:v>KR-M021</x:v>
      </x:c>
      <x:c r="B26" s="18" t="str">
        <x:v>EV0068</x:v>
      </x:c>
      <x:c r="C26" s="18" t="str">
        <x:v>2023</x:v>
      </x:c>
      <x:c r="D26" s="18" t="str">
        <x:v>정치·정책·사회</x:v>
      </x:c>
      <x:c r="E26" s="18" t="str">
        <x:v>한동훈</x:v>
      </x:c>
      <x:c r="F26" s="18" t="str">
        <x:v>디티앤씨알오 (383930)</x:v>
      </x:c>
      <x:c r="G26" s="18" t="str">
        <x:v>KOSDAQ</x:v>
      </x:c>
      <x:c r="H26" s="28" t="str">
        <x:v>상승</x:v>
      </x:c>
      <x:c r="I26" s="18" t="str">
        <x:v>11월 중 120% 급등</x:v>
      </x:c>
      <x:c r="J26" s="18" t="str">
        <x:v>경계사례</x:v>
      </x:c>
      <x:c r="K26" s="18" t="str"/>
      <x:c r="L26" s="18" t="str">
        <x:v>강한 밈 | 완료 | 기사상 무재료 확인</x:v>
      </x:c>
      <x:c r="M26" s="18" t="str">
        <x:v>S17</x:v>
      </x:c>
      <x:c r="N26" s="18" t="n">
        <x:v>2</x:v>
      </x:c>
      <x:c r="O26" s="18" t="n">
        <x:v>0</x:v>
      </x:c>
      <x:c r="P26" s="18" t="n">
        <x:v>2</x:v>
      </x:c>
      <x:c r="Q26" s="18" t="n">
        <x:v>0</x:v>
      </x:c>
      <x:c r="R26" s="18" t="n">
        <x:f>SUM(N26:P26)</x:f>
        <x:v>4</x:v>
      </x:c>
      <x:c r="S26" s="30" t="str">
        <x:f>IF(AND(N26=2,P26=2,R26&gt;=5),"핵심사례",IF(R26&gt;=3,"보조사례","경계사례"))</x:f>
        <x:v>보조사례</x:v>
      </x:c>
    </x:row>
    <x:row r="27" ht="45" customHeight="1">
      <x:c r="A27" s="29" t="str">
        <x:v>KR-M022</x:v>
      </x:c>
      <x:c r="B27" s="29" t="str">
        <x:v>EV0068</x:v>
      </x:c>
      <x:c r="C27" s="29" t="str">
        <x:v>2023</x:v>
      </x:c>
      <x:c r="D27" s="29" t="str">
        <x:v>정치·정책·사회</x:v>
      </x:c>
      <x:c r="E27" s="29" t="str">
        <x:v>한동훈</x:v>
      </x:c>
      <x:c r="F27" s="29" t="str">
        <x:v>체시스 (033250)</x:v>
      </x:c>
      <x:c r="G27" s="29" t="str">
        <x:v>KOSPI</x:v>
      </x:c>
      <x:c r="H27" s="30" t="str">
        <x:v>미확인</x:v>
      </x:c>
      <x:c r="I27" s="29" t="str">
        <x:v>디티앤씨알오와 함께 연일 급등</x:v>
      </x:c>
      <x:c r="J27" s="29" t="str">
        <x:v>경계사례</x:v>
      </x:c>
      <x:c r="K27" s="29" t="str"/>
      <x:c r="L27" s="29" t="str">
        <x:v>강한 밈 | 완료 | 정확한 누적 수익률 보강 필요</x:v>
      </x:c>
      <x:c r="M27" s="29" t="str">
        <x:v>S17</x:v>
      </x:c>
      <x:c r="N27" s="29" t="n">
        <x:v>2</x:v>
      </x:c>
      <x:c r="O27" s="29" t="n">
        <x:v>0</x:v>
      </x:c>
      <x:c r="P27" s="29" t="n">
        <x:v>1</x:v>
      </x:c>
      <x:c r="Q27" s="29" t="n">
        <x:v>0</x:v>
      </x:c>
      <x:c r="R27" s="29" t="n">
        <x:f>SUM(N27:P27)</x:f>
        <x:v>3</x:v>
      </x:c>
      <x:c r="S27" s="30" t="str">
        <x:f>IF(AND(N27=2,P27=2,R27&gt;=5),"핵심사례",IF(R27&gt;=3,"보조사례","경계사례"))</x:f>
        <x:v>보조사례</x:v>
      </x:c>
    </x:row>
    <x:row r="28" ht="45" customHeight="1">
      <x:c r="A28" s="18" t="str">
        <x:v>KR-M023</x:v>
      </x:c>
      <x:c r="B28" s="18" t="str">
        <x:v>EV0069</x:v>
      </x:c>
      <x:c r="C28" s="18" t="str">
        <x:v>2023</x:v>
      </x:c>
      <x:c r="D28" s="18" t="str">
        <x:v>인물·관계·기타</x:v>
      </x:c>
      <x:c r="E28" s="18" t="str">
        <x:v>한동훈·이정재</x:v>
      </x:c>
      <x:c r="F28" s="18" t="str">
        <x:v>대상홀딩스우 (084695)</x:v>
      </x:c>
      <x:c r="G28" s="18" t="str">
        <x:v>KOSPI</x:v>
      </x:c>
      <x:c r="H28" s="30" t="str">
        <x:v>미확인</x:v>
      </x:c>
      <x:c r="I28" s="18" t="str">
        <x:v>7거래일 연속 상한가</x:v>
      </x:c>
      <x:c r="J28" s="18" t="str">
        <x:v>경계사례</x:v>
      </x:c>
      <x:c r="K28" s="18" t="str"/>
      <x:c r="L28" s="18" t="str">
        <x:v>강한 밈 | 완료 | 사진 한 장이 촉발</x:v>
      </x:c>
      <x:c r="M28" s="18" t="str">
        <x:v>S15;S16</x:v>
      </x:c>
      <x:c r="N28" s="18" t="n">
        <x:v>2</x:v>
      </x:c>
      <x:c r="O28" s="18" t="n">
        <x:v>0</x:v>
      </x:c>
      <x:c r="P28" s="18" t="n">
        <x:v>1</x:v>
      </x:c>
      <x:c r="Q28" s="18" t="n">
        <x:v>0</x:v>
      </x:c>
      <x:c r="R28" s="18" t="n">
        <x:f>SUM(N28:P28)</x:f>
        <x:v>3</x:v>
      </x:c>
      <x:c r="S28" s="30" t="str">
        <x:f>IF(AND(N28=2,P28=2,R28&gt;=5),"핵심사례",IF(R28&gt;=3,"보조사례","경계사례"))</x:f>
        <x:v>보조사례</x:v>
      </x:c>
    </x:row>
    <x:row r="29" ht="45" customHeight="1">
      <x:c r="A29" s="29" t="str">
        <x:v>KR-M024</x:v>
      </x:c>
      <x:c r="B29" s="29" t="str">
        <x:v>EV0069</x:v>
      </x:c>
      <x:c r="C29" s="29" t="str">
        <x:v>2023</x:v>
      </x:c>
      <x:c r="D29" s="29" t="str">
        <x:v>인물·관계·기타</x:v>
      </x:c>
      <x:c r="E29" s="29" t="str">
        <x:v>한동훈·이정재</x:v>
      </x:c>
      <x:c r="F29" s="29" t="str">
        <x:v>대상홀딩스 (084690)</x:v>
      </x:c>
      <x:c r="G29" s="29" t="str">
        <x:v>KOSPI</x:v>
      </x:c>
      <x:c r="H29" s="30" t="str">
        <x:v>미확인</x:v>
      </x:c>
      <x:c r="I29" s="29" t="str">
        <x:v>사진 공개 뒤 동반 급등</x:v>
      </x:c>
      <x:c r="J29" s="29" t="str">
        <x:v>경계사례</x:v>
      </x:c>
      <x:c r="K29" s="29" t="str"/>
      <x:c r="L29" s="29" t="str">
        <x:v>강한 밈 | 완료 | 보통주 파생</x:v>
      </x:c>
      <x:c r="M29" s="29" t="str">
        <x:v>S15;S16</x:v>
      </x:c>
      <x:c r="N29" s="29" t="n">
        <x:v>2</x:v>
      </x:c>
      <x:c r="O29" s="29" t="n">
        <x:v>0</x:v>
      </x:c>
      <x:c r="P29" s="29" t="n">
        <x:v>1</x:v>
      </x:c>
      <x:c r="Q29" s="29" t="n">
        <x:v>0</x:v>
      </x:c>
      <x:c r="R29" s="29" t="n">
        <x:f>SUM(N29:P29)</x:f>
        <x:v>3</x:v>
      </x:c>
      <x:c r="S29" s="30" t="str">
        <x:f>IF(AND(N29=2,P29=2,R29&gt;=5),"핵심사례",IF(R29&gt;=3,"보조사례","경계사례"))</x:f>
        <x:v>보조사례</x:v>
      </x:c>
    </x:row>
    <x:row r="30" ht="45" customHeight="1">
      <x:c r="A30" s="18" t="str">
        <x:v>KR-M025</x:v>
      </x:c>
      <x:c r="B30" s="18" t="str">
        <x:v>EV0081</x:v>
      </x:c>
      <x:c r="C30" s="18" t="str">
        <x:v>2025</x:v>
      </x:c>
      <x:c r="D30" s="18" t="str">
        <x:v>정치·정책·사회</x:v>
      </x:c>
      <x:c r="E30" s="18" t="str">
        <x:v>김문수</x:v>
      </x:c>
      <x:c r="F30" s="18" t="str">
        <x:v>평화홀딩스 (010770)</x:v>
      </x:c>
      <x:c r="G30" s="18" t="str">
        <x:v>KOSPI</x:v>
      </x:c>
      <x:c r="H30" s="28" t="str">
        <x:v>상승</x:v>
      </x:c>
      <x:c r="I30" s="18" t="str">
        <x:v>2025년 4월 초까지 293.66%</x:v>
      </x:c>
      <x:c r="J30" s="18" t="str">
        <x:v>경계사례</x:v>
      </x:c>
      <x:c r="K30" s="18" t="str"/>
      <x:c r="L30" s="18" t="str">
        <x:v>강한 밈 | 완료 | 고향 연결</x:v>
      </x:c>
      <x:c r="M30" s="18" t="str">
        <x:v>S19;S20</x:v>
      </x:c>
      <x:c r="N30" s="18" t="n">
        <x:v>2</x:v>
      </x:c>
      <x:c r="O30" s="18" t="n">
        <x:v>0</x:v>
      </x:c>
      <x:c r="P30" s="18" t="n">
        <x:v>2</x:v>
      </x:c>
      <x:c r="Q30" s="18" t="n">
        <x:v>0</x:v>
      </x:c>
      <x:c r="R30" s="18" t="n">
        <x:f>SUM(N30:P30)</x:f>
        <x:v>4</x:v>
      </x:c>
      <x:c r="S30" s="30" t="str">
        <x:f>IF(AND(N30=2,P30=2,R30&gt;=5),"핵심사례",IF(R30&gt;=3,"보조사례","경계사례"))</x:f>
        <x:v>보조사례</x:v>
      </x:c>
    </x:row>
    <x:row r="31" ht="45" customHeight="1">
      <x:c r="A31" s="29" t="str">
        <x:v>KR-M026</x:v>
      </x:c>
      <x:c r="B31" s="29" t="str">
        <x:v>EV0085</x:v>
      </x:c>
      <x:c r="C31" s="29" t="str">
        <x:v>2025</x:v>
      </x:c>
      <x:c r="D31" s="29" t="str">
        <x:v>정치·정책·사회</x:v>
      </x:c>
      <x:c r="E31" s="29" t="str">
        <x:v>이재명</x:v>
      </x:c>
      <x:c r="F31" s="29" t="str">
        <x:v>형지글로벌 (308100)</x:v>
      </x:c>
      <x:c r="G31" s="29" t="str">
        <x:v>KOSDAQ</x:v>
      </x:c>
      <x:c r="H31" s="28" t="str">
        <x:v>상승</x:v>
      </x:c>
      <x:c r="I31" s="29" t="str">
        <x:v>2025년 4월 초까지 281.61%</x:v>
      </x:c>
      <x:c r="J31" s="29" t="str">
        <x:v>강한사례</x:v>
      </x:c>
      <x:c r="K31" s="29" t="str"/>
      <x:c r="L31" s="29" t="str">
        <x:v>강한 밈 | 완료 | 계열 파생</x:v>
      </x:c>
      <x:c r="M31" s="29" t="str">
        <x:v>S20</x:v>
      </x:c>
      <x:c r="N31" s="29" t="n">
        <x:v>2</x:v>
      </x:c>
      <x:c r="O31" s="29" t="n">
        <x:v>1</x:v>
      </x:c>
      <x:c r="P31" s="29" t="n">
        <x:v>2</x:v>
      </x:c>
      <x:c r="Q31" s="29" t="n">
        <x:v>0</x:v>
      </x:c>
      <x:c r="R31" s="29" t="n">
        <x:f>SUM(N31:P31)</x:f>
        <x:v>5</x:v>
      </x:c>
      <x:c r="S31" s="28" t="str">
        <x:f>IF(AND(N31=2,P31=2,R31&gt;=5),"핵심사례",IF(R31&gt;=3,"보조사례","경계사례"))</x:f>
        <x:v>핵심사례</x:v>
      </x:c>
    </x:row>
    <x:row r="32" ht="45" customHeight="1">
      <x:c r="A32" s="18" t="str">
        <x:v>KR-M027</x:v>
      </x:c>
      <x:c r="B32" s="18" t="str">
        <x:v>EV0058</x:v>
      </x:c>
      <x:c r="C32" s="18" t="str">
        <x:v>2023</x:v>
      </x:c>
      <x:c r="D32" s="18" t="str">
        <x:v>정치·정책·사회</x:v>
      </x:c>
      <x:c r="E32" s="18" t="str">
        <x:v>김동연</x:v>
      </x:c>
      <x:c r="F32" s="18" t="str">
        <x:v>PN풍년 (024940)</x:v>
      </x:c>
      <x:c r="G32" s="18" t="str">
        <x:v>KOSDAQ</x:v>
      </x:c>
      <x:c r="H32" s="30" t="str">
        <x:v>미확인</x:v>
      </x:c>
      <x:c r="I32" s="18" t="str">
        <x:v>이틀 사이 상한가와 약 10% 추가 급등</x:v>
      </x:c>
      <x:c r="J32" s="18" t="str">
        <x:v>경계사례</x:v>
      </x:c>
      <x:c r="K32" s="18" t="str"/>
      <x:c r="L32" s="18" t="str">
        <x:v>강한 밈 | 추가검증 | 정확한 기준가 보강 필요</x:v>
      </x:c>
      <x:c r="M32" s="18" t="str">
        <x:v>S18</x:v>
      </x:c>
      <x:c r="N32" s="18" t="n">
        <x:v>2</x:v>
      </x:c>
      <x:c r="O32" s="18" t="n">
        <x:v>0</x:v>
      </x:c>
      <x:c r="P32" s="18" t="n">
        <x:v>1</x:v>
      </x:c>
      <x:c r="Q32" s="18" t="n">
        <x:v>0</x:v>
      </x:c>
      <x:c r="R32" s="18" t="n">
        <x:f>SUM(N32:P32)</x:f>
        <x:v>3</x:v>
      </x:c>
      <x:c r="S32" s="30" t="str">
        <x:f>IF(AND(N32=2,P32=2,R32&gt;=5),"핵심사례",IF(R32&gt;=3,"보조사례","경계사례"))</x:f>
        <x:v>보조사례</x:v>
      </x:c>
    </x:row>
    <x:row r="33" ht="45" customHeight="1">
      <x:c r="A33" s="29" t="str">
        <x:v>KR-C001</x:v>
      </x:c>
      <x:c r="B33" s="29" t="str">
        <x:v>EV0011</x:v>
      </x:c>
      <x:c r="C33" s="29" t="str">
        <x:v>2012</x:v>
      </x:c>
      <x:c r="D33" s="29" t="str">
        <x:v>콘텐츠·팬덤</x:v>
      </x:c>
      <x:c r="E33" s="29" t="str">
        <x:v>싸이 강남스타일</x:v>
      </x:c>
      <x:c r="F33" s="29" t="str">
        <x:v>디아이 (003160)</x:v>
      </x:c>
      <x:c r="G33" s="29" t="str">
        <x:v>KOSPI</x:v>
      </x:c>
      <x:c r="H33" s="28" t="str">
        <x:v>상승</x:v>
      </x:c>
      <x:c r="I33" s="29" t="str">
        <x:v>9월 초 대비 약 50%, 이후 4일 연속 상한가</x:v>
      </x:c>
      <x:c r="J33" s="29" t="str">
        <x:v>경계사례</x:v>
      </x:c>
      <x:c r="K33" s="29" t="str"/>
      <x:c r="L33" s="29" t="str">
        <x:v>강한 밈 | 완료 | 문화 유행의 대표 사례</x:v>
      </x:c>
      <x:c r="M33" s="29" t="str">
        <x:v>S31;S32</x:v>
      </x:c>
      <x:c r="N33" s="29" t="n">
        <x:v>2</x:v>
      </x:c>
      <x:c r="O33" s="29" t="n">
        <x:v>0</x:v>
      </x:c>
      <x:c r="P33" s="29" t="n">
        <x:v>2</x:v>
      </x:c>
      <x:c r="Q33" s="29" t="n">
        <x:v>0</x:v>
      </x:c>
      <x:c r="R33" s="29" t="n">
        <x:f>SUM(N33:P33)</x:f>
        <x:v>4</x:v>
      </x:c>
      <x:c r="S33" s="30" t="str">
        <x:f>IF(AND(N33=2,P33=2,R33&gt;=5),"핵심사례",IF(R33&gt;=3,"보조사례","경계사례"))</x:f>
        <x:v>보조사례</x:v>
      </x:c>
    </x:row>
    <x:row r="34" ht="45" customHeight="1">
      <x:c r="A34" s="18" t="str">
        <x:v>KR-P001</x:v>
      </x:c>
      <x:c r="B34" s="18" t="str">
        <x:v>EV0085</x:v>
      </x:c>
      <x:c r="C34" s="18" t="str">
        <x:v>2025</x:v>
      </x:c>
      <x:c r="D34" s="18" t="str">
        <x:v>정치·정책·사회</x:v>
      </x:c>
      <x:c r="E34" s="18" t="str">
        <x:v>이재명</x:v>
      </x:c>
      <x:c r="F34" s="18" t="str">
        <x:v>형지I&amp;C (011080)</x:v>
      </x:c>
      <x:c r="G34" s="18" t="str">
        <x:v>KOSDAQ</x:v>
      </x:c>
      <x:c r="H34" s="28" t="str">
        <x:v>상승</x:v>
      </x:c>
      <x:c r="I34" s="18" t="str">
        <x:v>당일 29.94%</x:v>
      </x:c>
      <x:c r="J34" s="18" t="str">
        <x:v>강한사례</x:v>
      </x:c>
      <x:c r="K34" s="18" t="str"/>
      <x:c r="L34" s="18" t="str">
        <x:v>혼합-테마 주도 | 완료 | 정책 기대형</x:v>
      </x:c>
      <x:c r="M34" s="18" t="str">
        <x:v>S07</x:v>
      </x:c>
      <x:c r="N34" s="18" t="n">
        <x:v>2</x:v>
      </x:c>
      <x:c r="O34" s="18" t="n">
        <x:v>1</x:v>
      </x:c>
      <x:c r="P34" s="18" t="n">
        <x:v>2</x:v>
      </x:c>
      <x:c r="Q34" s="18" t="n">
        <x:v>0</x:v>
      </x:c>
      <x:c r="R34" s="18" t="n">
        <x:f>SUM(N34:P34)</x:f>
        <x:v>5</x:v>
      </x:c>
      <x:c r="S34" s="28" t="str">
        <x:f>IF(AND(N34=2,P34=2,R34&gt;=5),"핵심사례",IF(R34&gt;=3,"보조사례","경계사례"))</x:f>
        <x:v>핵심사례</x:v>
      </x:c>
    </x:row>
    <x:row r="35" ht="45" customHeight="1">
      <x:c r="A35" s="29" t="str">
        <x:v>KR-P002</x:v>
      </x:c>
      <x:c r="B35" s="29" t="str">
        <x:v>EV0085</x:v>
      </x:c>
      <x:c r="C35" s="29" t="str">
        <x:v>2025</x:v>
      </x:c>
      <x:c r="D35" s="29" t="str">
        <x:v>정치·정책·사회</x:v>
      </x:c>
      <x:c r="E35" s="29" t="str">
        <x:v>이재명</x:v>
      </x:c>
      <x:c r="F35" s="29" t="str">
        <x:v>형지엘리트 (093240)</x:v>
      </x:c>
      <x:c r="G35" s="29" t="str">
        <x:v>KOSPI</x:v>
      </x:c>
      <x:c r="H35" s="28" t="str">
        <x:v>상승</x:v>
      </x:c>
      <x:c r="I35" s="29" t="str">
        <x:v>당일 16.48%</x:v>
      </x:c>
      <x:c r="J35" s="29" t="str">
        <x:v>강한사례</x:v>
      </x:c>
      <x:c r="K35" s="29" t="str"/>
      <x:c r="L35" s="29" t="str">
        <x:v>혼합-테마 주도 | 완료 | 사업 접점은 있으나 과잉 기대</x:v>
      </x:c>
      <x:c r="M35" s="29" t="str">
        <x:v>S07</x:v>
      </x:c>
      <x:c r="N35" s="29" t="n">
        <x:v>2</x:v>
      </x:c>
      <x:c r="O35" s="29" t="n">
        <x:v>1</x:v>
      </x:c>
      <x:c r="P35" s="29" t="n">
        <x:v>2</x:v>
      </x:c>
      <x:c r="Q35" s="29" t="n">
        <x:v>0</x:v>
      </x:c>
      <x:c r="R35" s="29" t="n">
        <x:f>SUM(N35:P35)</x:f>
        <x:v>5</x:v>
      </x:c>
      <x:c r="S35" s="28" t="str">
        <x:f>IF(AND(N35=2,P35=2,R35&gt;=5),"핵심사례",IF(R35&gt;=3,"보조사례","경계사례"))</x:f>
        <x:v>핵심사례</x:v>
      </x:c>
    </x:row>
    <x:row r="36" ht="45" customHeight="1">
      <x:c r="A36" s="18" t="str">
        <x:v>KR-P003</x:v>
      </x:c>
      <x:c r="B36" s="18" t="str">
        <x:v>EV0085</x:v>
      </x:c>
      <x:c r="C36" s="18" t="str">
        <x:v>2021</x:v>
      </x:c>
      <x:c r="D36" s="18" t="str">
        <x:v>정치·정책·사회</x:v>
      </x:c>
      <x:c r="E36" s="18" t="str">
        <x:v>이재명</x:v>
      </x:c>
      <x:c r="F36" s="18" t="str">
        <x:v>이스타코 (015020)</x:v>
      </x:c>
      <x:c r="G36" s="18" t="str">
        <x:v>KOSPI</x:v>
      </x:c>
      <x:c r="H36" s="30" t="str">
        <x:v>미확인</x:v>
      </x:c>
      <x:c r="I36" s="18" t="str">
        <x:v>정치 뉴스에 반복 급등락</x:v>
      </x:c>
      <x:c r="J36" s="18" t="str">
        <x:v>경계사례</x:v>
      </x:c>
      <x:c r="K36" s="18" t="str"/>
      <x:c r="L36" s="18" t="str">
        <x:v>혼합-테마 주도 | 추가검증 | 가격 구간 보강 필요</x:v>
      </x:c>
      <x:c r="M36" s="18" t="str">
        <x:v>S07;S17</x:v>
      </x:c>
      <x:c r="N36" s="18" t="n">
        <x:v>2</x:v>
      </x:c>
      <x:c r="O36" s="18" t="n">
        <x:v>1</x:v>
      </x:c>
      <x:c r="P36" s="18" t="n">
        <x:v>1</x:v>
      </x:c>
      <x:c r="Q36" s="18" t="n">
        <x:v>0</x:v>
      </x:c>
      <x:c r="R36" s="18" t="n">
        <x:f>SUM(N36:P36)</x:f>
        <x:v>4</x:v>
      </x:c>
      <x:c r="S36" s="30" t="str">
        <x:f>IF(AND(N36=2,P36=2,R36&gt;=5),"핵심사례",IF(R36&gt;=3,"보조사례","경계사례"))</x:f>
        <x:v>보조사례</x:v>
      </x:c>
    </x:row>
    <x:row r="37" ht="45" customHeight="1">
      <x:c r="A37" s="29" t="str">
        <x:v>KR-P004</x:v>
      </x:c>
      <x:c r="B37" s="29" t="str">
        <x:v>EV0085</x:v>
      </x:c>
      <x:c r="C37" s="29" t="str">
        <x:v>2025</x:v>
      </x:c>
      <x:c r="D37" s="29" t="str">
        <x:v>정치·정책·사회</x:v>
      </x:c>
      <x:c r="E37" s="29" t="str">
        <x:v>이재명</x:v>
      </x:c>
      <x:c r="F37" s="29" t="str">
        <x:v>일성건설 (013360)</x:v>
      </x:c>
      <x:c r="G37" s="29" t="str">
        <x:v>KOSPI</x:v>
      </x:c>
      <x:c r="H37" s="28" t="str">
        <x:v>상승</x:v>
      </x:c>
      <x:c r="I37" s="29" t="str">
        <x:v>당일 2.35%</x:v>
      </x:c>
      <x:c r="J37" s="29" t="str">
        <x:v>강한사례</x:v>
      </x:c>
      <x:c r="K37" s="29" t="str"/>
      <x:c r="L37" s="29" t="str">
        <x:v>혼합-테마 주도 | 완료 | 업종 접점형</x:v>
      </x:c>
      <x:c r="M37" s="29" t="str">
        <x:v>S07</x:v>
      </x:c>
      <x:c r="N37" s="29" t="n">
        <x:v>2</x:v>
      </x:c>
      <x:c r="O37" s="29" t="n">
        <x:v>1</x:v>
      </x:c>
      <x:c r="P37" s="29" t="n">
        <x:v>2</x:v>
      </x:c>
      <x:c r="Q37" s="29" t="n">
        <x:v>0</x:v>
      </x:c>
      <x:c r="R37" s="29" t="n">
        <x:f>SUM(N37:P37)</x:f>
        <x:v>5</x:v>
      </x:c>
      <x:c r="S37" s="28" t="str">
        <x:f>IF(AND(N37=2,P37=2,R37&gt;=5),"핵심사례",IF(R37&gt;=3,"보조사례","경계사례"))</x:f>
        <x:v>핵심사례</x:v>
      </x:c>
    </x:row>
    <x:row r="38" ht="45" customHeight="1">
      <x:c r="A38" s="18" t="str">
        <x:v>KR-P010</x:v>
      </x:c>
      <x:c r="B38" s="18" t="str">
        <x:v>EV0024</x:v>
      </x:c>
      <x:c r="C38" s="18" t="str">
        <x:v>2018</x:v>
      </x:c>
      <x:c r="D38" s="18" t="str">
        <x:v>정치·정책·사회</x:v>
      </x:c>
      <x:c r="E38" s="18" t="str">
        <x:v>정상회담</x:v>
      </x:c>
      <x:c r="F38" s="18" t="str">
        <x:v>좋은사람들 (033340)</x:v>
      </x:c>
      <x:c r="G38" s="18" t="str">
        <x:v>KOSDAQ</x:v>
      </x:c>
      <x:c r="H38" s="28" t="str">
        <x:v>상승</x:v>
      </x:c>
      <x:c r="I38" s="18" t="str">
        <x:v>당일 25.95%</x:v>
      </x:c>
      <x:c r="J38" s="18" t="str">
        <x:v>강한사례</x:v>
      </x:c>
      <x:c r="K38" s="18" t="str"/>
      <x:c r="L38" s="18" t="str">
        <x:v>혼합-테마 주도 | 완료 | 정책 현실화 전 기대</x:v>
      </x:c>
      <x:c r="M38" s="18" t="str">
        <x:v>S23;S24</x:v>
      </x:c>
      <x:c r="N38" s="18" t="n">
        <x:v>2</x:v>
      </x:c>
      <x:c r="O38" s="18" t="n">
        <x:v>1</x:v>
      </x:c>
      <x:c r="P38" s="18" t="n">
        <x:v>2</x:v>
      </x:c>
      <x:c r="Q38" s="18" t="n">
        <x:v>1</x:v>
      </x:c>
      <x:c r="R38" s="18" t="n">
        <x:f>SUM(N38:P38)</x:f>
        <x:v>5</x:v>
      </x:c>
      <x:c r="S38" s="28" t="str">
        <x:f>IF(AND(N38=2,P38=2,R38&gt;=5),"핵심사례",IF(R38&gt;=3,"보조사례","경계사례"))</x:f>
        <x:v>핵심사례</x:v>
      </x:c>
    </x:row>
    <x:row r="39" ht="45" customHeight="1">
      <x:c r="A39" s="29" t="str">
        <x:v>KR-P011</x:v>
      </x:c>
      <x:c r="B39" s="29" t="str">
        <x:v>EV0024</x:v>
      </x:c>
      <x:c r="C39" s="29" t="str">
        <x:v>2018</x:v>
      </x:c>
      <x:c r="D39" s="29" t="str">
        <x:v>정치·정책·사회</x:v>
      </x:c>
      <x:c r="E39" s="29" t="str">
        <x:v>정상회담</x:v>
      </x:c>
      <x:c r="F39" s="29" t="str">
        <x:v>대아티아이 (045390)</x:v>
      </x:c>
      <x:c r="G39" s="29" t="str">
        <x:v>KOSDAQ</x:v>
      </x:c>
      <x:c r="H39" s="28" t="str">
        <x:v>상승</x:v>
      </x:c>
      <x:c r="I39" s="29" t="str">
        <x:v>3월부터 기사 시점까지 55.8%</x:v>
      </x:c>
      <x:c r="J39" s="29" t="str">
        <x:v>강한사례</x:v>
      </x:c>
      <x:c r="K39" s="29" t="str"/>
      <x:c r="L39" s="29" t="str">
        <x:v>혼합-테마 주도 | 완료 | 업종 접점형</x:v>
      </x:c>
      <x:c r="M39" s="29" t="str">
        <x:v>S23;S24</x:v>
      </x:c>
      <x:c r="N39" s="29" t="n">
        <x:v>2</x:v>
      </x:c>
      <x:c r="O39" s="29" t="n">
        <x:v>1</x:v>
      </x:c>
      <x:c r="P39" s="29" t="n">
        <x:v>2</x:v>
      </x:c>
      <x:c r="Q39" s="29" t="n">
        <x:v>1</x:v>
      </x:c>
      <x:c r="R39" s="29" t="n">
        <x:f>SUM(N39:P39)</x:f>
        <x:v>5</x:v>
      </x:c>
      <x:c r="S39" s="28" t="str">
        <x:f>IF(AND(N39=2,P39=2,R39&gt;=5),"핵심사례",IF(R39&gt;=3,"보조사례","경계사례"))</x:f>
        <x:v>핵심사례</x:v>
      </x:c>
    </x:row>
    <x:row r="40" ht="45" customHeight="1">
      <x:c r="A40" s="18" t="str">
        <x:v>KR-P012</x:v>
      </x:c>
      <x:c r="B40" s="18" t="str">
        <x:v>EV0024</x:v>
      </x:c>
      <x:c r="C40" s="18" t="str">
        <x:v>2018</x:v>
      </x:c>
      <x:c r="D40" s="18" t="str">
        <x:v>정치·정책·사회</x:v>
      </x:c>
      <x:c r="E40" s="18" t="str">
        <x:v>정상회담</x:v>
      </x:c>
      <x:c r="F40" s="18" t="str">
        <x:v>대호에이엘 (069460)</x:v>
      </x:c>
      <x:c r="G40" s="18" t="str">
        <x:v>KOSPI</x:v>
      </x:c>
      <x:c r="H40" s="28" t="str">
        <x:v>상승</x:v>
      </x:c>
      <x:c r="I40" s="18" t="str">
        <x:v>3월부터 기사 시점까지 151.3%</x:v>
      </x:c>
      <x:c r="J40" s="18" t="str">
        <x:v>강한사례</x:v>
      </x:c>
      <x:c r="K40" s="18" t="str"/>
      <x:c r="L40" s="18" t="str">
        <x:v>혼합-테마 주도 | 완료 | 업종 접점형</x:v>
      </x:c>
      <x:c r="M40" s="18" t="str">
        <x:v>S23;S24</x:v>
      </x:c>
      <x:c r="N40" s="18" t="n">
        <x:v>2</x:v>
      </x:c>
      <x:c r="O40" s="18" t="n">
        <x:v>1</x:v>
      </x:c>
      <x:c r="P40" s="18" t="n">
        <x:v>2</x:v>
      </x:c>
      <x:c r="Q40" s="18" t="n">
        <x:v>1</x:v>
      </x:c>
      <x:c r="R40" s="18" t="n">
        <x:f>SUM(N40:P40)</x:f>
        <x:v>5</x:v>
      </x:c>
      <x:c r="S40" s="28" t="str">
        <x:f>IF(AND(N40=2,P40=2,R40&gt;=5),"핵심사례",IF(R40&gt;=3,"보조사례","경계사례"))</x:f>
        <x:v>핵심사례</x:v>
      </x:c>
    </x:row>
    <x:row r="41" ht="45" customHeight="1">
      <x:c r="A41" s="29" t="str">
        <x:v>KR-P013</x:v>
      </x:c>
      <x:c r="B41" s="29" t="str">
        <x:v>EV0024</x:v>
      </x:c>
      <x:c r="C41" s="29" t="str">
        <x:v>2018</x:v>
      </x:c>
      <x:c r="D41" s="29" t="str">
        <x:v>정치·정책·사회</x:v>
      </x:c>
      <x:c r="E41" s="29" t="str">
        <x:v>정상회담</x:v>
      </x:c>
      <x:c r="F41" s="29" t="str">
        <x:v>아난티 (025980)</x:v>
      </x:c>
      <x:c r="G41" s="29" t="str">
        <x:v>KOSDAQ</x:v>
      </x:c>
      <x:c r="H41" s="30" t="str">
        <x:v>미확인</x:v>
      </x:c>
      <x:c r="I41" s="29" t="str">
        <x:v>정상회담 기대 때 반복 급등</x:v>
      </x:c>
      <x:c r="J41" s="29" t="str">
        <x:v>경계사례</x:v>
      </x:c>
      <x:c r="K41" s="29" t="str"/>
      <x:c r="L41" s="29" t="str">
        <x:v>혼합-테마 주도 | 완료 | 실질 연결이 있는 혼합형</x:v>
      </x:c>
      <x:c r="M41" s="29" t="str">
        <x:v>S23;S24</x:v>
      </x:c>
      <x:c r="N41" s="29" t="n">
        <x:v>2</x:v>
      </x:c>
      <x:c r="O41" s="29" t="n">
        <x:v>1</x:v>
      </x:c>
      <x:c r="P41" s="29" t="n">
        <x:v>1</x:v>
      </x:c>
      <x:c r="Q41" s="29" t="n">
        <x:v>1</x:v>
      </x:c>
      <x:c r="R41" s="29" t="n">
        <x:f>SUM(N41:P41)</x:f>
        <x:v>4</x:v>
      </x:c>
      <x:c r="S41" s="30" t="str">
        <x:f>IF(AND(N41=2,P41=2,R41&gt;=5),"핵심사례",IF(R41&gt;=3,"보조사례","경계사례"))</x:f>
        <x:v>보조사례</x:v>
      </x:c>
    </x:row>
    <x:row r="42" ht="45" customHeight="1">
      <x:c r="A42" s="18" t="str">
        <x:v>KR-P014</x:v>
      </x:c>
      <x:c r="B42" s="18" t="str">
        <x:v>EV0024</x:v>
      </x:c>
      <x:c r="C42" s="18" t="str">
        <x:v>2018</x:v>
      </x:c>
      <x:c r="D42" s="18" t="str">
        <x:v>정치·정책·사회</x:v>
      </x:c>
      <x:c r="E42" s="18" t="str">
        <x:v>정상회담</x:v>
      </x:c>
      <x:c r="F42" s="18" t="str">
        <x:v>신원 (009270)</x:v>
      </x:c>
      <x:c r="G42" s="18" t="str">
        <x:v>KOSPI</x:v>
      </x:c>
      <x:c r="H42" s="30" t="str">
        <x:v>미확인</x:v>
      </x:c>
      <x:c r="I42" s="18" t="str">
        <x:v>남북경협주 동반 급등</x:v>
      </x:c>
      <x:c r="J42" s="18" t="str">
        <x:v>경계사례</x:v>
      </x:c>
      <x:c r="K42" s="18" t="str"/>
      <x:c r="L42" s="18" t="str">
        <x:v>혼합-테마 주도 | 완료 | 실질 연결이 있는 혼합형</x:v>
      </x:c>
      <x:c r="M42" s="18" t="str">
        <x:v>S23</x:v>
      </x:c>
      <x:c r="N42" s="18" t="n">
        <x:v>2</x:v>
      </x:c>
      <x:c r="O42" s="18" t="n">
        <x:v>1</x:v>
      </x:c>
      <x:c r="P42" s="18" t="n">
        <x:v>1</x:v>
      </x:c>
      <x:c r="Q42" s="18" t="n">
        <x:v>1</x:v>
      </x:c>
      <x:c r="R42" s="18" t="n">
        <x:f>SUM(N42:P42)</x:f>
        <x:v>4</x:v>
      </x:c>
      <x:c r="S42" s="30" t="str">
        <x:f>IF(AND(N42=2,P42=2,R42&gt;=5),"핵심사례",IF(R42&gt;=3,"보조사례","경계사례"))</x:f>
        <x:v>보조사례</x:v>
      </x:c>
    </x:row>
    <x:row r="43" ht="45" customHeight="1">
      <x:c r="A43" s="29" t="str">
        <x:v>KR-P015</x:v>
      </x:c>
      <x:c r="B43" s="29" t="str">
        <x:v>EV0033</x:v>
      </x:c>
      <x:c r="C43" s="29" t="str">
        <x:v>2020</x:v>
      </x:c>
      <x:c r="D43" s="29" t="str">
        <x:v>정치·정책·사회</x:v>
      </x:c>
      <x:c r="E43" s="29" t="str">
        <x:v>가덕도 특별법</x:v>
      </x:c>
      <x:c r="F43" s="29" t="str">
        <x:v>영화금속 (012280)</x:v>
      </x:c>
      <x:c r="G43" s="29" t="str">
        <x:v>KOSPI</x:v>
      </x:c>
      <x:c r="H43" s="31" t="str">
        <x:v>하락</x:v>
      </x:c>
      <x:c r="I43" s="29" t="str">
        <x:v>법 통과 후 -14.44%로 상승분 반납</x:v>
      </x:c>
      <x:c r="J43" s="29" t="str">
        <x:v>강한사례</x:v>
      </x:c>
      <x:c r="K43" s="29" t="str"/>
      <x:c r="L43" s="29" t="str">
        <x:v>혼합-테마 주도 | 완료 | 지리적 인접성</x:v>
      </x:c>
      <x:c r="M43" s="29" t="str">
        <x:v>S25</x:v>
      </x:c>
      <x:c r="N43" s="29" t="n">
        <x:v>2</x:v>
      </x:c>
      <x:c r="O43" s="29" t="n">
        <x:v>1</x:v>
      </x:c>
      <x:c r="P43" s="29" t="n">
        <x:v>2</x:v>
      </x:c>
      <x:c r="Q43" s="29" t="n">
        <x:v>0</x:v>
      </x:c>
      <x:c r="R43" s="29" t="n">
        <x:f>SUM(N43:P43)</x:f>
        <x:v>5</x:v>
      </x:c>
      <x:c r="S43" s="28" t="str">
        <x:f>IF(AND(N43=2,P43=2,R43&gt;=5),"핵심사례",IF(R43&gt;=3,"보조사례","경계사례"))</x:f>
        <x:v>핵심사례</x:v>
      </x:c>
    </x:row>
    <x:row r="44" ht="45" customHeight="1">
      <x:c r="A44" s="18" t="str">
        <x:v>KR-P016</x:v>
      </x:c>
      <x:c r="B44" s="18" t="str">
        <x:v>EV0033</x:v>
      </x:c>
      <x:c r="C44" s="18" t="str">
        <x:v>2020</x:v>
      </x:c>
      <x:c r="D44" s="18" t="str">
        <x:v>정치·정책·사회</x:v>
      </x:c>
      <x:c r="E44" s="18" t="str">
        <x:v>가덕도 특별법</x:v>
      </x:c>
      <x:c r="F44" s="18" t="str">
        <x:v>동방선기 (099410)</x:v>
      </x:c>
      <x:c r="G44" s="18" t="str">
        <x:v>KOSDAQ</x:v>
      </x:c>
      <x:c r="H44" s="31" t="str">
        <x:v>하락</x:v>
      </x:c>
      <x:c r="I44" s="18" t="str">
        <x:v>법 통과 후 -15.88%로 상승분 반납</x:v>
      </x:c>
      <x:c r="J44" s="18" t="str">
        <x:v>강한사례</x:v>
      </x:c>
      <x:c r="K44" s="18" t="str"/>
      <x:c r="L44" s="18" t="str">
        <x:v>혼합-테마 주도 | 완료 | 지리적 인접성</x:v>
      </x:c>
      <x:c r="M44" s="18" t="str">
        <x:v>S25</x:v>
      </x:c>
      <x:c r="N44" s="18" t="n">
        <x:v>2</x:v>
      </x:c>
      <x:c r="O44" s="18" t="n">
        <x:v>1</x:v>
      </x:c>
      <x:c r="P44" s="18" t="n">
        <x:v>2</x:v>
      </x:c>
      <x:c r="Q44" s="18" t="n">
        <x:v>0</x:v>
      </x:c>
      <x:c r="R44" s="18" t="n">
        <x:f>SUM(N44:P44)</x:f>
        <x:v>5</x:v>
      </x:c>
      <x:c r="S44" s="28" t="str">
        <x:f>IF(AND(N44=2,P44=2,R44&gt;=5),"핵심사례",IF(R44&gt;=3,"보조사례","경계사례"))</x:f>
        <x:v>핵심사례</x:v>
      </x:c>
    </x:row>
    <x:row r="45" ht="45" customHeight="1">
      <x:c r="A45" s="29" t="str">
        <x:v>KR-P017</x:v>
      </x:c>
      <x:c r="B45" s="29" t="str">
        <x:v>EV0033</x:v>
      </x:c>
      <x:c r="C45" s="29" t="str">
        <x:v>2020</x:v>
      </x:c>
      <x:c r="D45" s="29" t="str">
        <x:v>정치·정책·사회</x:v>
      </x:c>
      <x:c r="E45" s="29" t="str">
        <x:v>가덕도 특별법</x:v>
      </x:c>
      <x:c r="F45" s="29" t="str">
        <x:v>삼보산업 (009620)</x:v>
      </x:c>
      <x:c r="G45" s="29" t="str">
        <x:v>KOSDAQ</x:v>
      </x:c>
      <x:c r="H45" s="31" t="str">
        <x:v>하락</x:v>
      </x:c>
      <x:c r="I45" s="29" t="str">
        <x:v>법 통과 후 -16.62%로 상승분 반납</x:v>
      </x:c>
      <x:c r="J45" s="29" t="str">
        <x:v>강한사례</x:v>
      </x:c>
      <x:c r="K45" s="29" t="str"/>
      <x:c r="L45" s="29" t="str">
        <x:v>혼합-테마 주도 | 완료 | 지역 테마</x:v>
      </x:c>
      <x:c r="M45" s="29" t="str">
        <x:v>S25</x:v>
      </x:c>
      <x:c r="N45" s="29" t="n">
        <x:v>2</x:v>
      </x:c>
      <x:c r="O45" s="29" t="n">
        <x:v>1</x:v>
      </x:c>
      <x:c r="P45" s="29" t="n">
        <x:v>2</x:v>
      </x:c>
      <x:c r="Q45" s="29" t="n">
        <x:v>0</x:v>
      </x:c>
      <x:c r="R45" s="29" t="n">
        <x:f>SUM(N45:P45)</x:f>
        <x:v>5</x:v>
      </x:c>
      <x:c r="S45" s="28" t="str">
        <x:f>IF(AND(N45=2,P45=2,R45&gt;=5),"핵심사례",IF(R45&gt;=3,"보조사례","경계사례"))</x:f>
        <x:v>핵심사례</x:v>
      </x:c>
    </x:row>
    <x:row r="46" ht="45" customHeight="1">
      <x:c r="A46" s="18" t="str">
        <x:v>KR-P018</x:v>
      </x:c>
      <x:c r="B46" s="18" t="str">
        <x:v>EV0084</x:v>
      </x:c>
      <x:c r="C46" s="18" t="str">
        <x:v>2025</x:v>
      </x:c>
      <x:c r="D46" s="18" t="str">
        <x:v>정치·정책·사회</x:v>
      </x:c>
      <x:c r="E46" s="18" t="str">
        <x:v>세종 이전</x:v>
      </x:c>
      <x:c r="F46" s="18" t="str">
        <x:v>프럼파스트 (035200)</x:v>
      </x:c>
      <x:c r="G46" s="18" t="str">
        <x:v>KOSDAQ</x:v>
      </x:c>
      <x:c r="H46" s="28" t="str">
        <x:v>상승</x:v>
      </x:c>
      <x:c r="I46" s="18" t="str">
        <x:v>기사 당일 5.36%</x:v>
      </x:c>
      <x:c r="J46" s="18" t="str">
        <x:v>강한사례</x:v>
      </x:c>
      <x:c r="K46" s="18" t="str"/>
      <x:c r="L46" s="18" t="str">
        <x:v>혼합-테마 주도 | 완료 | 자산 위치형</x:v>
      </x:c>
      <x:c r="M46" s="18" t="str">
        <x:v>S26</x:v>
      </x:c>
      <x:c r="N46" s="18" t="n">
        <x:v>2</x:v>
      </x:c>
      <x:c r="O46" s="18" t="n">
        <x:v>1</x:v>
      </x:c>
      <x:c r="P46" s="18" t="n">
        <x:v>2</x:v>
      </x:c>
      <x:c r="Q46" s="18" t="n">
        <x:v>0</x:v>
      </x:c>
      <x:c r="R46" s="18" t="n">
        <x:f>SUM(N46:P46)</x:f>
        <x:v>5</x:v>
      </x:c>
      <x:c r="S46" s="28" t="str">
        <x:f>IF(AND(N46=2,P46=2,R46&gt;=5),"핵심사례",IF(R46&gt;=3,"보조사례","경계사례"))</x:f>
        <x:v>핵심사례</x:v>
      </x:c>
    </x:row>
    <x:row r="47" ht="45" customHeight="1">
      <x:c r="A47" s="29" t="str">
        <x:v>KR-P019</x:v>
      </x:c>
      <x:c r="B47" s="29" t="str">
        <x:v>EV0084</x:v>
      </x:c>
      <x:c r="C47" s="29" t="str">
        <x:v>2025</x:v>
      </x:c>
      <x:c r="D47" s="29" t="str">
        <x:v>정치·정책·사회</x:v>
      </x:c>
      <x:c r="E47" s="29" t="str">
        <x:v>세종 이전</x:v>
      </x:c>
      <x:c r="F47" s="29" t="str">
        <x:v>유라테크 (048430)</x:v>
      </x:c>
      <x:c r="G47" s="29" t="str">
        <x:v>KOSDAQ</x:v>
      </x:c>
      <x:c r="H47" s="28" t="str">
        <x:v>상승</x:v>
      </x:c>
      <x:c r="I47" s="29" t="str">
        <x:v>기사 당일 7.67%</x:v>
      </x:c>
      <x:c r="J47" s="29" t="str">
        <x:v>강한사례</x:v>
      </x:c>
      <x:c r="K47" s="29" t="str"/>
      <x:c r="L47" s="29" t="str">
        <x:v>혼합-테마 주도 | 완료 | 지역 테마</x:v>
      </x:c>
      <x:c r="M47" s="29" t="str">
        <x:v>S26</x:v>
      </x:c>
      <x:c r="N47" s="29" t="n">
        <x:v>2</x:v>
      </x:c>
      <x:c r="O47" s="29" t="n">
        <x:v>1</x:v>
      </x:c>
      <x:c r="P47" s="29" t="n">
        <x:v>2</x:v>
      </x:c>
      <x:c r="Q47" s="29" t="n">
        <x:v>0</x:v>
      </x:c>
      <x:c r="R47" s="29" t="n">
        <x:f>SUM(N47:P47)</x:f>
        <x:v>5</x:v>
      </x:c>
      <x:c r="S47" s="28" t="str">
        <x:f>IF(AND(N47=2,P47=2,R47&gt;=5),"핵심사례",IF(R47&gt;=3,"보조사례","경계사례"))</x:f>
        <x:v>핵심사례</x:v>
      </x:c>
    </x:row>
    <x:row r="48" ht="45" customHeight="1">
      <x:c r="A48" s="18" t="str">
        <x:v>KR-P022</x:v>
      </x:c>
      <x:c r="B48" s="18" t="str">
        <x:v>EV0072</x:v>
      </x:c>
      <x:c r="C48" s="18" t="str">
        <x:v>2024</x:v>
      </x:c>
      <x:c r="D48" s="18" t="str">
        <x:v>정치·정책·사회</x:v>
      </x:c>
      <x:c r="E48" s="18" t="str">
        <x:v>동해 심해 가스전</x:v>
      </x:c>
      <x:c r="F48" s="18" t="str">
        <x:v>한국가스공사 (036460)</x:v>
      </x:c>
      <x:c r="G48" s="18" t="str">
        <x:v>KOSPI</x:v>
      </x:c>
      <x:c r="H48" s="28" t="str">
        <x:v>상승</x:v>
      </x:c>
      <x:c r="I48" s="18" t="str">
        <x:v>발표 뒤 38% 상승</x:v>
      </x:c>
      <x:c r="J48" s="18" t="str">
        <x:v>강한사례</x:v>
      </x:c>
      <x:c r="K48" s="18" t="str"/>
      <x:c r="L48" s="18" t="str">
        <x:v>혼합-테마 주도 | 완료 | 프로젝트 실패 뒤 급락</x:v>
      </x:c>
      <x:c r="M48" s="18" t="str">
        <x:v>S27;S28;S30</x:v>
      </x:c>
      <x:c r="N48" s="18" t="n">
        <x:v>2</x:v>
      </x:c>
      <x:c r="O48" s="18" t="n">
        <x:v>1</x:v>
      </x:c>
      <x:c r="P48" s="18" t="n">
        <x:v>2</x:v>
      </x:c>
      <x:c r="Q48" s="18" t="n">
        <x:v>1</x:v>
      </x:c>
      <x:c r="R48" s="18" t="n">
        <x:f>SUM(N48:P48)</x:f>
        <x:v>5</x:v>
      </x:c>
      <x:c r="S48" s="28" t="str">
        <x:f>IF(AND(N48=2,P48=2,R48&gt;=5),"핵심사례",IF(R48&gt;=3,"보조사례","경계사례"))</x:f>
        <x:v>핵심사례</x:v>
      </x:c>
    </x:row>
    <x:row r="49" ht="45" customHeight="1">
      <x:c r="A49" s="29" t="str">
        <x:v>KR-P023</x:v>
      </x:c>
      <x:c r="B49" s="29" t="str">
        <x:v>EV0072</x:v>
      </x:c>
      <x:c r="C49" s="29" t="str">
        <x:v>2024</x:v>
      </x:c>
      <x:c r="D49" s="29" t="str">
        <x:v>정치·정책·사회</x:v>
      </x:c>
      <x:c r="E49" s="29" t="str">
        <x:v>동해 심해 가스전</x:v>
      </x:c>
      <x:c r="F49" s="29" t="str">
        <x:v>한국석유 (004090)</x:v>
      </x:c>
      <x:c r="G49" s="29" t="str">
        <x:v>KOSPI</x:v>
      </x:c>
      <x:c r="H49" s="28" t="str">
        <x:v>상승</x:v>
      </x:c>
      <x:c r="I49" s="29" t="str">
        <x:v>발표 당일 상한가; 경제성 없음 뒤 -13.8%</x:v>
      </x:c>
      <x:c r="J49" s="29" t="str">
        <x:v>강한사례</x:v>
      </x:c>
      <x:c r="K49" s="29" t="str"/>
      <x:c r="L49" s="29" t="str">
        <x:v>강한 밈 | 완료 | 이름·업종 착시 성격 강함</x:v>
      </x:c>
      <x:c r="M49" s="29" t="str">
        <x:v>S27;S30</x:v>
      </x:c>
      <x:c r="N49" s="29" t="n">
        <x:v>2</x:v>
      </x:c>
      <x:c r="O49" s="29" t="n">
        <x:v>1</x:v>
      </x:c>
      <x:c r="P49" s="29" t="n">
        <x:v>2</x:v>
      </x:c>
      <x:c r="Q49" s="29" t="n">
        <x:v>0</x:v>
      </x:c>
      <x:c r="R49" s="29" t="n">
        <x:f>SUM(N49:P49)</x:f>
        <x:v>5</x:v>
      </x:c>
      <x:c r="S49" s="28" t="str">
        <x:f>IF(AND(N49=2,P49=2,R49&gt;=5),"핵심사례",IF(R49&gt;=3,"보조사례","경계사례"))</x:f>
        <x:v>핵심사례</x:v>
      </x:c>
    </x:row>
    <x:row r="50" ht="45" customHeight="1">
      <x:c r="A50" s="18" t="str">
        <x:v>KR-P024</x:v>
      </x:c>
      <x:c r="B50" s="18" t="str">
        <x:v>EV0072</x:v>
      </x:c>
      <x:c r="C50" s="18" t="str">
        <x:v>2024</x:v>
      </x:c>
      <x:c r="D50" s="18" t="str">
        <x:v>정치·정책·사회</x:v>
      </x:c>
      <x:c r="E50" s="18" t="str">
        <x:v>동해 심해 가스전</x:v>
      </x:c>
      <x:c r="F50" s="18" t="str">
        <x:v>흥구석유 (024060)</x:v>
      </x:c>
      <x:c r="G50" s="18" t="str">
        <x:v>KOSDAQ</x:v>
      </x:c>
      <x:c r="H50" s="28" t="str">
        <x:v>상승</x:v>
      </x:c>
      <x:c r="I50" s="18" t="str">
        <x:v>발표 당일 상한가; 경제성 없음 뒤 -9.08%</x:v>
      </x:c>
      <x:c r="J50" s="18" t="str">
        <x:v>강한사례</x:v>
      </x:c>
      <x:c r="K50" s="18" t="str"/>
      <x:c r="L50" s="18" t="str">
        <x:v>강한 밈 | 완료 | 업종명 연상</x:v>
      </x:c>
      <x:c r="M50" s="18" t="str">
        <x:v>S27;S30</x:v>
      </x:c>
      <x:c r="N50" s="18" t="n">
        <x:v>2</x:v>
      </x:c>
      <x:c r="O50" s="18" t="n">
        <x:v>1</x:v>
      </x:c>
      <x:c r="P50" s="18" t="n">
        <x:v>2</x:v>
      </x:c>
      <x:c r="Q50" s="18" t="n">
        <x:v>0</x:v>
      </x:c>
      <x:c r="R50" s="18" t="n">
        <x:f>SUM(N50:P50)</x:f>
        <x:v>5</x:v>
      </x:c>
      <x:c r="S50" s="28" t="str">
        <x:f>IF(AND(N50=2,P50=2,R50&gt;=5),"핵심사례",IF(R50&gt;=3,"보조사례","경계사례"))</x:f>
        <x:v>핵심사례</x:v>
      </x:c>
    </x:row>
    <x:row r="51" ht="45" customHeight="1">
      <x:c r="A51" s="29" t="str">
        <x:v>KR-P025</x:v>
      </x:c>
      <x:c r="B51" s="29" t="str">
        <x:v>EV0072</x:v>
      </x:c>
      <x:c r="C51" s="29" t="str">
        <x:v>2024</x:v>
      </x:c>
      <x:c r="D51" s="29" t="str">
        <x:v>정치·정책·사회</x:v>
      </x:c>
      <x:c r="E51" s="29" t="str">
        <x:v>동해 심해 가스전</x:v>
      </x:c>
      <x:c r="F51" s="29" t="str">
        <x:v>동양철관 (008970)</x:v>
      </x:c>
      <x:c r="G51" s="29" t="str">
        <x:v>KOSPI</x:v>
      </x:c>
      <x:c r="H51" s="30" t="str">
        <x:v>미확인</x:v>
      </x:c>
      <x:c r="I51" s="29" t="str">
        <x:v>2연속 상한가 뒤 3일째 장중 +21.53%</x:v>
      </x:c>
      <x:c r="J51" s="29" t="str">
        <x:v>경계사례</x:v>
      </x:c>
      <x:c r="K51" s="29" t="str"/>
      <x:c r="L51" s="29" t="str">
        <x:v>혼합-테마 주도 | 완료 | 사업 접점 있으나 시차 큼</x:v>
      </x:c>
      <x:c r="M51" s="29" t="str">
        <x:v>S27;S29;S30</x:v>
      </x:c>
      <x:c r="N51" s="29" t="n">
        <x:v>2</x:v>
      </x:c>
      <x:c r="O51" s="29" t="n">
        <x:v>1</x:v>
      </x:c>
      <x:c r="P51" s="29" t="n">
        <x:v>1</x:v>
      </x:c>
      <x:c r="Q51" s="29" t="n">
        <x:v>0</x:v>
      </x:c>
      <x:c r="R51" s="29" t="n">
        <x:f>SUM(N51:P51)</x:f>
        <x:v>4</x:v>
      </x:c>
      <x:c r="S51" s="30" t="str">
        <x:f>IF(AND(N51=2,P51=2,R51&gt;=5),"핵심사례",IF(R51&gt;=3,"보조사례","경계사례"))</x:f>
        <x:v>보조사례</x:v>
      </x:c>
    </x:row>
    <x:row r="52" ht="45" customHeight="1">
      <x:c r="A52" s="18" t="str">
        <x:v>KR-P026</x:v>
      </x:c>
      <x:c r="B52" s="18" t="str">
        <x:v>EV0072</x:v>
      </x:c>
      <x:c r="C52" s="18" t="str">
        <x:v>2024</x:v>
      </x:c>
      <x:c r="D52" s="18" t="str">
        <x:v>정치·정책·사회</x:v>
      </x:c>
      <x:c r="E52" s="18" t="str">
        <x:v>동해 심해 가스전</x:v>
      </x:c>
      <x:c r="F52" s="18" t="str">
        <x:v>화성밸브 (039610)</x:v>
      </x:c>
      <x:c r="G52" s="18" t="str">
        <x:v>KOSDAQ</x:v>
      </x:c>
      <x:c r="H52" s="28" t="str">
        <x:v>상승</x:v>
      </x:c>
      <x:c r="I52" s="18" t="str">
        <x:v>발표 당일 상한가</x:v>
      </x:c>
      <x:c r="J52" s="18" t="str">
        <x:v>강한사례</x:v>
      </x:c>
      <x:c r="K52" s="18" t="str"/>
      <x:c r="L52" s="18" t="str">
        <x:v>혼합-테마 주도 | 완료 | 사업 접점 있으나 수주 미확정</x:v>
      </x:c>
      <x:c r="M52" s="18" t="str">
        <x:v>S27;S30</x:v>
      </x:c>
      <x:c r="N52" s="18" t="n">
        <x:v>2</x:v>
      </x:c>
      <x:c r="O52" s="18" t="n">
        <x:v>1</x:v>
      </x:c>
      <x:c r="P52" s="18" t="n">
        <x:v>2</x:v>
      </x:c>
      <x:c r="Q52" s="18" t="n">
        <x:v>0</x:v>
      </x:c>
      <x:c r="R52" s="18" t="n">
        <x:f>SUM(N52:P52)</x:f>
        <x:v>5</x:v>
      </x:c>
      <x:c r="S52" s="28" t="str">
        <x:f>IF(AND(N52=2,P52=2,R52&gt;=5),"핵심사례",IF(R52&gt;=3,"보조사례","경계사례"))</x:f>
        <x:v>핵심사례</x:v>
      </x:c>
    </x:row>
    <x:row r="53" ht="45" customHeight="1">
      <x:c r="A53" s="29" t="str">
        <x:v>KR-P027</x:v>
      </x:c>
      <x:c r="B53" s="29" t="str">
        <x:v>EV0072</x:v>
      </x:c>
      <x:c r="C53" s="29" t="str">
        <x:v>2024</x:v>
      </x:c>
      <x:c r="D53" s="29" t="str">
        <x:v>정치·정책·사회</x:v>
      </x:c>
      <x:c r="E53" s="29" t="str">
        <x:v>동해 심해 가스전</x:v>
      </x:c>
      <x:c r="F53" s="29" t="str">
        <x:v>대성에너지 (117580)</x:v>
      </x:c>
      <x:c r="G53" s="29" t="str">
        <x:v>KOSPI</x:v>
      </x:c>
      <x:c r="H53" s="28" t="str">
        <x:v>상승</x:v>
      </x:c>
      <x:c r="I53" s="29" t="str">
        <x:v>발표 당일 상한가</x:v>
      </x:c>
      <x:c r="J53" s="29" t="str">
        <x:v>강한사례</x:v>
      </x:c>
      <x:c r="K53" s="29" t="str"/>
      <x:c r="L53" s="29" t="str">
        <x:v>강한 밈 | 완료 | 가스라는 단어 연상</x:v>
      </x:c>
      <x:c r="M53" s="29" t="str">
        <x:v>S27</x:v>
      </x:c>
      <x:c r="N53" s="29" t="n">
        <x:v>2</x:v>
      </x:c>
      <x:c r="O53" s="29" t="n">
        <x:v>1</x:v>
      </x:c>
      <x:c r="P53" s="29" t="n">
        <x:v>2</x:v>
      </x:c>
      <x:c r="Q53" s="29" t="n">
        <x:v>0</x:v>
      </x:c>
      <x:c r="R53" s="29" t="n">
        <x:f>SUM(N53:P53)</x:f>
        <x:v>5</x:v>
      </x:c>
      <x:c r="S53" s="28" t="str">
        <x:f>IF(AND(N53=2,P53=2,R53&gt;=5),"핵심사례",IF(R53&gt;=3,"보조사례","경계사례"))</x:f>
        <x:v>핵심사례</x:v>
      </x:c>
    </x:row>
    <x:row r="54" ht="45" customHeight="1">
      <x:c r="A54" s="18" t="str">
        <x:v>KR-P028</x:v>
      </x:c>
      <x:c r="B54" s="18" t="str">
        <x:v>EV0072</x:v>
      </x:c>
      <x:c r="C54" s="18" t="str">
        <x:v>2024</x:v>
      </x:c>
      <x:c r="D54" s="18" t="str">
        <x:v>정치·정책·사회</x:v>
      </x:c>
      <x:c r="E54" s="18" t="str">
        <x:v>동해 심해 가스전</x:v>
      </x:c>
      <x:c r="F54" s="18" t="str">
        <x:v>중앙에너비스 (000440)</x:v>
      </x:c>
      <x:c r="G54" s="18" t="str">
        <x:v>KOSDAQ</x:v>
      </x:c>
      <x:c r="H54" s="28" t="str">
        <x:v>상승</x:v>
      </x:c>
      <x:c r="I54" s="18" t="str">
        <x:v>발표 당일 상한가</x:v>
      </x:c>
      <x:c r="J54" s="18" t="str">
        <x:v>강한사례</x:v>
      </x:c>
      <x:c r="K54" s="18" t="str"/>
      <x:c r="L54" s="18" t="str">
        <x:v>강한 밈 | 완료 | 에너지 연상</x:v>
      </x:c>
      <x:c r="M54" s="18" t="str">
        <x:v>S27</x:v>
      </x:c>
      <x:c r="N54" s="18" t="n">
        <x:v>2</x:v>
      </x:c>
      <x:c r="O54" s="18" t="n">
        <x:v>1</x:v>
      </x:c>
      <x:c r="P54" s="18" t="n">
        <x:v>2</x:v>
      </x:c>
      <x:c r="Q54" s="18" t="n">
        <x:v>0</x:v>
      </x:c>
      <x:c r="R54" s="18" t="n">
        <x:f>SUM(N54:P54)</x:f>
        <x:v>5</x:v>
      </x:c>
      <x:c r="S54" s="28" t="str">
        <x:f>IF(AND(N54=2,P54=2,R54&gt;=5),"핵심사례",IF(R54&gt;=3,"보조사례","경계사례"))</x:f>
        <x:v>핵심사례</x:v>
      </x:c>
    </x:row>
    <x:row r="55" ht="45" customHeight="1">
      <x:c r="A55" s="29" t="str">
        <x:v>KR-C002</x:v>
      </x:c>
      <x:c r="B55" s="29" t="str">
        <x:v>EV0045</x:v>
      </x:c>
      <x:c r="C55" s="29" t="str">
        <x:v>2021</x:v>
      </x:c>
      <x:c r="D55" s="29" t="str">
        <x:v>콘텐츠·팬덤</x:v>
      </x:c>
      <x:c r="E55" s="29" t="str">
        <x:v>오징어게임</x:v>
      </x:c>
      <x:c r="F55" s="29" t="str">
        <x:v>버킷스튜디오 (066410)</x:v>
      </x:c>
      <x:c r="G55" s="29" t="str">
        <x:v>KOSDAQ</x:v>
      </x:c>
      <x:c r="H55" s="30" t="str">
        <x:v>미확인</x:v>
      </x:c>
      <x:c r="I55" s="29" t="str">
        <x:v>상한가를 거듭</x:v>
      </x:c>
      <x:c r="J55" s="29" t="str">
        <x:v>경계사례</x:v>
      </x:c>
      <x:c r="K55" s="29" t="str"/>
      <x:c r="L55" s="29" t="str">
        <x:v>혼합-테마 주도 | 완료 | 배우 소속사 지분의 간접성</x:v>
      </x:c>
      <x:c r="M55" s="29" t="str">
        <x:v>S33;S34</x:v>
      </x:c>
      <x:c r="N55" s="29" t="n">
        <x:v>2</x:v>
      </x:c>
      <x:c r="O55" s="29" t="n">
        <x:v>1</x:v>
      </x:c>
      <x:c r="P55" s="29" t="n">
        <x:v>1</x:v>
      </x:c>
      <x:c r="Q55" s="29" t="n">
        <x:v>1</x:v>
      </x:c>
      <x:c r="R55" s="29" t="n">
        <x:f>SUM(N55:P55)</x:f>
        <x:v>4</x:v>
      </x:c>
      <x:c r="S55" s="30" t="str">
        <x:f>IF(AND(N55=2,P55=2,R55&gt;=5),"핵심사례",IF(R55&gt;=3,"보조사례","경계사례"))</x:f>
        <x:v>보조사례</x:v>
      </x:c>
    </x:row>
    <x:row r="56" ht="45" customHeight="1">
      <x:c r="A56" s="18" t="str">
        <x:v>KR-C003</x:v>
      </x:c>
      <x:c r="B56" s="18" t="str">
        <x:v>EV0045</x:v>
      </x:c>
      <x:c r="C56" s="18" t="str">
        <x:v>2021</x:v>
      </x:c>
      <x:c r="D56" s="18" t="str">
        <x:v>콘텐츠·팬덤</x:v>
      </x:c>
      <x:c r="E56" s="18" t="str">
        <x:v>오징어게임</x:v>
      </x:c>
      <x:c r="F56" s="18" t="str">
        <x:v>쇼박스 (086980)</x:v>
      </x:c>
      <x:c r="G56" s="18" t="str">
        <x:v>KOSDAQ</x:v>
      </x:c>
      <x:c r="H56" s="30" t="str">
        <x:v>미확인</x:v>
      </x:c>
      <x:c r="I56" s="18" t="str">
        <x:v>흥행 뉴스 뒤 급등</x:v>
      </x:c>
      <x:c r="J56" s="18" t="str">
        <x:v>경계사례</x:v>
      </x:c>
      <x:c r="K56" s="18" t="str"/>
      <x:c r="L56" s="18" t="str">
        <x:v>강한 밈 | 완료 | 과거 인연 재소환</x:v>
      </x:c>
      <x:c r="M56" s="18" t="str">
        <x:v>S34</x:v>
      </x:c>
      <x:c r="N56" s="18" t="n">
        <x:v>2</x:v>
      </x:c>
      <x:c r="O56" s="18" t="n">
        <x:v>1</x:v>
      </x:c>
      <x:c r="P56" s="18" t="n">
        <x:v>1</x:v>
      </x:c>
      <x:c r="Q56" s="18" t="n">
        <x:v>1</x:v>
      </x:c>
      <x:c r="R56" s="18" t="n">
        <x:f>SUM(N56:P56)</x:f>
        <x:v>4</x:v>
      </x:c>
      <x:c r="S56" s="30" t="str">
        <x:f>IF(AND(N56=2,P56=2,R56&gt;=5),"핵심사례",IF(R56&gt;=3,"보조사례","경계사례"))</x:f>
        <x:v>보조사례</x:v>
      </x:c>
    </x:row>
    <x:row r="57" ht="45" customHeight="1">
      <x:c r="A57" s="29" t="str">
        <x:v>KR-X001</x:v>
      </x:c>
      <x:c r="B57" s="29" t="str">
        <x:v>EV0034</x:v>
      </x:c>
      <x:c r="C57" s="29" t="str">
        <x:v>2020</x:v>
      </x:c>
      <x:c r="D57" s="29" t="str">
        <x:v>콘텐츠·팬덤</x:v>
      </x:c>
      <x:c r="E57" s="29" t="str">
        <x:v>기생충</x:v>
      </x:c>
      <x:c r="F57" s="29" t="str">
        <x:v>바른손이앤에이 (035620)</x:v>
      </x:c>
      <x:c r="G57" s="29" t="str">
        <x:v>KOSDAQ</x:v>
      </x:c>
      <x:c r="H57" s="30" t="str">
        <x:v>미확인</x:v>
      </x:c>
      <x:c r="I57" s="29" t="str">
        <x:v>수상 당일 급등</x:v>
      </x:c>
      <x:c r="J57" s="29" t="str">
        <x:v>경계사례</x:v>
      </x:c>
      <x:c r="K57" s="29" t="str"/>
      <x:c r="L57" s="29" t="str">
        <x:v>제외-직접 사업 | 완료 | 순수 밈이 아니라 사업 성과</x:v>
      </x:c>
      <x:c r="M57" s="29" t="str">
        <x:v>S35</x:v>
      </x:c>
      <x:c r="N57" s="29" t="n">
        <x:v>2</x:v>
      </x:c>
      <x:c r="O57" s="29" t="n">
        <x:v>1</x:v>
      </x:c>
      <x:c r="P57" s="29" t="n">
        <x:v>1</x:v>
      </x:c>
      <x:c r="Q57" s="29" t="n">
        <x:v>1</x:v>
      </x:c>
      <x:c r="R57" s="29" t="n">
        <x:f>SUM(N57:P57)</x:f>
        <x:v>4</x:v>
      </x:c>
      <x:c r="S57" s="30" t="str">
        <x:f>IF(AND(N57=2,P57=2,R57&gt;=5),"핵심사례",IF(R57&gt;=3,"보조사례","경계사례"))</x:f>
        <x:v>보조사례</x:v>
      </x:c>
    </x:row>
    <x:row r="58" ht="45" customHeight="1">
      <x:c r="A58" s="18" t="str">
        <x:v>KR-X002</x:v>
      </x:c>
      <x:c r="B58" s="18" t="str">
        <x:v>EV0034</x:v>
      </x:c>
      <x:c r="C58" s="18" t="str">
        <x:v>2020</x:v>
      </x:c>
      <x:c r="D58" s="18" t="str">
        <x:v>콘텐츠·팬덤</x:v>
      </x:c>
      <x:c r="E58" s="18" t="str">
        <x:v>기생충</x:v>
      </x:c>
      <x:c r="F58" s="18" t="str">
        <x:v>바른손 (018700)</x:v>
      </x:c>
      <x:c r="G58" s="18" t="str">
        <x:v>KOSDAQ</x:v>
      </x:c>
      <x:c r="H58" s="28" t="str">
        <x:v>상승</x:v>
      </x:c>
      <x:c r="I58" s="18" t="str">
        <x:v>당일 상한가</x:v>
      </x:c>
      <x:c r="J58" s="18" t="str">
        <x:v>강한사례</x:v>
      </x:c>
      <x:c r="K58" s="18" t="str"/>
      <x:c r="L58" s="18" t="str">
        <x:v>제외-직접 사업 | 완료 | 비교용 제외 사례</x:v>
      </x:c>
      <x:c r="M58" s="18" t="str">
        <x:v>S35</x:v>
      </x:c>
      <x:c r="N58" s="18" t="n">
        <x:v>2</x:v>
      </x:c>
      <x:c r="O58" s="18" t="n">
        <x:v>1</x:v>
      </x:c>
      <x:c r="P58" s="18" t="n">
        <x:v>2</x:v>
      </x:c>
      <x:c r="Q58" s="18" t="n">
        <x:v>1</x:v>
      </x:c>
      <x:c r="R58" s="18" t="n">
        <x:f>SUM(N58:P58)</x:f>
        <x:v>5</x:v>
      </x:c>
      <x:c r="S58" s="28" t="str">
        <x:f>IF(AND(N58=2,P58=2,R58&gt;=5),"핵심사례",IF(R58&gt;=3,"보조사례","경계사례"))</x:f>
        <x:v>핵심사례</x:v>
      </x:c>
    </x:row>
    <x:row r="59" ht="45" customHeight="1">
      <x:c r="A59" s="29" t="str">
        <x:v>KR-SNS001</x:v>
      </x:c>
      <x:c r="B59" s="29" t="str">
        <x:v>EV0088</x:v>
      </x:c>
      <x:c r="C59" s="29" t="str">
        <x:v>2026</x:v>
      </x:c>
      <x:c r="D59" s="29" t="str">
        <x:v>식품·소비</x:v>
      </x:c>
      <x:c r="E59" s="29" t="str">
        <x:v>두바이 쫀득쿠키</x:v>
      </x:c>
      <x:c r="F59" s="29" t="str">
        <x:v>흥국에프엔비 (189980)</x:v>
      </x:c>
      <x:c r="G59" s="29" t="str">
        <x:v>KOSDAQ</x:v>
      </x:c>
      <x:c r="H59" s="28" t="str">
        <x:v>상승</x:v>
      </x:c>
      <x:c r="I59" s="29" t="str">
        <x:v>원재료 공급 확대 소식에 상한가</x:v>
      </x:c>
      <x:c r="J59" s="29" t="str">
        <x:v>강한사례</x:v>
      </x:c>
      <x:c r="K59" s="29" t="str"/>
      <x:c r="L59" s="29" t="str">
        <x:v>바이럴-사업직결 | 완료 | 두쫀쿠 대표 사례. 유행이 실제 공급망 매출로 연결되지만 유행 수명은 짧을 수 있음</x:v>
      </x:c>
      <x:c r="M59" s="29" t="str">
        <x:v>S50;S51</x:v>
      </x:c>
      <x:c r="N59" s="29" t="n">
        <x:v>2</x:v>
      </x:c>
      <x:c r="O59" s="29" t="n">
        <x:v>2</x:v>
      </x:c>
      <x:c r="P59" s="29" t="n">
        <x:v>2</x:v>
      </x:c>
      <x:c r="Q59" s="29" t="n">
        <x:v>1</x:v>
      </x:c>
      <x:c r="R59" s="29" t="n">
        <x:f>SUM(N59:P59)</x:f>
        <x:v>6</x:v>
      </x:c>
      <x:c r="S59" s="28" t="str">
        <x:f>IF(AND(N59=2,P59=2,R59&gt;=5),"핵심사례",IF(R59&gt;=3,"보조사례","경계사례"))</x:f>
        <x:v>핵심사례</x:v>
      </x:c>
    </x:row>
    <x:row r="60" ht="45" customHeight="1">
      <x:c r="A60" s="18" t="str">
        <x:v>KR-SNS002</x:v>
      </x:c>
      <x:c r="B60" s="18" t="str">
        <x:v>EV0088</x:v>
      </x:c>
      <x:c r="C60" s="18" t="str">
        <x:v>2026</x:v>
      </x:c>
      <x:c r="D60" s="18" t="str">
        <x:v>식품·소비</x:v>
      </x:c>
      <x:c r="E60" s="18" t="str">
        <x:v>두바이 쫀득쿠키</x:v>
      </x:c>
      <x:c r="F60" s="18" t="str">
        <x:v>BGF리테일 (282330)</x:v>
      </x:c>
      <x:c r="G60" s="18" t="str">
        <x:v>KOSPI</x:v>
      </x:c>
      <x:c r="H60" s="30" t="str">
        <x:v>미확인</x:v>
      </x:c>
      <x:c r="I60" s="18" t="str">
        <x:v>증권사 목표주가 14.5만→15.5만원 상향; 단기 주가 수치 미확인</x:v>
      </x:c>
      <x:c r="J60" s="18" t="str">
        <x:v>가격미확인</x:v>
      </x:c>
      <x:c r="K60" s="18" t="str"/>
      <x:c r="L60" s="18" t="str">
        <x:v>후보-추가검증 | 가격검증 | 실제 수혜는 확인되나 유행만의 주가 효과를 분리하기 어려움</x:v>
      </x:c>
      <x:c r="M60" s="18" t="str">
        <x:v>S51</x:v>
      </x:c>
      <x:c r="N60" s="18" t="n">
        <x:v>2</x:v>
      </x:c>
      <x:c r="O60" s="18" t="n">
        <x:v>1</x:v>
      </x:c>
      <x:c r="P60" s="18" t="n">
        <x:v>0</x:v>
      </x:c>
      <x:c r="Q60" s="18" t="n">
        <x:v>1</x:v>
      </x:c>
      <x:c r="R60" s="18" t="n">
        <x:f>SUM(N60:P60)</x:f>
        <x:v>3</x:v>
      </x:c>
      <x:c r="S60" s="30" t="str">
        <x:f>IF(AND(N60=2,P60=2,R60&gt;=5),"핵심사례",IF(R60&gt;=3,"보조사례","경계사례"))</x:f>
        <x:v>보조사례</x:v>
      </x:c>
    </x:row>
    <x:row r="61" ht="45" customHeight="1">
      <x:c r="A61" s="29" t="str">
        <x:v>KR-SNS003</x:v>
      </x:c>
      <x:c r="B61" s="29" t="str">
        <x:v>EV0088</x:v>
      </x:c>
      <x:c r="C61" s="29" t="str">
        <x:v>2026</x:v>
      </x:c>
      <x:c r="D61" s="29" t="str">
        <x:v>식품·소비</x:v>
      </x:c>
      <x:c r="E61" s="29" t="str">
        <x:v>두바이 쫀득쿠키</x:v>
      </x:c>
      <x:c r="F61" s="29" t="str">
        <x:v>신세계푸드 (031440)</x:v>
      </x:c>
      <x:c r="G61" s="29" t="str">
        <x:v>KOSPI</x:v>
      </x:c>
      <x:c r="H61" s="30" t="str">
        <x:v>미확인</x:v>
      </x:c>
      <x:c r="I61" s="29" t="str">
        <x:v>판매 확대는 확인; 독립적 주가 상승 수치 미확인</x:v>
      </x:c>
      <x:c r="J61" s="29" t="str">
        <x:v>가격미확인</x:v>
      </x:c>
      <x:c r="K61" s="29" t="str"/>
      <x:c r="L61" s="29" t="str">
        <x:v>후보-추가검증 | 추가검증 | 주가 이벤트 윈도우와 다른 공시 동시 여부를 추가 확인</x:v>
      </x:c>
      <x:c r="M61" s="29" t="str">
        <x:v>S52</x:v>
      </x:c>
      <x:c r="N61" s="29" t="n">
        <x:v>2</x:v>
      </x:c>
      <x:c r="O61" s="29" t="n">
        <x:v>2</x:v>
      </x:c>
      <x:c r="P61" s="29" t="n">
        <x:v>0</x:v>
      </x:c>
      <x:c r="Q61" s="29" t="n">
        <x:v>1</x:v>
      </x:c>
      <x:c r="R61" s="29" t="n">
        <x:f>SUM(N61:P61)</x:f>
        <x:v>4</x:v>
      </x:c>
      <x:c r="S61" s="30" t="str">
        <x:f>IF(AND(N61=2,P61=2,R61&gt;=5),"핵심사례",IF(R61&gt;=3,"보조사례","경계사례"))</x:f>
        <x:v>보조사례</x:v>
      </x:c>
    </x:row>
    <x:row r="62" ht="45" customHeight="1">
      <x:c r="A62" s="18" t="str">
        <x:v>KR-SNS004</x:v>
      </x:c>
      <x:c r="B62" s="18" t="str">
        <x:v>EV0014</x:v>
      </x:c>
      <x:c r="C62" s="18" t="str">
        <x:v>2014</x:v>
      </x:c>
      <x:c r="D62" s="18" t="str">
        <x:v>식품·소비</x:v>
      </x:c>
      <x:c r="E62" s="18" t="str">
        <x:v>불닭볶음면 챌린지</x:v>
      </x:c>
      <x:c r="F62" s="18" t="str">
        <x:v>삼양식품 (003230)</x:v>
      </x:c>
      <x:c r="G62" s="18" t="str">
        <x:v>KOSPI</x:v>
      </x:c>
      <x:c r="H62" s="28" t="str">
        <x:v>상승</x:v>
      </x:c>
      <x:c r="I62" s="18" t="str">
        <x:v>2024년 주가 254% 상승</x:v>
      </x:c>
      <x:c r="J62" s="18" t="str">
        <x:v>강한사례</x:v>
      </x:c>
      <x:c r="K62" s="18" t="str"/>
      <x:c r="L62" s="18" t="str">
        <x:v>바이럴-사업직결 | 완료 | 순수 밈주가 아니라 바이럴→매출→주가의 전형</x:v>
      </x:c>
      <x:c r="M62" s="18" t="str">
        <x:v>S53</x:v>
      </x:c>
      <x:c r="N62" s="18" t="n">
        <x:v>2</x:v>
      </x:c>
      <x:c r="O62" s="18" t="n">
        <x:v>2</x:v>
      </x:c>
      <x:c r="P62" s="18" t="n">
        <x:v>2</x:v>
      </x:c>
      <x:c r="Q62" s="18" t="n">
        <x:v>1</x:v>
      </x:c>
      <x:c r="R62" s="18" t="n">
        <x:f>SUM(N62:P62)</x:f>
        <x:v>6</x:v>
      </x:c>
      <x:c r="S62" s="28" t="str">
        <x:f>IF(AND(N62=2,P62=2,R62&gt;=5),"핵심사례",IF(R62&gt;=3,"보조사례","경계사례"))</x:f>
        <x:v>핵심사례</x:v>
      </x:c>
    </x:row>
    <x:row r="63" ht="45" customHeight="1">
      <x:c r="A63" s="29" t="str">
        <x:v>KR-SNS005</x:v>
      </x:c>
      <x:c r="B63" s="29" t="str">
        <x:v>EV0054</x:v>
      </x:c>
      <x:c r="C63" s="29" t="str">
        <x:v>2022</x:v>
      </x:c>
      <x:c r="D63" s="29" t="str">
        <x:v>식품·소비</x:v>
      </x:c>
      <x:c r="E63" s="29" t="str">
        <x:v>포켓몬빵·띠부씰</x:v>
      </x:c>
      <x:c r="F63" s="29" t="str">
        <x:v>SPC삼립 (005610)</x:v>
      </x:c>
      <x:c r="G63" s="29" t="str">
        <x:v>KOSPI</x:v>
      </x:c>
      <x:c r="H63" s="28" t="str">
        <x:v>상승</x:v>
      </x:c>
      <x:c r="I63" s="29" t="str">
        <x:v>2월 20% 상승 뒤 열풍이 주가를 추가로 밀어올림</x:v>
      </x:c>
      <x:c r="J63" s="29" t="str">
        <x:v>강한사례</x:v>
      </x:c>
      <x:c r="K63" s="29" t="str"/>
      <x:c r="L63" s="29" t="str">
        <x:v>바이럴-사업직결 | 완료 | SNS 유행과 실제 판매가 결합된 사례</x:v>
      </x:c>
      <x:c r="M63" s="29" t="str">
        <x:v>S54</x:v>
      </x:c>
      <x:c r="N63" s="29" t="n">
        <x:v>2</x:v>
      </x:c>
      <x:c r="O63" s="29" t="n">
        <x:v>2</x:v>
      </x:c>
      <x:c r="P63" s="29" t="n">
        <x:v>2</x:v>
      </x:c>
      <x:c r="Q63" s="29" t="n">
        <x:v>1</x:v>
      </x:c>
      <x:c r="R63" s="29" t="n">
        <x:f>SUM(N63:P63)</x:f>
        <x:v>6</x:v>
      </x:c>
      <x:c r="S63" s="28" t="str">
        <x:f>IF(AND(N63=2,P63=2,R63&gt;=5),"핵심사례",IF(R63&gt;=3,"보조사례","경계사례"))</x:f>
        <x:v>핵심사례</x:v>
      </x:c>
    </x:row>
    <x:row r="64" ht="45" customHeight="1">
      <x:c r="A64" s="18" t="str">
        <x:v>KR-SNS006</x:v>
      </x:c>
      <x:c r="B64" s="18" t="str">
        <x:v>EV0087</x:v>
      </x:c>
      <x:c r="C64" s="18" t="str">
        <x:v>2025</x:v>
      </x:c>
      <x:c r="D64" s="18" t="str">
        <x:v>식품·소비</x:v>
      </x:c>
      <x:c r="E64" s="18" t="str">
        <x:v>크보빵·야구 스티커</x:v>
      </x:c>
      <x:c r="F64" s="18" t="str">
        <x:v>SPC삼립 (005610)</x:v>
      </x:c>
      <x:c r="G64" s="18" t="str">
        <x:v>KOSPI</x:v>
      </x:c>
      <x:c r="H64" s="28" t="str">
        <x:v>상승</x:v>
      </x:c>
      <x:c r="I64" s="18" t="str">
        <x:v>판매 호조 보도일 8% 급등</x:v>
      </x:c>
      <x:c r="J64" s="18" t="str">
        <x:v>강한사례</x:v>
      </x:c>
      <x:c r="K64" s="18" t="str"/>
      <x:c r="L64" s="18" t="str">
        <x:v>바이럴-사업직결 | 완료 | 팬덤 소비가 종목 모멘텀으로 번진 단기 사례</x:v>
      </x:c>
      <x:c r="M64" s="18" t="str">
        <x:v>S55</x:v>
      </x:c>
      <x:c r="N64" s="18" t="n">
        <x:v>2</x:v>
      </x:c>
      <x:c r="O64" s="18" t="n">
        <x:v>2</x:v>
      </x:c>
      <x:c r="P64" s="18" t="n">
        <x:v>2</x:v>
      </x:c>
      <x:c r="Q64" s="18" t="n">
        <x:v>1</x:v>
      </x:c>
      <x:c r="R64" s="18" t="n">
        <x:f>SUM(N64:P64)</x:f>
        <x:v>6</x:v>
      </x:c>
      <x:c r="S64" s="28" t="str">
        <x:f>IF(AND(N64=2,P64=2,R64&gt;=5),"핵심사례",IF(R64&gt;=3,"보조사례","경계사례"))</x:f>
        <x:v>핵심사례</x:v>
      </x:c>
    </x:row>
    <x:row r="65" ht="45" customHeight="1">
      <x:c r="A65" s="29" t="str">
        <x:v>KR-SNS007</x:v>
      </x:c>
      <x:c r="B65" s="29" t="str">
        <x:v>EV0060</x:v>
      </x:c>
      <x:c r="C65" s="29" t="str">
        <x:v>2023</x:v>
      </x:c>
      <x:c r="D65" s="29" t="str">
        <x:v>뷰티·패션</x:v>
      </x:c>
      <x:c r="E65" s="29" t="str">
        <x:v>리들샷</x:v>
      </x:c>
      <x:c r="F65" s="29" t="str">
        <x:v>브이티 (018290)</x:v>
      </x:c>
      <x:c r="G65" s="29" t="str">
        <x:v>KOSDAQ</x:v>
      </x:c>
      <x:c r="H65" s="28" t="str">
        <x:v>상승</x:v>
      </x:c>
      <x:c r="I65" s="29" t="str">
        <x:v>2023년 당시 연초 대비 3배 이상 상승</x:v>
      </x:c>
      <x:c r="J65" s="29" t="str">
        <x:v>강한사례</x:v>
      </x:c>
      <x:c r="K65" s="29" t="str"/>
      <x:c r="L65" s="29" t="str">
        <x:v>바이럴-사업직결 | 완료 | 뷰티 분야의 두쫀쿠형 직접 수혜 사례</x:v>
      </x:c>
      <x:c r="M65" s="29" t="str">
        <x:v>S56</x:v>
      </x:c>
      <x:c r="N65" s="29" t="n">
        <x:v>2</x:v>
      </x:c>
      <x:c r="O65" s="29" t="n">
        <x:v>2</x:v>
      </x:c>
      <x:c r="P65" s="29" t="n">
        <x:v>2</x:v>
      </x:c>
      <x:c r="Q65" s="29" t="n">
        <x:v>1</x:v>
      </x:c>
      <x:c r="R65" s="29" t="n">
        <x:f>SUM(N65:P65)</x:f>
        <x:v>6</x:v>
      </x:c>
      <x:c r="S65" s="28" t="str">
        <x:f>IF(AND(N65=2,P65=2,R65&gt;=5),"핵심사례",IF(R65&gt;=3,"보조사례","경계사례"))</x:f>
        <x:v>핵심사례</x:v>
      </x:c>
    </x:row>
    <x:row r="66" ht="45" customHeight="1">
      <x:c r="A66" s="18" t="str">
        <x:v>KR-SNS008</x:v>
      </x:c>
      <x:c r="B66" s="18" t="str">
        <x:v>EV0062</x:v>
      </x:c>
      <x:c r="C66" s="18" t="str">
        <x:v>2023</x:v>
      </x:c>
      <x:c r="D66" s="18" t="str">
        <x:v>식품·소비</x:v>
      </x:c>
      <x:c r="E66" s="18" t="str">
        <x:v>미국 냉동김밥 품절</x:v>
      </x:c>
      <x:c r="F66" s="18" t="str">
        <x:v>우양 (103840)</x:v>
      </x:c>
      <x:c r="G66" s="18" t="str">
        <x:v>KOSDAQ</x:v>
      </x:c>
      <x:c r="H66" s="30" t="str">
        <x:v>미확인</x:v>
      </x:c>
      <x:c r="I66" s="18" t="str">
        <x:v>K푸드 SNS 열풍 수혜 보고서·주가 관심 확대; 정확 수치 미확인</x:v>
      </x:c>
      <x:c r="J66" s="18" t="str">
        <x:v>가격미확인</x:v>
      </x:c>
      <x:c r="K66" s="18" t="str"/>
      <x:c r="L66" s="18" t="str">
        <x:v>혼합-테마 주도 | 추가검증 | 같은 품목≠같은 공급사라는 과잉연결 위험</x:v>
      </x:c>
      <x:c r="M66" s="18" t="str">
        <x:v>S57</x:v>
      </x:c>
      <x:c r="N66" s="18" t="n">
        <x:v>2</x:v>
      </x:c>
      <x:c r="O66" s="18" t="n">
        <x:v>2</x:v>
      </x:c>
      <x:c r="P66" s="18" t="n">
        <x:v>0</x:v>
      </x:c>
      <x:c r="Q66" s="18" t="n">
        <x:v>1</x:v>
      </x:c>
      <x:c r="R66" s="18" t="n">
        <x:f>SUM(N66:P66)</x:f>
        <x:v>4</x:v>
      </x:c>
      <x:c r="S66" s="30" t="str">
        <x:f>IF(AND(N66=2,P66=2,R66&gt;=5),"핵심사례",IF(R66&gt;=3,"보조사례","경계사례"))</x:f>
        <x:v>보조사례</x:v>
      </x:c>
    </x:row>
    <x:row r="67" ht="45" customHeight="1">
      <x:c r="A67" s="29" t="str">
        <x:v>KR-SNS009</x:v>
      </x:c>
      <x:c r="B67" s="29" t="str">
        <x:v>EV0086</x:v>
      </x:c>
      <x:c r="C67" s="29" t="str">
        <x:v>2025</x:v>
      </x:c>
      <x:c r="D67" s="29" t="str">
        <x:v>식품·소비</x:v>
      </x:c>
      <x:c r="E67" s="29" t="str">
        <x:v>케이팝 데몬 헌터스·김밥</x:v>
      </x:c>
      <x:c r="F67" s="29" t="str">
        <x:v>우양 (103840)</x:v>
      </x:c>
      <x:c r="G67" s="29" t="str">
        <x:v>KOSDAQ</x:v>
      </x:c>
      <x:c r="H67" s="30" t="str">
        <x:v>미확인</x:v>
      </x:c>
      <x:c r="I67" s="29" t="str">
        <x:v>관련 기대감으로 상승 보도; 정확 상승률 미기재</x:v>
      </x:c>
      <x:c r="J67" s="29" t="str">
        <x:v>경계사례</x:v>
      </x:c>
      <x:c r="K67" s="29" t="str"/>
      <x:c r="L67" s="29" t="str">
        <x:v>혼합-테마 주도 | 추가검증 | 콘텐츠→소비품목→제조사로 이어지는 2단계 연결</x:v>
      </x:c>
      <x:c r="M67" s="29" t="str">
        <x:v>S58</x:v>
      </x:c>
      <x:c r="N67" s="29" t="n">
        <x:v>2</x:v>
      </x:c>
      <x:c r="O67" s="29" t="n">
        <x:v>0</x:v>
      </x:c>
      <x:c r="P67" s="29" t="n">
        <x:v>1</x:v>
      </x:c>
      <x:c r="Q67" s="29" t="n">
        <x:v>1</x:v>
      </x:c>
      <x:c r="R67" s="29" t="n">
        <x:f>SUM(N67:P67)</x:f>
        <x:v>3</x:v>
      </x:c>
      <x:c r="S67" s="30" t="str">
        <x:f>IF(AND(N67=2,P67=2,R67&gt;=5),"핵심사례",IF(R67&gt;=3,"보조사례","경계사례"))</x:f>
        <x:v>보조사례</x:v>
      </x:c>
    </x:row>
    <x:row r="68" ht="45" customHeight="1">
      <x:c r="A68" s="18" t="str">
        <x:v>KR-SNS010</x:v>
      </x:c>
      <x:c r="B68" s="18" t="str">
        <x:v>EV0036</x:v>
      </x:c>
      <x:c r="C68" s="18" t="str">
        <x:v>2020</x:v>
      </x:c>
      <x:c r="D68" s="18" t="str">
        <x:v>콘텐츠·팬덤</x:v>
      </x:c>
      <x:c r="E68" s="18" t="str">
        <x:v>아기상어 유튜브 세계 1위</x:v>
      </x:c>
      <x:c r="F68" s="18" t="str">
        <x:v>삼성출판사 (068290)</x:v>
      </x:c>
      <x:c r="G68" s="18" t="str">
        <x:v>KOSPI</x:v>
      </x:c>
      <x:c r="H68" s="28" t="str">
        <x:v>상승</x:v>
      </x:c>
      <x:c r="I68" s="18" t="str">
        <x:v>당일 약 10% 상승</x:v>
      </x:c>
      <x:c r="J68" s="18" t="str">
        <x:v>강한사례</x:v>
      </x:c>
      <x:c r="K68" s="18" t="str"/>
      <x:c r="L68" s="18" t="str">
        <x:v>혼합-테마 주도 | 완료 | 조회수 이벤트가 지분 테마로 번진 사례</x:v>
      </x:c>
      <x:c r="M68" s="18" t="str">
        <x:v>S59</x:v>
      </x:c>
      <x:c r="N68" s="18" t="n">
        <x:v>2</x:v>
      </x:c>
      <x:c r="O68" s="18" t="n">
        <x:v>2</x:v>
      </x:c>
      <x:c r="P68" s="18" t="n">
        <x:v>2</x:v>
      </x:c>
      <x:c r="Q68" s="18" t="n">
        <x:v>0</x:v>
      </x:c>
      <x:c r="R68" s="18" t="n">
        <x:f>SUM(N68:P68)</x:f>
        <x:v>6</x:v>
      </x:c>
      <x:c r="S68" s="28" t="str">
        <x:f>IF(AND(N68=2,P68=2,R68&gt;=5),"핵심사례",IF(R68&gt;=3,"보조사례","경계사례"))</x:f>
        <x:v>핵심사례</x:v>
      </x:c>
    </x:row>
    <x:row r="69" ht="45" customHeight="1">
      <x:c r="A69" s="29" t="str">
        <x:v>KR-SNS011</x:v>
      </x:c>
      <x:c r="B69" s="29" t="str">
        <x:v>EV0066</x:v>
      </x:c>
      <x:c r="C69" s="29" t="str">
        <x:v>2023</x:v>
      </x:c>
      <x:c r="D69" s="29" t="str">
        <x:v>콘텐츠·팬덤</x:v>
      </x:c>
      <x:c r="E69" s="29" t="str">
        <x:v>아기상어 제작사 IPO 기대</x:v>
      </x:c>
      <x:c r="F69" s="29" t="str">
        <x:v>삼성출판사 (068290)</x:v>
      </x:c>
      <x:c r="G69" s="29" t="str">
        <x:v>KOSPI</x:v>
      </x:c>
      <x:c r="H69" s="28" t="str">
        <x:v>상승</x:v>
      </x:c>
      <x:c r="I69" s="29" t="str">
        <x:v>상장 추진 보도에 상한가</x:v>
      </x:c>
      <x:c r="J69" s="29" t="str">
        <x:v>강한사례</x:v>
      </x:c>
      <x:c r="K69" s="29" t="str"/>
      <x:c r="L69" s="29" t="str">
        <x:v>혼합-테마 주도 | 완료 | 콘텐츠 인기가 지분·IPO 기대와 결합</x:v>
      </x:c>
      <x:c r="M69" s="29" t="str">
        <x:v>S60</x:v>
      </x:c>
      <x:c r="N69" s="29" t="n">
        <x:v>2</x:v>
      </x:c>
      <x:c r="O69" s="29" t="n">
        <x:v>2</x:v>
      </x:c>
      <x:c r="P69" s="29" t="n">
        <x:v>2</x:v>
      </x:c>
      <x:c r="Q69" s="29" t="n">
        <x:v>1</x:v>
      </x:c>
      <x:c r="R69" s="29" t="n">
        <x:f>SUM(N69:P69)</x:f>
        <x:v>6</x:v>
      </x:c>
      <x:c r="S69" s="28" t="str">
        <x:f>IF(AND(N69=2,P69=2,R69&gt;=5),"핵심사례",IF(R69&gt;=3,"보조사례","경계사례"))</x:f>
        <x:v>핵심사례</x:v>
      </x:c>
    </x:row>
    <x:row r="70" ht="45" customHeight="1">
      <x:c r="A70" s="18" t="str">
        <x:v>KR-SNS012</x:v>
      </x:c>
      <x:c r="B70" s="18" t="str">
        <x:v>EV0035</x:v>
      </x:c>
      <x:c r="C70" s="18" t="str">
        <x:v>2020</x:v>
      </x:c>
      <x:c r="D70" s="18" t="str">
        <x:v>식품·소비</x:v>
      </x:c>
      <x:c r="E70" s="18" t="str">
        <x:v>기생충 짜파구리</x:v>
      </x:c>
      <x:c r="F70" s="18" t="str">
        <x:v>농심 (004370)</x:v>
      </x:c>
      <x:c r="G70" s="18" t="str">
        <x:v>KOSPI</x:v>
      </x:c>
      <x:c r="H70" s="30" t="str">
        <x:v>미확인</x:v>
      </x:c>
      <x:c r="I70" s="18" t="str">
        <x:v>농심 주가도 급등 보도; 정확 수치 미기재</x:v>
      </x:c>
      <x:c r="J70" s="18" t="str">
        <x:v>강한사례</x:v>
      </x:c>
      <x:c r="K70" s="18" t="str"/>
      <x:c r="L70" s="18" t="str">
        <x:v>바이럴-사업직결 | 완료 | 콘텐츠 노출이 실물 소비와 주가에 동시에 연결</x:v>
      </x:c>
      <x:c r="M70" s="18" t="str">
        <x:v>S61</x:v>
      </x:c>
      <x:c r="N70" s="18" t="n">
        <x:v>2</x:v>
      </x:c>
      <x:c r="O70" s="18" t="n">
        <x:v>2</x:v>
      </x:c>
      <x:c r="P70" s="18" t="n">
        <x:v>1</x:v>
      </x:c>
      <x:c r="Q70" s="18" t="n">
        <x:v>1</x:v>
      </x:c>
      <x:c r="R70" s="18" t="n">
        <x:f>SUM(N70:P70)</x:f>
        <x:v>5</x:v>
      </x:c>
      <x:c r="S70" s="30" t="str">
        <x:f>IF(AND(N70=2,P70=2,R70&gt;=5),"핵심사례",IF(R70&gt;=3,"보조사례","경계사례"))</x:f>
        <x:v>보조사례</x:v>
      </x:c>
    </x:row>
    <x:row r="71" ht="45" customHeight="1">
      <x:c r="A71" s="29" t="str">
        <x:v>KR-SNS013</x:v>
      </x:c>
      <x:c r="B71" s="29" t="str">
        <x:v>EV0016</x:v>
      </x:c>
      <x:c r="C71" s="29" t="str">
        <x:v>2014</x:v>
      </x:c>
      <x:c r="D71" s="29" t="str">
        <x:v>식품·소비</x:v>
      </x:c>
      <x:c r="E71" s="29" t="str">
        <x:v>허니버터칩 품절</x:v>
      </x:c>
      <x:c r="F71" s="29" t="str">
        <x:v>크라운제과(당시) (005740)</x:v>
      </x:c>
      <x:c r="G71" s="29" t="str">
        <x:v>KOSPI</x:v>
      </x:c>
      <x:c r="H71" s="28" t="str">
        <x:v>상승</x:v>
      </x:c>
      <x:c r="I71" s="29" t="str">
        <x:v>2014-11-21 전일 대비 9.7%, 전년 동기 대비 26.6% 상승</x:v>
      </x:c>
      <x:c r="J71" s="29" t="str">
        <x:v>강한사례</x:v>
      </x:c>
      <x:c r="K71" s="29" t="str"/>
      <x:c r="L71" s="29" t="str">
        <x:v>바이럴-사업직결 | 완료 | 한국형 바이럴 식품주의 대표 선행 사례</x:v>
      </x:c>
      <x:c r="M71" s="29" t="str">
        <x:v>S62</x:v>
      </x:c>
      <x:c r="N71" s="29" t="n">
        <x:v>2</x:v>
      </x:c>
      <x:c r="O71" s="29" t="n">
        <x:v>2</x:v>
      </x:c>
      <x:c r="P71" s="29" t="n">
        <x:v>2</x:v>
      </x:c>
      <x:c r="Q71" s="29" t="n">
        <x:v>1</x:v>
      </x:c>
      <x:c r="R71" s="29" t="n">
        <x:f>SUM(N71:P71)</x:f>
        <x:v>6</x:v>
      </x:c>
      <x:c r="S71" s="28" t="str">
        <x:f>IF(AND(N71=2,P71=2,R71&gt;=5),"핵심사례",IF(R71&gt;=3,"보조사례","경계사례"))</x:f>
        <x:v>핵심사례</x:v>
      </x:c>
    </x:row>
    <x:row r="72" ht="45" customHeight="1">
      <x:c r="A72" s="18" t="str">
        <x:v>KR-SNS014</x:v>
      </x:c>
      <x:c r="B72" s="18" t="str">
        <x:v>EV0023</x:v>
      </x:c>
      <x:c r="C72" s="18" t="str">
        <x:v>2016</x:v>
      </x:c>
      <x:c r="D72" s="18" t="str">
        <x:v>식품·소비</x:v>
      </x:c>
      <x:c r="E72" s="18" t="str">
        <x:v>허니버터칩 후광</x:v>
      </x:c>
      <x:c r="F72" s="18" t="str">
        <x:v>해태제과식품 (101530)</x:v>
      </x:c>
      <x:c r="G72" s="18" t="str">
        <x:v>KOSPI</x:v>
      </x:c>
      <x:c r="H72" s="28" t="str">
        <x:v>상승</x:v>
      </x:c>
      <x:c r="I72" s="18" t="str">
        <x:v>상장 7일 만에 공모가의 4.5배</x:v>
      </x:c>
      <x:c r="J72" s="18" t="str">
        <x:v>강한사례</x:v>
      </x:c>
      <x:c r="K72" s="18" t="str"/>
      <x:c r="L72" s="18" t="str">
        <x:v>바이럴-사업직결 | 완료 | 유행 상품의 장기 가치 과대평가 위험을 보여줌</x:v>
      </x:c>
      <x:c r="M72" s="18" t="str">
        <x:v>S63</x:v>
      </x:c>
      <x:c r="N72" s="18" t="n">
        <x:v>2</x:v>
      </x:c>
      <x:c r="O72" s="18" t="n">
        <x:v>2</x:v>
      </x:c>
      <x:c r="P72" s="18" t="n">
        <x:v>2</x:v>
      </x:c>
      <x:c r="Q72" s="18" t="n">
        <x:v>1</x:v>
      </x:c>
      <x:c r="R72" s="18" t="n">
        <x:f>SUM(N72:P72)</x:f>
        <x:v>6</x:v>
      </x:c>
      <x:c r="S72" s="28" t="str">
        <x:f>IF(AND(N72=2,P72=2,R72&gt;=5),"핵심사례",IF(R72&gt;=3,"보조사례","경계사례"))</x:f>
        <x:v>핵심사례</x:v>
      </x:c>
    </x:row>
    <x:row r="73" ht="45" customHeight="1">
      <x:c r="A73" s="29" t="str">
        <x:v>KR-SNS015</x:v>
      </x:c>
      <x:c r="B73" s="29" t="str">
        <x:v>EV0082</x:v>
      </x:c>
      <x:c r="C73" s="29" t="str">
        <x:v>2025</x:v>
      </x:c>
      <x:c r="D73" s="29" t="str">
        <x:v>뷰티·패션</x:v>
      </x:c>
      <x:c r="E73" s="29" t="str">
        <x:v>메디큐브·AGE-R</x:v>
      </x:c>
      <x:c r="F73" s="29" t="str">
        <x:v>에이피알 (278470)</x:v>
      </x:c>
      <x:c r="G73" s="29" t="str">
        <x:v>KOSPI</x:v>
      </x:c>
      <x:c r="H73" s="28" t="str">
        <x:v>상승</x:v>
      </x:c>
      <x:c r="I73" s="29" t="str">
        <x:v>2026년 4월 기준 연초 대비 80.04% 상승</x:v>
      </x:c>
      <x:c r="J73" s="29" t="str">
        <x:v>강한사례</x:v>
      </x:c>
      <x:c r="K73" s="29" t="str"/>
      <x:c r="L73" s="29" t="str">
        <x:v>바이럴-사업직결 | 완료 | SNS 신호가 실적에 반영된 뒤 주가가 재평가된 사례</x:v>
      </x:c>
      <x:c r="M73" s="29" t="str">
        <x:v>S64</x:v>
      </x:c>
      <x:c r="N73" s="29" t="n">
        <x:v>2</x:v>
      </x:c>
      <x:c r="O73" s="29" t="n">
        <x:v>2</x:v>
      </x:c>
      <x:c r="P73" s="29" t="n">
        <x:v>2</x:v>
      </x:c>
      <x:c r="Q73" s="29" t="n">
        <x:v>1</x:v>
      </x:c>
      <x:c r="R73" s="29" t="n">
        <x:f>SUM(N73:P73)</x:f>
        <x:v>6</x:v>
      </x:c>
      <x:c r="S73" s="28" t="str">
        <x:f>IF(AND(N73=2,P73=2,R73&gt;=5),"핵심사례",IF(R73&gt;=3,"보조사례","경계사례"))</x:f>
        <x:v>핵심사례</x:v>
      </x:c>
    </x:row>
    <x:row r="74" ht="45" customHeight="1">
      <x:c r="A74" s="18" t="str">
        <x:v>KR-SNS016</x:v>
      </x:c>
      <x:c r="B74" s="18" t="str">
        <x:v>EV0079</x:v>
      </x:c>
      <x:c r="C74" s="18" t="str">
        <x:v>2024</x:v>
      </x:c>
      <x:c r="D74" s="18" t="str">
        <x:v>뷰티·패션</x:v>
      </x:c>
      <x:c r="E74" s="18" t="str">
        <x:v>K뷰티 글로벌 바이럴</x:v>
      </x:c>
      <x:c r="F74" s="18" t="str">
        <x:v>실리콘투 (257720)</x:v>
      </x:c>
      <x:c r="G74" s="18" t="str">
        <x:v>KOSDAQ</x:v>
      </x:c>
      <x:c r="H74" s="28" t="str">
        <x:v>상승</x:v>
      </x:c>
      <x:c r="I74" s="18" t="str">
        <x:v>2024년 기사 기준 연초 이후 주가 5배 이상</x:v>
      </x:c>
      <x:c r="J74" s="18" t="str">
        <x:v>강한사례</x:v>
      </x:c>
      <x:c r="K74" s="18" t="str"/>
      <x:c r="L74" s="18" t="str">
        <x:v>혼합-테마 주도 | 완료 | 개별 밈보다 여러 바이럴 브랜드를 묶는 유통 레이어</x:v>
      </x:c>
      <x:c r="M74" s="18" t="str">
        <x:v>S65</x:v>
      </x:c>
      <x:c r="N74" s="18" t="n">
        <x:v>2</x:v>
      </x:c>
      <x:c r="O74" s="18" t="n">
        <x:v>1</x:v>
      </x:c>
      <x:c r="P74" s="18" t="n">
        <x:v>2</x:v>
      </x:c>
      <x:c r="Q74" s="18" t="n">
        <x:v>1</x:v>
      </x:c>
      <x:c r="R74" s="18" t="n">
        <x:f>SUM(N74:P74)</x:f>
        <x:v>5</x:v>
      </x:c>
      <x:c r="S74" s="28" t="str">
        <x:f>IF(AND(N74=2,P74=2,R74&gt;=5),"핵심사례",IF(R74&gt;=3,"보조사례","경계사례"))</x:f>
        <x:v>핵심사례</x:v>
      </x:c>
    </x:row>
    <x:row r="75" ht="45" customHeight="1">
      <x:c r="A75" s="29" t="str">
        <x:v>KR-H001</x:v>
      </x:c>
      <x:c r="B75" s="29" t="str">
        <x:v>EV0001</x:v>
      </x:c>
      <x:c r="C75" s="29" t="str">
        <x:v>2009</x:v>
      </x:c>
      <x:c r="D75" s="29" t="str">
        <x:v>정치·정책·사회</x:v>
      </x:c>
      <x:c r="E75" s="29" t="str">
        <x:v>4대강 조기 착공</x:v>
      </x:c>
      <x:c r="F75" s="29" t="str">
        <x:v>특수건설 (026150)</x:v>
      </x:c>
      <x:c r="G75" s="29" t="str">
        <x:v>KOSDAQ</x:v>
      </x:c>
      <x:c r="H75" s="28" t="str">
        <x:v>상승</x:v>
      </x:c>
      <x:c r="I75" s="29" t="str">
        <x:v>장중 가격제한폭 수준 상승</x:v>
      </x:c>
      <x:c r="J75" s="29" t="str">
        <x:v>강한사례</x:v>
      </x:c>
      <x:c r="K75" s="29" t="str"/>
      <x:c r="L75" s="29" t="str">
        <x:v>혼합-테마 주도 | 완료 | 정책 테마와 실제 건설업 연결이 함께 존재</x:v>
      </x:c>
      <x:c r="M75" s="29" t="str">
        <x:v>S92</x:v>
      </x:c>
      <x:c r="N75" s="29" t="n">
        <x:v>2</x:v>
      </x:c>
      <x:c r="O75" s="29" t="n">
        <x:v>1</x:v>
      </x:c>
      <x:c r="P75" s="29" t="n">
        <x:v>2</x:v>
      </x:c>
      <x:c r="Q75" s="29" t="n">
        <x:v>1</x:v>
      </x:c>
      <x:c r="R75" s="29" t="n">
        <x:f>SUM(N75:P75)</x:f>
        <x:v>5</x:v>
      </x:c>
      <x:c r="S75" s="28" t="str">
        <x:f>IF(AND(N75=2,P75=2,R75&gt;=5),"핵심사례",IF(R75&gt;=3,"보조사례","경계사례"))</x:f>
        <x:v>핵심사례</x:v>
      </x:c>
    </x:row>
    <x:row r="76" ht="45" customHeight="1">
      <x:c r="A76" s="18" t="str">
        <x:v>KR-H002</x:v>
      </x:c>
      <x:c r="B76" s="18" t="str">
        <x:v>EV0001</x:v>
      </x:c>
      <x:c r="C76" s="18" t="str">
        <x:v>2009</x:v>
      </x:c>
      <x:c r="D76" s="18" t="str">
        <x:v>정치·정책·사회</x:v>
      </x:c>
      <x:c r="E76" s="18" t="str">
        <x:v>4대강 조기 착공</x:v>
      </x:c>
      <x:c r="F76" s="18" t="str">
        <x:v>동신건설 (025950)</x:v>
      </x:c>
      <x:c r="G76" s="18" t="str">
        <x:v>KOSDAQ</x:v>
      </x:c>
      <x:c r="H76" s="28" t="str">
        <x:v>상승</x:v>
      </x:c>
      <x:c r="I76" s="18" t="str">
        <x:v>장중 가격제한폭 수준 상승</x:v>
      </x:c>
      <x:c r="J76" s="18" t="str">
        <x:v>강한사례</x:v>
      </x:c>
      <x:c r="K76" s="18" t="str"/>
      <x:c r="L76" s="18" t="str">
        <x:v>혼합-테마 주도 | 완료 | 기업-사건 행 기준</x:v>
      </x:c>
      <x:c r="M76" s="18" t="str">
        <x:v>S92</x:v>
      </x:c>
      <x:c r="N76" s="18" t="n">
        <x:v>2</x:v>
      </x:c>
      <x:c r="O76" s="18" t="n">
        <x:v>1</x:v>
      </x:c>
      <x:c r="P76" s="18" t="n">
        <x:v>2</x:v>
      </x:c>
      <x:c r="Q76" s="18" t="n">
        <x:v>1</x:v>
      </x:c>
      <x:c r="R76" s="18" t="n">
        <x:f>SUM(N76:P76)</x:f>
        <x:v>5</x:v>
      </x:c>
      <x:c r="S76" s="28" t="str">
        <x:f>IF(AND(N76=2,P76=2,R76&gt;=5),"핵심사례",IF(R76&gt;=3,"보조사례","경계사례"))</x:f>
        <x:v>핵심사례</x:v>
      </x:c>
    </x:row>
    <x:row r="77" ht="45" customHeight="1">
      <x:c r="A77" s="29" t="str">
        <x:v>KR-H003</x:v>
      </x:c>
      <x:c r="B77" s="29" t="str">
        <x:v>EV0001</x:v>
      </x:c>
      <x:c r="C77" s="29" t="str">
        <x:v>2009</x:v>
      </x:c>
      <x:c r="D77" s="29" t="str">
        <x:v>정치·정책·사회</x:v>
      </x:c>
      <x:c r="E77" s="29" t="str">
        <x:v>4대강 조기 착공</x:v>
      </x:c>
      <x:c r="F77" s="29" t="str">
        <x:v>이화공영 (001840)</x:v>
      </x:c>
      <x:c r="G77" s="29" t="str">
        <x:v>KOSDAQ</x:v>
      </x:c>
      <x:c r="H77" s="28" t="str">
        <x:v>상승</x:v>
      </x:c>
      <x:c r="I77" s="29" t="str">
        <x:v>장중 가격제한폭 수준 상승</x:v>
      </x:c>
      <x:c r="J77" s="29" t="str">
        <x:v>강한사례</x:v>
      </x:c>
      <x:c r="K77" s="29" t="str"/>
      <x:c r="L77" s="29" t="str">
        <x:v>혼합-테마 주도 | 완료 | 정책 기대가 가격을 촉발</x:v>
      </x:c>
      <x:c r="M77" s="29" t="str">
        <x:v>S92</x:v>
      </x:c>
      <x:c r="N77" s="29" t="n">
        <x:v>2</x:v>
      </x:c>
      <x:c r="O77" s="29" t="n">
        <x:v>1</x:v>
      </x:c>
      <x:c r="P77" s="29" t="n">
        <x:v>2</x:v>
      </x:c>
      <x:c r="Q77" s="29" t="n">
        <x:v>1</x:v>
      </x:c>
      <x:c r="R77" s="29" t="n">
        <x:f>SUM(N77:P77)</x:f>
        <x:v>5</x:v>
      </x:c>
      <x:c r="S77" s="28" t="str">
        <x:f>IF(AND(N77=2,P77=2,R77&gt;=5),"핵심사례",IF(R77&gt;=3,"보조사례","경계사례"))</x:f>
        <x:v>핵심사례</x:v>
      </x:c>
    </x:row>
    <x:row r="78" ht="45" customHeight="1">
      <x:c r="A78" s="18" t="str">
        <x:v>KR-H004</x:v>
      </x:c>
      <x:c r="B78" s="18" t="str">
        <x:v>EV0001</x:v>
      </x:c>
      <x:c r="C78" s="18" t="str">
        <x:v>2009</x:v>
      </x:c>
      <x:c r="D78" s="18" t="str">
        <x:v>정치·정책·사회</x:v>
      </x:c>
      <x:c r="E78" s="18" t="str">
        <x:v>4대강 조기 착공</x:v>
      </x:c>
      <x:c r="F78" s="18" t="str">
        <x:v>삼목정공(현 삼목에스폼) (018310)</x:v>
      </x:c>
      <x:c r="G78" s="18" t="str">
        <x:v>KOSDAQ</x:v>
      </x:c>
      <x:c r="H78" s="28" t="str">
        <x:v>상승</x:v>
      </x:c>
      <x:c r="I78" s="18" t="str">
        <x:v>장중 가격제한폭 수준 상승</x:v>
      </x:c>
      <x:c r="J78" s="18" t="str">
        <x:v>강한사례</x:v>
      </x:c>
      <x:c r="K78" s="18" t="str"/>
      <x:c r="L78" s="18" t="str">
        <x:v>혼합-테마 주도 | 완료 | 현재 사명과 당시 사명 병기</x:v>
      </x:c>
      <x:c r="M78" s="18" t="str">
        <x:v>S92</x:v>
      </x:c>
      <x:c r="N78" s="18" t="n">
        <x:v>2</x:v>
      </x:c>
      <x:c r="O78" s="18" t="n">
        <x:v>2</x:v>
      </x:c>
      <x:c r="P78" s="18" t="n">
        <x:v>2</x:v>
      </x:c>
      <x:c r="Q78" s="18" t="n">
        <x:v>1</x:v>
      </x:c>
      <x:c r="R78" s="18" t="n">
        <x:f>SUM(N78:P78)</x:f>
        <x:v>6</x:v>
      </x:c>
      <x:c r="S78" s="28" t="str">
        <x:f>IF(AND(N78=2,P78=2,R78&gt;=5),"핵심사례",IF(R78&gt;=3,"보조사례","경계사례"))</x:f>
        <x:v>핵심사례</x:v>
      </x:c>
    </x:row>
    <x:row r="79" ht="45" customHeight="1">
      <x:c r="A79" s="29" t="str">
        <x:v>KR-H005</x:v>
      </x:c>
      <x:c r="B79" s="29" t="str">
        <x:v>EV0001</x:v>
      </x:c>
      <x:c r="C79" s="29" t="str">
        <x:v>2009</x:v>
      </x:c>
      <x:c r="D79" s="29" t="str">
        <x:v>정치·정책·사회</x:v>
      </x:c>
      <x:c r="E79" s="29" t="str">
        <x:v>4대강 조기 착공</x:v>
      </x:c>
      <x:c r="F79" s="29" t="str">
        <x:v>울트라건설 (004320)</x:v>
      </x:c>
      <x:c r="G79" s="29" t="str">
        <x:v>KOSDAQ</x:v>
      </x:c>
      <x:c r="H79" s="28" t="str">
        <x:v>상승</x:v>
      </x:c>
      <x:c r="I79" s="29" t="str">
        <x:v>장중 가격제한폭 수준 상승</x:v>
      </x:c>
      <x:c r="J79" s="29" t="str">
        <x:v>강한사례</x:v>
      </x:c>
      <x:c r="K79" s="29" t="str"/>
      <x:c r="L79" s="29" t="str">
        <x:v>혼합-테마 주도 | 완료 | 역사 사례; 현재 투자대상 아님</x:v>
      </x:c>
      <x:c r="M79" s="29" t="str">
        <x:v>S92</x:v>
      </x:c>
      <x:c r="N79" s="29" t="n">
        <x:v>2</x:v>
      </x:c>
      <x:c r="O79" s="29" t="n">
        <x:v>1</x:v>
      </x:c>
      <x:c r="P79" s="29" t="n">
        <x:v>2</x:v>
      </x:c>
      <x:c r="Q79" s="29" t="n">
        <x:v>1</x:v>
      </x:c>
      <x:c r="R79" s="29" t="n">
        <x:f>SUM(N79:P79)</x:f>
        <x:v>5</x:v>
      </x:c>
      <x:c r="S79" s="28" t="str">
        <x:f>IF(AND(N79=2,P79=2,R79&gt;=5),"핵심사례",IF(R79&gt;=3,"보조사례","경계사례"))</x:f>
        <x:v>핵심사례</x:v>
      </x:c>
    </x:row>
    <x:row r="80" ht="45" customHeight="1">
      <x:c r="A80" s="18" t="str">
        <x:v>KR-H006</x:v>
      </x:c>
      <x:c r="B80" s="18" t="str">
        <x:v>EV0001</x:v>
      </x:c>
      <x:c r="C80" s="18" t="str">
        <x:v>2009</x:v>
      </x:c>
      <x:c r="D80" s="18" t="str">
        <x:v>정치·정책·사회</x:v>
      </x:c>
      <x:c r="E80" s="18" t="str">
        <x:v>4대강 조기 착공</x:v>
      </x:c>
      <x:c r="F80" s="18" t="str">
        <x:v>신천개발 (004060)</x:v>
      </x:c>
      <x:c r="G80" s="18" t="str">
        <x:v>KOSDAQ</x:v>
      </x:c>
      <x:c r="H80" s="28" t="str">
        <x:v>상승</x:v>
      </x:c>
      <x:c r="I80" s="18" t="str">
        <x:v>장중 가격제한폭 수준 상승</x:v>
      </x:c>
      <x:c r="J80" s="18" t="str">
        <x:v>강한사례</x:v>
      </x:c>
      <x:c r="K80" s="18" t="str"/>
      <x:c r="L80" s="18" t="str">
        <x:v>혼합-테마 주도 | 완료 | 역사 회사명·티커는 후속 기업연혁 확인 권장</x:v>
      </x:c>
      <x:c r="M80" s="18" t="str">
        <x:v>S92</x:v>
      </x:c>
      <x:c r="N80" s="18" t="n">
        <x:v>2</x:v>
      </x:c>
      <x:c r="O80" s="18" t="n">
        <x:v>2</x:v>
      </x:c>
      <x:c r="P80" s="18" t="n">
        <x:v>2</x:v>
      </x:c>
      <x:c r="Q80" s="18" t="n">
        <x:v>0</x:v>
      </x:c>
      <x:c r="R80" s="18" t="n">
        <x:f>SUM(N80:P80)</x:f>
        <x:v>6</x:v>
      </x:c>
      <x:c r="S80" s="28" t="str">
        <x:f>IF(AND(N80=2,P80=2,R80&gt;=5),"핵심사례",IF(R80&gt;=3,"보조사례","경계사례"))</x:f>
        <x:v>핵심사례</x:v>
      </x:c>
    </x:row>
    <x:row r="81" ht="45" customHeight="1">
      <x:c r="A81" s="29" t="str">
        <x:v>KR-H007</x:v>
      </x:c>
      <x:c r="B81" s="29" t="str">
        <x:v>EV0001</x:v>
      </x:c>
      <x:c r="C81" s="29" t="str">
        <x:v>2009</x:v>
      </x:c>
      <x:c r="D81" s="29" t="str">
        <x:v>정치·정책·사회</x:v>
      </x:c>
      <x:c r="E81" s="29" t="str">
        <x:v>4대강 조기 착공</x:v>
      </x:c>
      <x:c r="F81" s="29" t="str">
        <x:v>삼호개발 (010960)</x:v>
      </x:c>
      <x:c r="G81" s="29" t="str">
        <x:v>KOSPI</x:v>
      </x:c>
      <x:c r="H81" s="28" t="str">
        <x:v>상승</x:v>
      </x:c>
      <x:c r="I81" s="29" t="str">
        <x:v>장중 가격제한폭 수준 상승</x:v>
      </x:c>
      <x:c r="J81" s="29" t="str">
        <x:v>강한사례</x:v>
      </x:c>
      <x:c r="K81" s="29" t="str"/>
      <x:c r="L81" s="29" t="str">
        <x:v>혼합-테마 주도 | 완료 | 정책 테마</x:v>
      </x:c>
      <x:c r="M81" s="29" t="str">
        <x:v>S92</x:v>
      </x:c>
      <x:c r="N81" s="29" t="n">
        <x:v>2</x:v>
      </x:c>
      <x:c r="O81" s="29" t="n">
        <x:v>1</x:v>
      </x:c>
      <x:c r="P81" s="29" t="n">
        <x:v>2</x:v>
      </x:c>
      <x:c r="Q81" s="29" t="n">
        <x:v>1</x:v>
      </x:c>
      <x:c r="R81" s="29" t="n">
        <x:f>SUM(N81:P81)</x:f>
        <x:v>5</x:v>
      </x:c>
      <x:c r="S81" s="28" t="str">
        <x:f>IF(AND(N81=2,P81=2,R81&gt;=5),"핵심사례",IF(R81&gt;=3,"보조사례","경계사례"))</x:f>
        <x:v>핵심사례</x:v>
      </x:c>
    </x:row>
    <x:row r="82" ht="45" customHeight="1">
      <x:c r="A82" s="18" t="str">
        <x:v>KR-H008</x:v>
      </x:c>
      <x:c r="B82" s="18" t="str">
        <x:v>EV0005</x:v>
      </x:c>
      <x:c r="C82" s="18" t="str">
        <x:v>2009</x:v>
      </x:c>
      <x:c r="D82" s="18" t="str">
        <x:v>식품·소비</x:v>
      </x:c>
      <x:c r="E82" s="18" t="str">
        <x:v>자전거 산업 활성화</x:v>
      </x:c>
      <x:c r="F82" s="18" t="str">
        <x:v>삼천리자전거 (024950)</x:v>
      </x:c>
      <x:c r="G82" s="18" t="str">
        <x:v>KOSDAQ</x:v>
      </x:c>
      <x:c r="H82" s="28" t="str">
        <x:v>상승</x:v>
      </x:c>
      <x:c r="I82" s="18" t="str">
        <x:v>상한가</x:v>
      </x:c>
      <x:c r="J82" s="18" t="str">
        <x:v>강한사례</x:v>
      </x:c>
      <x:c r="K82" s="18" t="str"/>
      <x:c r="L82" s="18" t="str">
        <x:v>사업연결+테마 | 완료 | 밈 단독이 아니라 정책·생활유행 혼합</x:v>
      </x:c>
      <x:c r="M82" s="18" t="str">
        <x:v>S94;S95</x:v>
      </x:c>
      <x:c r="N82" s="18" t="n">
        <x:v>2</x:v>
      </x:c>
      <x:c r="O82" s="18" t="n">
        <x:v>2</x:v>
      </x:c>
      <x:c r="P82" s="18" t="n">
        <x:v>2</x:v>
      </x:c>
      <x:c r="Q82" s="18" t="n">
        <x:v>1</x:v>
      </x:c>
      <x:c r="R82" s="18" t="n">
        <x:f>SUM(N82:P82)</x:f>
        <x:v>6</x:v>
      </x:c>
      <x:c r="S82" s="28" t="str">
        <x:f>IF(AND(N82=2,P82=2,R82&gt;=5),"핵심사례",IF(R82&gt;=3,"보조사례","경계사례"))</x:f>
        <x:v>핵심사례</x:v>
      </x:c>
    </x:row>
    <x:row r="83" ht="45" customHeight="1">
      <x:c r="A83" s="29" t="str">
        <x:v>KR-H009</x:v>
      </x:c>
      <x:c r="B83" s="29" t="str">
        <x:v>EV0005</x:v>
      </x:c>
      <x:c r="C83" s="29" t="str">
        <x:v>2009</x:v>
      </x:c>
      <x:c r="D83" s="29" t="str">
        <x:v>식품·소비</x:v>
      </x:c>
      <x:c r="E83" s="29" t="str">
        <x:v>자전거 산업 활성화</x:v>
      </x:c>
      <x:c r="F83" s="29" t="str">
        <x:v>참좋은레져(현 참좋은여행) (094850)</x:v>
      </x:c>
      <x:c r="G83" s="29" t="str">
        <x:v>KOSDAQ</x:v>
      </x:c>
      <x:c r="H83" s="28" t="str">
        <x:v>상승</x:v>
      </x:c>
      <x:c r="I83" s="29" t="str">
        <x:v>상한가</x:v>
      </x:c>
      <x:c r="J83" s="29" t="str">
        <x:v>강한사례</x:v>
      </x:c>
      <x:c r="K83" s="29" t="str"/>
      <x:c r="L83" s="29" t="str">
        <x:v>사업연결+테마 | 완료 | 당시 사명 기준</x:v>
      </x:c>
      <x:c r="M83" s="29" t="str">
        <x:v>S94;S95</x:v>
      </x:c>
      <x:c r="N83" s="29" t="n">
        <x:v>2</x:v>
      </x:c>
      <x:c r="O83" s="29" t="n">
        <x:v>1</x:v>
      </x:c>
      <x:c r="P83" s="29" t="n">
        <x:v>2</x:v>
      </x:c>
      <x:c r="Q83" s="29" t="n">
        <x:v>1</x:v>
      </x:c>
      <x:c r="R83" s="29" t="n">
        <x:f>SUM(N83:P83)</x:f>
        <x:v>5</x:v>
      </x:c>
      <x:c r="S83" s="28" t="str">
        <x:f>IF(AND(N83=2,P83=2,R83&gt;=5),"핵심사례",IF(R83&gt;=3,"보조사례","경계사례"))</x:f>
        <x:v>핵심사례</x:v>
      </x:c>
    </x:row>
    <x:row r="84" ht="45" customHeight="1">
      <x:c r="A84" s="18" t="str">
        <x:v>KR-H010</x:v>
      </x:c>
      <x:c r="B84" s="18" t="str">
        <x:v>EV0005</x:v>
      </x:c>
      <x:c r="C84" s="18" t="str">
        <x:v>2009</x:v>
      </x:c>
      <x:c r="D84" s="18" t="str">
        <x:v>식품·소비</x:v>
      </x:c>
      <x:c r="E84" s="18" t="str">
        <x:v>자전거 산업 활성화</x:v>
      </x:c>
      <x:c r="F84" s="18" t="str">
        <x:v>에이모션 (031860)</x:v>
      </x:c>
      <x:c r="G84" s="18" t="str">
        <x:v>KOSDAQ</x:v>
      </x:c>
      <x:c r="H84" s="28" t="str">
        <x:v>상승</x:v>
      </x:c>
      <x:c r="I84" s="18" t="str">
        <x:v>상한가</x:v>
      </x:c>
      <x:c r="J84" s="18" t="str">
        <x:v>강한사례</x:v>
      </x:c>
      <x:c r="K84" s="18" t="str"/>
      <x:c r="L84" s="18" t="str">
        <x:v>사업연결+테마 | 완료 | 역사 상장사 사례</x:v>
      </x:c>
      <x:c r="M84" s="18" t="str">
        <x:v>S95</x:v>
      </x:c>
      <x:c r="N84" s="18" t="n">
        <x:v>2</x:v>
      </x:c>
      <x:c r="O84" s="18" t="n">
        <x:v>1</x:v>
      </x:c>
      <x:c r="P84" s="18" t="n">
        <x:v>2</x:v>
      </x:c>
      <x:c r="Q84" s="18" t="n">
        <x:v>1</x:v>
      </x:c>
      <x:c r="R84" s="18" t="n">
        <x:f>SUM(N84:P84)</x:f>
        <x:v>5</x:v>
      </x:c>
      <x:c r="S84" s="28" t="str">
        <x:f>IF(AND(N84=2,P84=2,R84&gt;=5),"핵심사례",IF(R84&gt;=3,"보조사례","경계사례"))</x:f>
        <x:v>핵심사례</x:v>
      </x:c>
    </x:row>
    <x:row r="85" ht="45" customHeight="1">
      <x:c r="A85" s="29" t="str">
        <x:v>KR-H011</x:v>
      </x:c>
      <x:c r="B85" s="29" t="str">
        <x:v>EV0003</x:v>
      </x:c>
      <x:c r="C85" s="29" t="str">
        <x:v>2009</x:v>
      </x:c>
      <x:c r="D85" s="29" t="str">
        <x:v>식품·소비</x:v>
      </x:c>
      <x:c r="E85" s="29" t="str">
        <x:v>녹색성장·자전거도로</x:v>
      </x:c>
      <x:c r="F85" s="29" t="str">
        <x:v>참좋은레져(현 참좋은여행) (094850)</x:v>
      </x:c>
      <x:c r="G85" s="29" t="str">
        <x:v>KOSDAQ</x:v>
      </x:c>
      <x:c r="H85" s="28" t="str">
        <x:v>상승</x:v>
      </x:c>
      <x:c r="I85" s="29" t="str">
        <x:v>상한가</x:v>
      </x:c>
      <x:c r="J85" s="29" t="str">
        <x:v>강한사례</x:v>
      </x:c>
      <x:c r="K85" s="29" t="str"/>
      <x:c r="L85" s="29" t="str">
        <x:v>사업연결+테마 | 완료 | 5월 4일 사례와 별도 이벤트</x:v>
      </x:c>
      <x:c r="M85" s="29" t="str">
        <x:v>S93</x:v>
      </x:c>
      <x:c r="N85" s="29" t="n">
        <x:v>2</x:v>
      </x:c>
      <x:c r="O85" s="29" t="n">
        <x:v>1</x:v>
      </x:c>
      <x:c r="P85" s="29" t="n">
        <x:v>2</x:v>
      </x:c>
      <x:c r="Q85" s="29" t="n">
        <x:v>1</x:v>
      </x:c>
      <x:c r="R85" s="29" t="n">
        <x:f>SUM(N85:P85)</x:f>
        <x:v>5</x:v>
      </x:c>
      <x:c r="S85" s="28" t="str">
        <x:f>IF(AND(N85=2,P85=2,R85&gt;=5),"핵심사례",IF(R85&gt;=3,"보조사례","경계사례"))</x:f>
        <x:v>핵심사례</x:v>
      </x:c>
    </x:row>
    <x:row r="86" ht="45" customHeight="1">
      <x:c r="A86" s="18" t="str">
        <x:v>KR-H012</x:v>
      </x:c>
      <x:c r="B86" s="18" t="str">
        <x:v>EV0002</x:v>
      </x:c>
      <x:c r="C86" s="18" t="str">
        <x:v>2009</x:v>
      </x:c>
      <x:c r="D86" s="18" t="str">
        <x:v>식품·소비</x:v>
      </x:c>
      <x:c r="E86" s="18" t="str">
        <x:v>녹색성장·4대강</x:v>
      </x:c>
      <x:c r="F86" s="18" t="str">
        <x:v>특수건설 (026150)</x:v>
      </x:c>
      <x:c r="G86" s="18" t="str">
        <x:v>KOSDAQ</x:v>
      </x:c>
      <x:c r="H86" s="28" t="str">
        <x:v>상승</x:v>
      </x:c>
      <x:c r="I86" s="18" t="str">
        <x:v>당일 상승</x:v>
      </x:c>
      <x:c r="J86" s="18" t="str">
        <x:v>강한사례</x:v>
      </x:c>
      <x:c r="K86" s="18" t="str"/>
      <x:c r="L86" s="18" t="str">
        <x:v>혼합-테마 주도 | 완료 | 정책 연설 직후 반응</x:v>
      </x:c>
      <x:c r="M86" s="18" t="str">
        <x:v>S93</x:v>
      </x:c>
      <x:c r="N86" s="18" t="n">
        <x:v>2</x:v>
      </x:c>
      <x:c r="O86" s="18" t="n">
        <x:v>1</x:v>
      </x:c>
      <x:c r="P86" s="18" t="n">
        <x:v>2</x:v>
      </x:c>
      <x:c r="Q86" s="18" t="n">
        <x:v>1</x:v>
      </x:c>
      <x:c r="R86" s="18" t="n">
        <x:f>SUM(N86:P86)</x:f>
        <x:v>5</x:v>
      </x:c>
      <x:c r="S86" s="28" t="str">
        <x:f>IF(AND(N86=2,P86=2,R86&gt;=5),"핵심사례",IF(R86&gt;=3,"보조사례","경계사례"))</x:f>
        <x:v>핵심사례</x:v>
      </x:c>
    </x:row>
    <x:row r="87" ht="45" customHeight="1">
      <x:c r="A87" s="29" t="str">
        <x:v>KR-H013</x:v>
      </x:c>
      <x:c r="B87" s="29" t="str">
        <x:v>EV0002</x:v>
      </x:c>
      <x:c r="C87" s="29" t="str">
        <x:v>2009</x:v>
      </x:c>
      <x:c r="D87" s="29" t="str">
        <x:v>식품·소비</x:v>
      </x:c>
      <x:c r="E87" s="29" t="str">
        <x:v>녹색성장·4대강</x:v>
      </x:c>
      <x:c r="F87" s="29" t="str">
        <x:v>이화공영 (001840)</x:v>
      </x:c>
      <x:c r="G87" s="29" t="str">
        <x:v>KOSDAQ</x:v>
      </x:c>
      <x:c r="H87" s="28" t="str">
        <x:v>상승</x:v>
      </x:c>
      <x:c r="I87" s="29" t="str">
        <x:v>당일 상승</x:v>
      </x:c>
      <x:c r="J87" s="29" t="str">
        <x:v>강한사례</x:v>
      </x:c>
      <x:c r="K87" s="29" t="str"/>
      <x:c r="L87" s="29" t="str">
        <x:v>혼합-테마 주도 | 완료 | 정책 연설 직후 반응</x:v>
      </x:c>
      <x:c r="M87" s="29" t="str">
        <x:v>S93</x:v>
      </x:c>
      <x:c r="N87" s="29" t="n">
        <x:v>2</x:v>
      </x:c>
      <x:c r="O87" s="29" t="n">
        <x:v>1</x:v>
      </x:c>
      <x:c r="P87" s="29" t="n">
        <x:v>2</x:v>
      </x:c>
      <x:c r="Q87" s="29" t="n">
        <x:v>1</x:v>
      </x:c>
      <x:c r="R87" s="29" t="n">
        <x:f>SUM(N87:P87)</x:f>
        <x:v>5</x:v>
      </x:c>
      <x:c r="S87" s="28" t="str">
        <x:f>IF(AND(N87=2,P87=2,R87&gt;=5),"핵심사례",IF(R87&gt;=3,"보조사례","경계사례"))</x:f>
        <x:v>핵심사례</x:v>
      </x:c>
    </x:row>
    <x:row r="88" ht="45" customHeight="1">
      <x:c r="A88" s="18" t="str">
        <x:v>KR-H014</x:v>
      </x:c>
      <x:c r="B88" s="18" t="str">
        <x:v>EV0002</x:v>
      </x:c>
      <x:c r="C88" s="18" t="str">
        <x:v>2009</x:v>
      </x:c>
      <x:c r="D88" s="18" t="str">
        <x:v>식품·소비</x:v>
      </x:c>
      <x:c r="E88" s="18" t="str">
        <x:v>녹색성장·4대강</x:v>
      </x:c>
      <x:c r="F88" s="18" t="str">
        <x:v>한국선재 (025550)</x:v>
      </x:c>
      <x:c r="G88" s="18" t="str">
        <x:v>KOSDAQ</x:v>
      </x:c>
      <x:c r="H88" s="28" t="str">
        <x:v>상승</x:v>
      </x:c>
      <x:c r="I88" s="18" t="str">
        <x:v>당일 상승</x:v>
      </x:c>
      <x:c r="J88" s="18" t="str">
        <x:v>강한사례</x:v>
      </x:c>
      <x:c r="K88" s="18" t="str"/>
      <x:c r="L88" s="18" t="str">
        <x:v>혼합-테마 주도 | 완료 | 인과는 당일 기사 서술 기준</x:v>
      </x:c>
      <x:c r="M88" s="18" t="str">
        <x:v>S93</x:v>
      </x:c>
      <x:c r="N88" s="18" t="n">
        <x:v>2</x:v>
      </x:c>
      <x:c r="O88" s="18" t="n">
        <x:v>2</x:v>
      </x:c>
      <x:c r="P88" s="18" t="n">
        <x:v>2</x:v>
      </x:c>
      <x:c r="Q88" s="18" t="n">
        <x:v>0</x:v>
      </x:c>
      <x:c r="R88" s="18" t="n">
        <x:f>SUM(N88:P88)</x:f>
        <x:v>6</x:v>
      </x:c>
      <x:c r="S88" s="28" t="str">
        <x:f>IF(AND(N88=2,P88=2,R88&gt;=5),"핵심사례",IF(R88&gt;=3,"보조사례","경계사례"))</x:f>
        <x:v>핵심사례</x:v>
      </x:c>
    </x:row>
    <x:row r="89" ht="45" customHeight="1">
      <x:c r="A89" s="29" t="str">
        <x:v>KR-H015</x:v>
      </x:c>
      <x:c r="B89" s="29" t="str">
        <x:v>EV0002</x:v>
      </x:c>
      <x:c r="C89" s="29" t="str">
        <x:v>2009</x:v>
      </x:c>
      <x:c r="D89" s="29" t="str">
        <x:v>식품·소비</x:v>
      </x:c>
      <x:c r="E89" s="29" t="str">
        <x:v>녹색성장·4대강</x:v>
      </x:c>
      <x:c r="F89" s="29" t="str">
        <x:v>홈센타(현 홈센타홀딩스) (060560)</x:v>
      </x:c>
      <x:c r="G89" s="29" t="str">
        <x:v>KOSDAQ</x:v>
      </x:c>
      <x:c r="H89" s="28" t="str">
        <x:v>상승</x:v>
      </x:c>
      <x:c r="I89" s="29" t="str">
        <x:v>당일 상승</x:v>
      </x:c>
      <x:c r="J89" s="29" t="str">
        <x:v>강한사례</x:v>
      </x:c>
      <x:c r="K89" s="29" t="str"/>
      <x:c r="L89" s="29" t="str">
        <x:v>혼합-테마 주도 | 완료 | 현재 사명 병기</x:v>
      </x:c>
      <x:c r="M89" s="29" t="str">
        <x:v>S93</x:v>
      </x:c>
      <x:c r="N89" s="29" t="n">
        <x:v>2</x:v>
      </x:c>
      <x:c r="O89" s="29" t="n">
        <x:v>1</x:v>
      </x:c>
      <x:c r="P89" s="29" t="n">
        <x:v>2</x:v>
      </x:c>
      <x:c r="Q89" s="29" t="n">
        <x:v>1</x:v>
      </x:c>
      <x:c r="R89" s="29" t="n">
        <x:f>SUM(N89:P89)</x:f>
        <x:v>5</x:v>
      </x:c>
      <x:c r="S89" s="28" t="str">
        <x:f>IF(AND(N89=2,P89=2,R89&gt;=5),"핵심사례",IF(R89&gt;=3,"보조사례","경계사례"))</x:f>
        <x:v>핵심사례</x:v>
      </x:c>
    </x:row>
    <x:row r="90" ht="45" customHeight="1">
      <x:c r="A90" s="18" t="str">
        <x:v>KR-H016</x:v>
      </x:c>
      <x:c r="B90" s="18" t="str">
        <x:v>EV0002</x:v>
      </x:c>
      <x:c r="C90" s="18" t="str">
        <x:v>2009</x:v>
      </x:c>
      <x:c r="D90" s="18" t="str">
        <x:v>식품·소비</x:v>
      </x:c>
      <x:c r="E90" s="18" t="str">
        <x:v>녹색성장·4대강</x:v>
      </x:c>
      <x:c r="F90" s="18" t="str">
        <x:v>미주제강 (002670)</x:v>
      </x:c>
      <x:c r="G90" s="18" t="str">
        <x:v>KOSPI</x:v>
      </x:c>
      <x:c r="H90" s="28" t="str">
        <x:v>상승</x:v>
      </x:c>
      <x:c r="I90" s="18" t="str">
        <x:v>당일 상승</x:v>
      </x:c>
      <x:c r="J90" s="18" t="str">
        <x:v>강한사례</x:v>
      </x:c>
      <x:c r="K90" s="18" t="str"/>
      <x:c r="L90" s="18" t="str">
        <x:v>혼합-테마 주도 | 완료 | 역사 사례; 현재 투자대상 아님</x:v>
      </x:c>
      <x:c r="M90" s="18" t="str">
        <x:v>S93</x:v>
      </x:c>
      <x:c r="N90" s="18" t="n">
        <x:v>2</x:v>
      </x:c>
      <x:c r="O90" s="18" t="n">
        <x:v>1</x:v>
      </x:c>
      <x:c r="P90" s="18" t="n">
        <x:v>2</x:v>
      </x:c>
      <x:c r="Q90" s="18" t="n">
        <x:v>0</x:v>
      </x:c>
      <x:c r="R90" s="18" t="n">
        <x:f>SUM(N90:P90)</x:f>
        <x:v>5</x:v>
      </x:c>
      <x:c r="S90" s="28" t="str">
        <x:f>IF(AND(N90=2,P90=2,R90&gt;=5),"핵심사례",IF(R90&gt;=3,"보조사례","경계사례"))</x:f>
        <x:v>핵심사례</x:v>
      </x:c>
    </x:row>
    <x:row r="91" ht="45" customHeight="1">
      <x:c r="A91" s="29" t="str">
        <x:v>KR-H017</x:v>
      </x:c>
      <x:c r="B91" s="29" t="str">
        <x:v>EV0008</x:v>
      </x:c>
      <x:c r="C91" s="29" t="str">
        <x:v>2010</x:v>
      </x:c>
      <x:c r="D91" s="29" t="str">
        <x:v>콘텐츠·팬덤</x:v>
      </x:c>
      <x:c r="E91" s="29" t="str">
        <x:v>아바타·3D 열풍</x:v>
      </x:c>
      <x:c r="F91" s="29" t="str">
        <x:v>케이디씨(현 광무) (029480)</x:v>
      </x:c>
      <x:c r="G91" s="29" t="str">
        <x:v>KOSDAQ</x:v>
      </x:c>
      <x:c r="H91" s="30" t="str">
        <x:v>미확인</x:v>
      </x:c>
      <x:c r="I91" s="29" t="str">
        <x:v>기사상 급등 후 하락 언급; 정확 수치 미제공</x:v>
      </x:c>
      <x:c r="J91" s="29" t="str">
        <x:v>가격미확인</x:v>
      </x:c>
      <x:c r="K91" s="29" t="str"/>
      <x:c r="L91" s="29" t="str">
        <x:v>후보-가격검증 | 부분 | 사실 기사 존재, 수치 미입력</x:v>
      </x:c>
      <x:c r="M91" s="29" t="str">
        <x:v>S96</x:v>
      </x:c>
      <x:c r="N91" s="29" t="n">
        <x:v>2</x:v>
      </x:c>
      <x:c r="O91" s="29" t="n">
        <x:v>1</x:v>
      </x:c>
      <x:c r="P91" s="29" t="n">
        <x:v>0</x:v>
      </x:c>
      <x:c r="Q91" s="29" t="n">
        <x:v>1</x:v>
      </x:c>
      <x:c r="R91" s="29" t="n">
        <x:f>SUM(N91:P91)</x:f>
        <x:v>3</x:v>
      </x:c>
      <x:c r="S91" s="30" t="str">
        <x:f>IF(AND(N91=2,P91=2,R91&gt;=5),"핵심사례",IF(R91&gt;=3,"보조사례","경계사례"))</x:f>
        <x:v>보조사례</x:v>
      </x:c>
    </x:row>
    <x:row r="92" ht="45" customHeight="1">
      <x:c r="A92" s="18" t="str">
        <x:v>KR-H018</x:v>
      </x:c>
      <x:c r="B92" s="18" t="str">
        <x:v>EV0008</x:v>
      </x:c>
      <x:c r="C92" s="18" t="str">
        <x:v>2010</x:v>
      </x:c>
      <x:c r="D92" s="18" t="str">
        <x:v>콘텐츠·팬덤</x:v>
      </x:c>
      <x:c r="E92" s="18" t="str">
        <x:v>아바타·3D 열풍</x:v>
      </x:c>
      <x:c r="F92" s="18" t="str">
        <x:v>티엘아이 (062860)</x:v>
      </x:c>
      <x:c r="G92" s="18" t="str">
        <x:v>KOSDAQ</x:v>
      </x:c>
      <x:c r="H92" s="30" t="str">
        <x:v>미확인</x:v>
      </x:c>
      <x:c r="I92" s="18" t="str">
        <x:v>기사상 꾸준한 상승세; 정확 수치 미제공</x:v>
      </x:c>
      <x:c r="J92" s="18" t="str">
        <x:v>가격미확인</x:v>
      </x:c>
      <x:c r="K92" s="18" t="str"/>
      <x:c r="L92" s="18" t="str">
        <x:v>후보-가격검증 | 부분 | 이후 상장 상태 변동은 별도 확인</x:v>
      </x:c>
      <x:c r="M92" s="18" t="str">
        <x:v>S96</x:v>
      </x:c>
      <x:c r="N92" s="18" t="n">
        <x:v>2</x:v>
      </x:c>
      <x:c r="O92" s="18" t="n">
        <x:v>1</x:v>
      </x:c>
      <x:c r="P92" s="18" t="n">
        <x:v>0</x:v>
      </x:c>
      <x:c r="Q92" s="18" t="n">
        <x:v>1</x:v>
      </x:c>
      <x:c r="R92" s="18" t="n">
        <x:f>SUM(N92:P92)</x:f>
        <x:v>3</x:v>
      </x:c>
      <x:c r="S92" s="30" t="str">
        <x:f>IF(AND(N92=2,P92=2,R92&gt;=5),"핵심사례",IF(R92&gt;=3,"보조사례","경계사례"))</x:f>
        <x:v>보조사례</x:v>
      </x:c>
    </x:row>
    <x:row r="93" ht="45" customHeight="1">
      <x:c r="A93" s="29" t="str">
        <x:v>KR-H019</x:v>
      </x:c>
      <x:c r="B93" s="29" t="str">
        <x:v>EV0008</x:v>
      </x:c>
      <x:c r="C93" s="29" t="str">
        <x:v>2010</x:v>
      </x:c>
      <x:c r="D93" s="29" t="str">
        <x:v>콘텐츠·팬덤</x:v>
      </x:c>
      <x:c r="E93" s="29" t="str">
        <x:v>아바타·3D 열풍</x:v>
      </x:c>
      <x:c r="F93" s="29" t="str">
        <x:v>잘만테크 (090120)</x:v>
      </x:c>
      <x:c r="G93" s="29" t="str">
        <x:v>KOSDAQ</x:v>
      </x:c>
      <x:c r="H93" s="30" t="str">
        <x:v>미확인</x:v>
      </x:c>
      <x:c r="I93" s="29" t="str">
        <x:v>기사상 꾸준한 상승세; 정확 수치 미제공</x:v>
      </x:c>
      <x:c r="J93" s="29" t="str">
        <x:v>가격미확인</x:v>
      </x:c>
      <x:c r="K93" s="29" t="str"/>
      <x:c r="L93" s="29" t="str">
        <x:v>후보-가격검증 | 부분 | 현재 투자대상 아님</x:v>
      </x:c>
      <x:c r="M93" s="29" t="str">
        <x:v>S96</x:v>
      </x:c>
      <x:c r="N93" s="29" t="n">
        <x:v>2</x:v>
      </x:c>
      <x:c r="O93" s="29" t="n">
        <x:v>1</x:v>
      </x:c>
      <x:c r="P93" s="29" t="n">
        <x:v>0</x:v>
      </x:c>
      <x:c r="Q93" s="29" t="n">
        <x:v>1</x:v>
      </x:c>
      <x:c r="R93" s="29" t="n">
        <x:f>SUM(N93:P93)</x:f>
        <x:v>3</x:v>
      </x:c>
      <x:c r="S93" s="30" t="str">
        <x:f>IF(AND(N93=2,P93=2,R93&gt;=5),"핵심사례",IF(R93&gt;=3,"보조사례","경계사례"))</x:f>
        <x:v>보조사례</x:v>
      </x:c>
    </x:row>
    <x:row r="94" ht="45" customHeight="1">
      <x:c r="A94" s="18" t="str">
        <x:v>KR-H020</x:v>
      </x:c>
      <x:c r="B94" s="18" t="str">
        <x:v>EV0009</x:v>
      </x:c>
      <x:c r="C94" s="18" t="str">
        <x:v>2010</x:v>
      </x:c>
      <x:c r="D94" s="18" t="str">
        <x:v>기술·플랫폼</x:v>
      </x:c>
      <x:c r="E94" s="18" t="str">
        <x:v>아이폰·스마트폰 확산</x:v>
      </x:c>
      <x:c r="F94" s="18" t="str">
        <x:v>디지텍시스템 (091690)</x:v>
      </x:c>
      <x:c r="G94" s="18" t="str">
        <x:v>KOSDAQ</x:v>
      </x:c>
      <x:c r="H94" s="30" t="str">
        <x:v>미확인</x:v>
      </x:c>
      <x:c r="I94" s="18" t="str">
        <x:v>수혜주로 주목; 원문 정확 수치 미제공</x:v>
      </x:c>
      <x:c r="J94" s="18" t="str">
        <x:v>가격미확인</x:v>
      </x:c>
      <x:c r="K94" s="18" t="str"/>
      <x:c r="L94" s="18" t="str">
        <x:v>후보-가격검증 | 부분 | 가격 데이터 후속 검증 필요</x:v>
      </x:c>
      <x:c r="M94" s="18" t="str">
        <x:v>S80;S96</x:v>
      </x:c>
      <x:c r="N94" s="18" t="n">
        <x:v>2</x:v>
      </x:c>
      <x:c r="O94" s="18" t="n">
        <x:v>1</x:v>
      </x:c>
      <x:c r="P94" s="18" t="n">
        <x:v>0</x:v>
      </x:c>
      <x:c r="Q94" s="18" t="n">
        <x:v>1</x:v>
      </x:c>
      <x:c r="R94" s="18" t="n">
        <x:f>SUM(N94:P94)</x:f>
        <x:v>3</x:v>
      </x:c>
      <x:c r="S94" s="30" t="str">
        <x:f>IF(AND(N94=2,P94=2,R94&gt;=5),"핵심사례",IF(R94&gt;=3,"보조사례","경계사례"))</x:f>
        <x:v>보조사례</x:v>
      </x:c>
    </x:row>
    <x:row r="95" ht="45" customHeight="1">
      <x:c r="A95" s="29" t="str">
        <x:v>KR-H021</x:v>
      </x:c>
      <x:c r="B95" s="29" t="str">
        <x:v>EV0009</x:v>
      </x:c>
      <x:c r="C95" s="29" t="str">
        <x:v>2010</x:v>
      </x:c>
      <x:c r="D95" s="29" t="str">
        <x:v>기술·플랫폼</x:v>
      </x:c>
      <x:c r="E95" s="29" t="str">
        <x:v>아이폰·스마트폰 확산</x:v>
      </x:c>
      <x:c r="F95" s="29" t="str">
        <x:v>이엘케이 (094190)</x:v>
      </x:c>
      <x:c r="G95" s="29" t="str">
        <x:v>KOSDAQ</x:v>
      </x:c>
      <x:c r="H95" s="30" t="str">
        <x:v>미확인</x:v>
      </x:c>
      <x:c r="I95" s="29" t="str">
        <x:v>수혜주로 주목; 원문 정확 수치 미제공</x:v>
      </x:c>
      <x:c r="J95" s="29" t="str">
        <x:v>가격미확인</x:v>
      </x:c>
      <x:c r="K95" s="29" t="str"/>
      <x:c r="L95" s="29" t="str">
        <x:v>후보-가격검증 | 부분 | 가격 데이터 후속 검증 필요</x:v>
      </x:c>
      <x:c r="M95" s="29" t="str">
        <x:v>S80;S96</x:v>
      </x:c>
      <x:c r="N95" s="29" t="n">
        <x:v>2</x:v>
      </x:c>
      <x:c r="O95" s="29" t="n">
        <x:v>1</x:v>
      </x:c>
      <x:c r="P95" s="29" t="n">
        <x:v>0</x:v>
      </x:c>
      <x:c r="Q95" s="29" t="n">
        <x:v>1</x:v>
      </x:c>
      <x:c r="R95" s="29" t="n">
        <x:f>SUM(N95:P95)</x:f>
        <x:v>3</x:v>
      </x:c>
      <x:c r="S95" s="30" t="str">
        <x:f>IF(AND(N95=2,P95=2,R95&gt;=5),"핵심사례",IF(R95&gt;=3,"보조사례","경계사례"))</x:f>
        <x:v>보조사례</x:v>
      </x:c>
    </x:row>
    <x:row r="96" ht="45" customHeight="1">
      <x:c r="A96" s="18" t="str">
        <x:v>KR-H022</x:v>
      </x:c>
      <x:c r="B96" s="18" t="str">
        <x:v>EV0009</x:v>
      </x:c>
      <x:c r="C96" s="18" t="str">
        <x:v>2010</x:v>
      </x:c>
      <x:c r="D96" s="18" t="str">
        <x:v>기술·플랫폼</x:v>
      </x:c>
      <x:c r="E96" s="18" t="str">
        <x:v>아이폰·스마트폰 확산</x:v>
      </x:c>
      <x:c r="F96" s="18" t="str">
        <x:v>멜파스 (096640)</x:v>
      </x:c>
      <x:c r="G96" s="18" t="str">
        <x:v>KOSDAQ</x:v>
      </x:c>
      <x:c r="H96" s="30" t="str">
        <x:v>미확인</x:v>
      </x:c>
      <x:c r="I96" s="18" t="str">
        <x:v>수혜주로 주목; 원문 정확 수치 미제공</x:v>
      </x:c>
      <x:c r="J96" s="18" t="str">
        <x:v>가격미확인</x:v>
      </x:c>
      <x:c r="K96" s="18" t="str"/>
      <x:c r="L96" s="18" t="str">
        <x:v>후보-가격검증 | 부분 | 가격 데이터 후속 검증 필요</x:v>
      </x:c>
      <x:c r="M96" s="18" t="str">
        <x:v>S80;S96</x:v>
      </x:c>
      <x:c r="N96" s="18" t="n">
        <x:v>2</x:v>
      </x:c>
      <x:c r="O96" s="18" t="n">
        <x:v>1</x:v>
      </x:c>
      <x:c r="P96" s="18" t="n">
        <x:v>0</x:v>
      </x:c>
      <x:c r="Q96" s="18" t="n">
        <x:v>1</x:v>
      </x:c>
      <x:c r="R96" s="18" t="n">
        <x:f>SUM(N96:P96)</x:f>
        <x:v>3</x:v>
      </x:c>
      <x:c r="S96" s="30" t="str">
        <x:f>IF(AND(N96=2,P96=2,R96&gt;=5),"핵심사례",IF(R96&gt;=3,"보조사례","경계사례"))</x:f>
        <x:v>보조사례</x:v>
      </x:c>
    </x:row>
    <x:row r="97" ht="45" customHeight="1">
      <x:c r="A97" s="29" t="str">
        <x:v>KR-H023</x:v>
      </x:c>
      <x:c r="B97" s="29" t="str">
        <x:v>EV0009</x:v>
      </x:c>
      <x:c r="C97" s="29" t="str">
        <x:v>2010</x:v>
      </x:c>
      <x:c r="D97" s="29" t="str">
        <x:v>기술·플랫폼</x:v>
      </x:c>
      <x:c r="E97" s="29" t="str">
        <x:v>아이폰·스마트폰 확산</x:v>
      </x:c>
      <x:c r="F97" s="29" t="str">
        <x:v>디오텍(현 셀바스AI) (108860)</x:v>
      </x:c>
      <x:c r="G97" s="29" t="str">
        <x:v>KOSDAQ</x:v>
      </x:c>
      <x:c r="H97" s="30" t="str">
        <x:v>미확인</x:v>
      </x:c>
      <x:c r="I97" s="29" t="str">
        <x:v>관련주 관심; 원문 정확 수치 미제공</x:v>
      </x:c>
      <x:c r="J97" s="29" t="str">
        <x:v>가격미확인</x:v>
      </x:c>
      <x:c r="K97" s="29" t="str"/>
      <x:c r="L97" s="29" t="str">
        <x:v>후보-가격검증 | 부분 | 현재 사명 병기</x:v>
      </x:c>
      <x:c r="M97" s="29" t="str">
        <x:v>S80;S96</x:v>
      </x:c>
      <x:c r="N97" s="29" t="n">
        <x:v>2</x:v>
      </x:c>
      <x:c r="O97" s="29" t="n">
        <x:v>1</x:v>
      </x:c>
      <x:c r="P97" s="29" t="n">
        <x:v>0</x:v>
      </x:c>
      <x:c r="Q97" s="29" t="n">
        <x:v>1</x:v>
      </x:c>
      <x:c r="R97" s="29" t="n">
        <x:f>SUM(N97:P97)</x:f>
        <x:v>3</x:v>
      </x:c>
      <x:c r="S97" s="30" t="str">
        <x:f>IF(AND(N97=2,P97=2,R97&gt;=5),"핵심사례",IF(R97&gt;=3,"보조사례","경계사례"))</x:f>
        <x:v>보조사례</x:v>
      </x:c>
    </x:row>
    <x:row r="98" ht="45" customHeight="1">
      <x:c r="A98" s="18" t="str">
        <x:v>KR-H024</x:v>
      </x:c>
      <x:c r="B98" s="18" t="str">
        <x:v>EV0009</x:v>
      </x:c>
      <x:c r="C98" s="18" t="str">
        <x:v>2010</x:v>
      </x:c>
      <x:c r="D98" s="18" t="str">
        <x:v>기술·플랫폼</x:v>
      </x:c>
      <x:c r="E98" s="18" t="str">
        <x:v>아이폰·스마트폰 확산</x:v>
      </x:c>
      <x:c r="F98" s="18" t="str">
        <x:v>파트론 (091700)</x:v>
      </x:c>
      <x:c r="G98" s="18" t="str">
        <x:v>KOSDAQ</x:v>
      </x:c>
      <x:c r="H98" s="30" t="str">
        <x:v>미확인</x:v>
      </x:c>
      <x:c r="I98" s="18" t="str">
        <x:v>관련주 관심; 원문 정확 수치 미제공</x:v>
      </x:c>
      <x:c r="J98" s="18" t="str">
        <x:v>가격미확인</x:v>
      </x:c>
      <x:c r="K98" s="18" t="str"/>
      <x:c r="L98" s="18" t="str">
        <x:v>후보-가격검증 | 부분 | 기업-사건 후보 행</x:v>
      </x:c>
      <x:c r="M98" s="18" t="str">
        <x:v>S80;S96</x:v>
      </x:c>
      <x:c r="N98" s="18" t="n">
        <x:v>2</x:v>
      </x:c>
      <x:c r="O98" s="18" t="n">
        <x:v>1</x:v>
      </x:c>
      <x:c r="P98" s="18" t="n">
        <x:v>0</x:v>
      </x:c>
      <x:c r="Q98" s="18" t="n">
        <x:v>1</x:v>
      </x:c>
      <x:c r="R98" s="18" t="n">
        <x:f>SUM(N98:P98)</x:f>
        <x:v>3</x:v>
      </x:c>
      <x:c r="S98" s="30" t="str">
        <x:f>IF(AND(N98=2,P98=2,R98&gt;=5),"핵심사례",IF(R98&gt;=3,"보조사례","경계사례"))</x:f>
        <x:v>보조사례</x:v>
      </x:c>
    </x:row>
    <x:row r="99" ht="45" customHeight="1">
      <x:c r="A99" s="29" t="str">
        <x:v>KR-H025</x:v>
      </x:c>
      <x:c r="B99" s="29" t="str">
        <x:v>EV0009</x:v>
      </x:c>
      <x:c r="C99" s="29" t="str">
        <x:v>2010</x:v>
      </x:c>
      <x:c r="D99" s="29" t="str">
        <x:v>기술·플랫폼</x:v>
      </x:c>
      <x:c r="E99" s="29" t="str">
        <x:v>아이폰·스마트폰 확산</x:v>
      </x:c>
      <x:c r="F99" s="29" t="str">
        <x:v>아모텍 (052710)</x:v>
      </x:c>
      <x:c r="G99" s="29" t="str">
        <x:v>KOSDAQ</x:v>
      </x:c>
      <x:c r="H99" s="30" t="str">
        <x:v>미확인</x:v>
      </x:c>
      <x:c r="I99" s="29" t="str">
        <x:v>관련주 관심; 원문 정확 수치 미제공</x:v>
      </x:c>
      <x:c r="J99" s="29" t="str">
        <x:v>가격미확인</x:v>
      </x:c>
      <x:c r="K99" s="29" t="str"/>
      <x:c r="L99" s="29" t="str">
        <x:v>후보-가격검증 | 부분 | 기업-사건 후보 행</x:v>
      </x:c>
      <x:c r="M99" s="29" t="str">
        <x:v>S80;S96</x:v>
      </x:c>
      <x:c r="N99" s="29" t="n">
        <x:v>2</x:v>
      </x:c>
      <x:c r="O99" s="29" t="n">
        <x:v>1</x:v>
      </x:c>
      <x:c r="P99" s="29" t="n">
        <x:v>0</x:v>
      </x:c>
      <x:c r="Q99" s="29" t="n">
        <x:v>1</x:v>
      </x:c>
      <x:c r="R99" s="29" t="n">
        <x:f>SUM(N99:P99)</x:f>
        <x:v>3</x:v>
      </x:c>
      <x:c r="S99" s="30" t="str">
        <x:f>IF(AND(N99=2,P99=2,R99&gt;=5),"핵심사례",IF(R99&gt;=3,"보조사례","경계사례"))</x:f>
        <x:v>보조사례</x:v>
      </x:c>
    </x:row>
    <x:row r="100" ht="45" customHeight="1">
      <x:c r="A100" s="18" t="str">
        <x:v>DISC-2009-01</x:v>
      </x:c>
      <x:c r="B100" s="18" t="str">
        <x:v>EV0004</x:v>
      </x:c>
      <x:c r="C100" s="18" t="str">
        <x:v>2009</x:v>
      </x:c>
      <x:c r="D100" s="18" t="str">
        <x:v>건강·재난</x:v>
      </x:c>
      <x:c r="E100" s="18" t="str">
        <x:v>신종플루 확산</x:v>
      </x:c>
      <x:c r="F100" s="18" t="str">
        <x:v>GC녹십자 (006280)</x:v>
      </x:c>
      <x:c r="G100" s="18" t="str">
        <x:v>KOSPI</x:v>
      </x:c>
      <x:c r="H100" s="28" t="str">
        <x:v>상승</x:v>
      </x:c>
      <x:c r="I100" s="18" t="str">
        <x:v>사망자 발생일 상한가</x:v>
      </x:c>
      <x:c r="J100" s="18" t="str">
        <x:v>강한사례</x:v>
      </x:c>
      <x:c r="K100" s="18" t="str"/>
      <x:c r="L100" s="18" t="str">
        <x:v>백신 직접 사업; 공포·실수혜 혼합</x:v>
      </x:c>
      <x:c r="M100" s="18" t="str">
        <x:v>S101</x:v>
      </x:c>
      <x:c r="N100" s="18" t="n">
        <x:v>2</x:v>
      </x:c>
      <x:c r="O100" s="18" t="n">
        <x:v>2</x:v>
      </x:c>
      <x:c r="P100" s="18" t="n">
        <x:v>2</x:v>
      </x:c>
      <x:c r="Q100" s="18" t="n">
        <x:v>1</x:v>
      </x:c>
      <x:c r="R100" s="18" t="n">
        <x:f>SUM(N100:P100)</x:f>
        <x:v>6</x:v>
      </x:c>
      <x:c r="S100" s="28" t="str">
        <x:f>IF(AND(N100=2,P100=2,R100&gt;=5),"핵심사례",IF(R100&gt;=3,"보조사례","경계사례"))</x:f>
        <x:v>핵심사례</x:v>
      </x:c>
    </x:row>
    <x:row r="101" ht="45" customHeight="1">
      <x:c r="A101" s="29" t="str">
        <x:v>DISC-2009-02</x:v>
      </x:c>
      <x:c r="B101" s="29" t="str">
        <x:v>EV0004</x:v>
      </x:c>
      <x:c r="C101" s="29" t="str">
        <x:v>2009</x:v>
      </x:c>
      <x:c r="D101" s="29" t="str">
        <x:v>건강·재난</x:v>
      </x:c>
      <x:c r="E101" s="29" t="str">
        <x:v>신종플루 확산</x:v>
      </x:c>
      <x:c r="F101" s="29" t="str">
        <x:v>진원생명과학(당시 VGX인터) (011000)</x:v>
      </x:c>
      <x:c r="G101" s="29" t="str">
        <x:v>KOSPI</x:v>
      </x:c>
      <x:c r="H101" s="28" t="str">
        <x:v>상승</x:v>
      </x:c>
      <x:c r="I101" s="29" t="str">
        <x:v>사망자 발생일 상한가</x:v>
      </x:c>
      <x:c r="J101" s="29" t="str">
        <x:v>강한사례</x:v>
      </x:c>
      <x:c r="K101" s="29" t="str"/>
      <x:c r="L101" s="29" t="str">
        <x:v>당시 테마 분류</x:v>
      </x:c>
      <x:c r="M101" s="29" t="str">
        <x:v>S101</x:v>
      </x:c>
      <x:c r="N101" s="29" t="n">
        <x:v>2</x:v>
      </x:c>
      <x:c r="O101" s="29" t="n">
        <x:v>1</x:v>
      </x:c>
      <x:c r="P101" s="29" t="n">
        <x:v>2</x:v>
      </x:c>
      <x:c r="Q101" s="29" t="n">
        <x:v>1</x:v>
      </x:c>
      <x:c r="R101" s="29" t="n">
        <x:f>SUM(N101:P101)</x:f>
        <x:v>5</x:v>
      </x:c>
      <x:c r="S101" s="28" t="str">
        <x:f>IF(AND(N101=2,P101=2,R101&gt;=5),"핵심사례",IF(R101&gt;=3,"보조사례","경계사례"))</x:f>
        <x:v>핵심사례</x:v>
      </x:c>
    </x:row>
    <x:row r="102" ht="45" customHeight="1">
      <x:c r="A102" s="18" t="str">
        <x:v>DISC-2009-03</x:v>
      </x:c>
      <x:c r="B102" s="18" t="str">
        <x:v>EV0004</x:v>
      </x:c>
      <x:c r="C102" s="18" t="str">
        <x:v>2009</x:v>
      </x:c>
      <x:c r="D102" s="18" t="str">
        <x:v>건강·재난</x:v>
      </x:c>
      <x:c r="E102" s="18" t="str">
        <x:v>신종플루 확산</x:v>
      </x:c>
      <x:c r="F102" s="18" t="str">
        <x:v>케이피엠테크 (042040)</x:v>
      </x:c>
      <x:c r="G102" s="18" t="str">
        <x:v>KOSDAQ</x:v>
      </x:c>
      <x:c r="H102" s="28" t="str">
        <x:v>상승</x:v>
      </x:c>
      <x:c r="I102" s="18" t="str">
        <x:v>사망자 발생일 상한가</x:v>
      </x:c>
      <x:c r="J102" s="18" t="str">
        <x:v>강한사례</x:v>
      </x:c>
      <x:c r="K102" s="18" t="str"/>
      <x:c r="L102" s="18" t="str">
        <x:v>예방·방역 테마</x:v>
      </x:c>
      <x:c r="M102" s="18" t="str">
        <x:v>S101</x:v>
      </x:c>
      <x:c r="N102" s="18" t="n">
        <x:v>2</x:v>
      </x:c>
      <x:c r="O102" s="18" t="n">
        <x:v>1</x:v>
      </x:c>
      <x:c r="P102" s="18" t="n">
        <x:v>2</x:v>
      </x:c>
      <x:c r="Q102" s="18" t="n">
        <x:v>1</x:v>
      </x:c>
      <x:c r="R102" s="18" t="n">
        <x:f>SUM(N102:P102)</x:f>
        <x:v>5</x:v>
      </x:c>
      <x:c r="S102" s="28" t="str">
        <x:f>IF(AND(N102=2,P102=2,R102&gt;=5),"핵심사례",IF(R102&gt;=3,"보조사례","경계사례"))</x:f>
        <x:v>핵심사례</x:v>
      </x:c>
    </x:row>
    <x:row r="103" ht="45" customHeight="1">
      <x:c r="A103" s="29" t="str">
        <x:v>DISC-2009-04</x:v>
      </x:c>
      <x:c r="B103" s="29" t="str">
        <x:v>EV0004</x:v>
      </x:c>
      <x:c r="C103" s="29" t="str">
        <x:v>2009</x:v>
      </x:c>
      <x:c r="D103" s="29" t="str">
        <x:v>건강·재난</x:v>
      </x:c>
      <x:c r="E103" s="29" t="str">
        <x:v>신종플루 확산</x:v>
      </x:c>
      <x:c r="F103" s="29" t="str">
        <x:v>대한뉴팜 (054670)</x:v>
      </x:c>
      <x:c r="G103" s="29" t="str">
        <x:v>KOSDAQ</x:v>
      </x:c>
      <x:c r="H103" s="28" t="str">
        <x:v>상승</x:v>
      </x:c>
      <x:c r="I103" s="29" t="str">
        <x:v>사망자 발생일 상한가</x:v>
      </x:c>
      <x:c r="J103" s="29" t="str">
        <x:v>강한사례</x:v>
      </x:c>
      <x:c r="K103" s="29" t="str"/>
      <x:c r="L103" s="29" t="str">
        <x:v>의약 테마</x:v>
      </x:c>
      <x:c r="M103" s="29" t="str">
        <x:v>S101</x:v>
      </x:c>
      <x:c r="N103" s="29" t="n">
        <x:v>2</x:v>
      </x:c>
      <x:c r="O103" s="29" t="n">
        <x:v>1</x:v>
      </x:c>
      <x:c r="P103" s="29" t="n">
        <x:v>2</x:v>
      </x:c>
      <x:c r="Q103" s="29" t="n">
        <x:v>1</x:v>
      </x:c>
      <x:c r="R103" s="29" t="n">
        <x:f>SUM(N103:P103)</x:f>
        <x:v>5</x:v>
      </x:c>
      <x:c r="S103" s="28" t="str">
        <x:f>IF(AND(N103=2,P103=2,R103&gt;=5),"핵심사례",IF(R103&gt;=3,"보조사례","경계사례"))</x:f>
        <x:v>핵심사례</x:v>
      </x:c>
    </x:row>
    <x:row r="104" ht="45" customHeight="1">
      <x:c r="A104" s="18" t="str">
        <x:v>DISC-2009-05</x:v>
      </x:c>
      <x:c r="B104" s="18" t="str">
        <x:v>EV0004</x:v>
      </x:c>
      <x:c r="C104" s="18" t="str">
        <x:v>2009</x:v>
      </x:c>
      <x:c r="D104" s="18" t="str">
        <x:v>건강·재난</x:v>
      </x:c>
      <x:c r="E104" s="18" t="str">
        <x:v>신종플루 확산</x:v>
      </x:c>
      <x:c r="F104" s="18" t="str">
        <x:v>제일바이오 (052670)</x:v>
      </x:c>
      <x:c r="G104" s="18" t="str">
        <x:v>KOSDAQ</x:v>
      </x:c>
      <x:c r="H104" s="28" t="str">
        <x:v>상승</x:v>
      </x:c>
      <x:c r="I104" s="18" t="str">
        <x:v>사망자 발생일 상한가</x:v>
      </x:c>
      <x:c r="J104" s="18" t="str">
        <x:v>강한사례</x:v>
      </x:c>
      <x:c r="K104" s="18" t="str"/>
      <x:c r="L104" s="18" t="str">
        <x:v>역사 상장사</x:v>
      </x:c>
      <x:c r="M104" s="18" t="str">
        <x:v>S101</x:v>
      </x:c>
      <x:c r="N104" s="18" t="n">
        <x:v>2</x:v>
      </x:c>
      <x:c r="O104" s="18" t="n">
        <x:v>1</x:v>
      </x:c>
      <x:c r="P104" s="18" t="n">
        <x:v>2</x:v>
      </x:c>
      <x:c r="Q104" s="18" t="n">
        <x:v>1</x:v>
      </x:c>
      <x:c r="R104" s="18" t="n">
        <x:f>SUM(N104:P104)</x:f>
        <x:v>5</x:v>
      </x:c>
      <x:c r="S104" s="28" t="str">
        <x:f>IF(AND(N104=2,P104=2,R104&gt;=5),"핵심사례",IF(R104&gt;=3,"보조사례","경계사례"))</x:f>
        <x:v>핵심사례</x:v>
      </x:c>
    </x:row>
    <x:row r="105" ht="45" customHeight="1">
      <x:c r="A105" s="29" t="str">
        <x:v>DISC-2009-06</x:v>
      </x:c>
      <x:c r="B105" s="29" t="str">
        <x:v>EV0004</x:v>
      </x:c>
      <x:c r="C105" s="29" t="str">
        <x:v>2009</x:v>
      </x:c>
      <x:c r="D105" s="29" t="str">
        <x:v>건강·재난</x:v>
      </x:c>
      <x:c r="E105" s="29" t="str">
        <x:v>신종플루 확산</x:v>
      </x:c>
      <x:c r="F105" s="29" t="str">
        <x:v>파루 (043200)</x:v>
      </x:c>
      <x:c r="G105" s="29" t="str">
        <x:v>KOSDAQ</x:v>
      </x:c>
      <x:c r="H105" s="28" t="str">
        <x:v>상승</x:v>
      </x:c>
      <x:c r="I105" s="29" t="str">
        <x:v>사망자 발생일 상한가</x:v>
      </x:c>
      <x:c r="J105" s="29" t="str">
        <x:v>강한사례</x:v>
      </x:c>
      <x:c r="K105" s="29" t="str"/>
      <x:c r="L105" s="29" t="str">
        <x:v>방역 테마</x:v>
      </x:c>
      <x:c r="M105" s="29" t="str">
        <x:v>S101</x:v>
      </x:c>
      <x:c r="N105" s="29" t="n">
        <x:v>2</x:v>
      </x:c>
      <x:c r="O105" s="29" t="n">
        <x:v>1</x:v>
      </x:c>
      <x:c r="P105" s="29" t="n">
        <x:v>2</x:v>
      </x:c>
      <x:c r="Q105" s="29" t="n">
        <x:v>1</x:v>
      </x:c>
      <x:c r="R105" s="29" t="n">
        <x:f>SUM(N105:P105)</x:f>
        <x:v>5</x:v>
      </x:c>
      <x:c r="S105" s="28" t="str">
        <x:f>IF(AND(N105=2,P105=2,R105&gt;=5),"핵심사례",IF(R105&gt;=3,"보조사례","경계사례"))</x:f>
        <x:v>핵심사례</x:v>
      </x:c>
    </x:row>
    <x:row r="106" ht="45" customHeight="1">
      <x:c r="A106" s="18" t="str">
        <x:v>DISC-2009-07</x:v>
      </x:c>
      <x:c r="B106" s="18" t="str">
        <x:v>EV0004</x:v>
      </x:c>
      <x:c r="C106" s="18" t="str">
        <x:v>2009</x:v>
      </x:c>
      <x:c r="D106" s="18" t="str">
        <x:v>건강·재난</x:v>
      </x:c>
      <x:c r="E106" s="18" t="str">
        <x:v>신종플루 확산</x:v>
      </x:c>
      <x:c r="F106" s="18" t="str">
        <x:v>중앙백신 (072020)</x:v>
      </x:c>
      <x:c r="G106" s="18" t="str">
        <x:v>KOSDAQ</x:v>
      </x:c>
      <x:c r="H106" s="28" t="str">
        <x:v>상승</x:v>
      </x:c>
      <x:c r="I106" s="18" t="str">
        <x:v>사망자 발생일 상한가</x:v>
      </x:c>
      <x:c r="J106" s="18" t="str">
        <x:v>강한사례</x:v>
      </x:c>
      <x:c r="K106" s="18" t="str"/>
      <x:c r="L106" s="18" t="str">
        <x:v>동물백신에서 인체 유행으로 관심 전이 가능</x:v>
      </x:c>
      <x:c r="M106" s="18" t="str">
        <x:v>S101</x:v>
      </x:c>
      <x:c r="N106" s="18" t="n">
        <x:v>2</x:v>
      </x:c>
      <x:c r="O106" s="18" t="n">
        <x:v>1</x:v>
      </x:c>
      <x:c r="P106" s="18" t="n">
        <x:v>2</x:v>
      </x:c>
      <x:c r="Q106" s="18" t="n">
        <x:v>1</x:v>
      </x:c>
      <x:c r="R106" s="18" t="n">
        <x:f>SUM(N106:P106)</x:f>
        <x:v>5</x:v>
      </x:c>
      <x:c r="S106" s="28" t="str">
        <x:f>IF(AND(N106=2,P106=2,R106&gt;=5),"핵심사례",IF(R106&gt;=3,"보조사례","경계사례"))</x:f>
        <x:v>핵심사례</x:v>
      </x:c>
    </x:row>
    <x:row r="107" ht="45" customHeight="1">
      <x:c r="A107" s="29" t="str">
        <x:v>DISC-2009-08</x:v>
      </x:c>
      <x:c r="B107" s="29" t="str">
        <x:v>EV0004</x:v>
      </x:c>
      <x:c r="C107" s="29" t="str">
        <x:v>2009</x:v>
      </x:c>
      <x:c r="D107" s="29" t="str">
        <x:v>건강·재난</x:v>
      </x:c>
      <x:c r="E107" s="29" t="str">
        <x:v>신종플루 확산</x:v>
      </x:c>
      <x:c r="F107" s="29" t="str">
        <x:v>씨티씨바이오 (060590)</x:v>
      </x:c>
      <x:c r="G107" s="29" t="str">
        <x:v>KOSDAQ</x:v>
      </x:c>
      <x:c r="H107" s="28" t="str">
        <x:v>상승</x:v>
      </x:c>
      <x:c r="I107" s="29" t="str">
        <x:v>확산 뉴스에 상한가</x:v>
      </x:c>
      <x:c r="J107" s="29" t="str">
        <x:v>강한사례</x:v>
      </x:c>
      <x:c r="K107" s="29" t="str"/>
      <x:c r="L107" s="29" t="str">
        <x:v>의약·백신 관련주 묶음</x:v>
      </x:c>
      <x:c r="M107" s="29" t="str">
        <x:v>S100</x:v>
      </x:c>
      <x:c r="N107" s="29" t="n">
        <x:v>2</x:v>
      </x:c>
      <x:c r="O107" s="29" t="n">
        <x:v>1</x:v>
      </x:c>
      <x:c r="P107" s="29" t="n">
        <x:v>2</x:v>
      </x:c>
      <x:c r="Q107" s="29" t="n">
        <x:v>1</x:v>
      </x:c>
      <x:c r="R107" s="29" t="n">
        <x:f>SUM(N107:P107)</x:f>
        <x:v>5</x:v>
      </x:c>
      <x:c r="S107" s="28" t="str">
        <x:f>IF(AND(N107=2,P107=2,R107&gt;=5),"핵심사례",IF(R107&gt;=3,"보조사례","경계사례"))</x:f>
        <x:v>핵심사례</x:v>
      </x:c>
    </x:row>
    <x:row r="108" ht="45" customHeight="1">
      <x:c r="A108" s="18" t="str">
        <x:v>DISC-2009-09</x:v>
      </x:c>
      <x:c r="B108" s="18" t="str">
        <x:v>EV0004</x:v>
      </x:c>
      <x:c r="C108" s="18" t="str">
        <x:v>2009</x:v>
      </x:c>
      <x:c r="D108" s="18" t="str">
        <x:v>건강·재난</x:v>
      </x:c>
      <x:c r="E108" s="18" t="str">
        <x:v>신종플루 확산</x:v>
      </x:c>
      <x:c r="F108" s="18" t="str">
        <x:v>현대바이오랜드(당시 바이오랜드) (052260)</x:v>
      </x:c>
      <x:c r="G108" s="18" t="str">
        <x:v>KOSDAQ</x:v>
      </x:c>
      <x:c r="H108" s="28" t="str">
        <x:v>상승</x:v>
      </x:c>
      <x:c r="I108" s="18" t="str">
        <x:v>확산 뉴스에 상한가</x:v>
      </x:c>
      <x:c r="J108" s="18" t="str">
        <x:v>강한사례</x:v>
      </x:c>
      <x:c r="K108" s="18" t="str"/>
      <x:c r="L108" s="18" t="str">
        <x:v>당시 관련주 분류</x:v>
      </x:c>
      <x:c r="M108" s="18" t="str">
        <x:v>S100</x:v>
      </x:c>
      <x:c r="N108" s="18" t="n">
        <x:v>2</x:v>
      </x:c>
      <x:c r="O108" s="18" t="n">
        <x:v>1</x:v>
      </x:c>
      <x:c r="P108" s="18" t="n">
        <x:v>2</x:v>
      </x:c>
      <x:c r="Q108" s="18" t="n">
        <x:v>1</x:v>
      </x:c>
      <x:c r="R108" s="18" t="n">
        <x:f>SUM(N108:P108)</x:f>
        <x:v>5</x:v>
      </x:c>
      <x:c r="S108" s="28" t="str">
        <x:f>IF(AND(N108=2,P108=2,R108&gt;=5),"핵심사례",IF(R108&gt;=3,"보조사례","경계사례"))</x:f>
        <x:v>핵심사례</x:v>
      </x:c>
    </x:row>
    <x:row r="109" ht="45" customHeight="1">
      <x:c r="A109" s="29" t="str">
        <x:v>DISC-2009-10</x:v>
      </x:c>
      <x:c r="B109" s="29" t="str">
        <x:v>EV0004</x:v>
      </x:c>
      <x:c r="C109" s="29" t="str">
        <x:v>2009</x:v>
      </x:c>
      <x:c r="D109" s="29" t="str">
        <x:v>건강·재난</x:v>
      </x:c>
      <x:c r="E109" s="29" t="str">
        <x:v>신종플루 확산</x:v>
      </x:c>
      <x:c r="F109" s="29" t="str">
        <x:v>에스텍파마 (041910)</x:v>
      </x:c>
      <x:c r="G109" s="29" t="str">
        <x:v>KOSDAQ</x:v>
      </x:c>
      <x:c r="H109" s="28" t="str">
        <x:v>상승</x:v>
      </x:c>
      <x:c r="I109" s="29" t="str">
        <x:v>확산 뉴스에 상한가</x:v>
      </x:c>
      <x:c r="J109" s="29" t="str">
        <x:v>강한사례</x:v>
      </x:c>
      <x:c r="K109" s="29" t="str"/>
      <x:c r="L109" s="29" t="str">
        <x:v>의약 테마</x:v>
      </x:c>
      <x:c r="M109" s="29" t="str">
        <x:v>S100</x:v>
      </x:c>
      <x:c r="N109" s="29" t="n">
        <x:v>2</x:v>
      </x:c>
      <x:c r="O109" s="29" t="n">
        <x:v>1</x:v>
      </x:c>
      <x:c r="P109" s="29" t="n">
        <x:v>2</x:v>
      </x:c>
      <x:c r="Q109" s="29" t="n">
        <x:v>1</x:v>
      </x:c>
      <x:c r="R109" s="29" t="n">
        <x:f>SUM(N109:P109)</x:f>
        <x:v>5</x:v>
      </x:c>
      <x:c r="S109" s="28" t="str">
        <x:f>IF(AND(N109=2,P109=2,R109&gt;=5),"핵심사례",IF(R109&gt;=3,"보조사례","경계사례"))</x:f>
        <x:v>핵심사례</x:v>
      </x:c>
    </x:row>
    <x:row r="110" ht="45" customHeight="1">
      <x:c r="A110" s="18" t="str">
        <x:v>DISC-2009-11</x:v>
      </x:c>
      <x:c r="B110" s="18" t="str">
        <x:v>EV0004</x:v>
      </x:c>
      <x:c r="C110" s="18" t="str">
        <x:v>2009</x:v>
      </x:c>
      <x:c r="D110" s="18" t="str">
        <x:v>건강·재난</x:v>
      </x:c>
      <x:c r="E110" s="18" t="str">
        <x:v>신종플루 확산</x:v>
      </x:c>
      <x:c r="F110" s="18" t="str">
        <x:v>에스디(당시 상장사) (066930)</x:v>
      </x:c>
      <x:c r="G110" s="18" t="str">
        <x:v>KOSDAQ</x:v>
      </x:c>
      <x:c r="H110" s="28" t="str">
        <x:v>상승</x:v>
      </x:c>
      <x:c r="I110" s="18" t="str">
        <x:v>확산 뉴스에 상한가</x:v>
      </x:c>
      <x:c r="J110" s="18" t="str">
        <x:v>강한사례</x:v>
      </x:c>
      <x:c r="K110" s="18" t="str"/>
      <x:c r="L110" s="18" t="str">
        <x:v>진단 관련 역사 사례</x:v>
      </x:c>
      <x:c r="M110" s="18" t="str">
        <x:v>S100</x:v>
      </x:c>
      <x:c r="N110" s="18" t="n">
        <x:v>2</x:v>
      </x:c>
      <x:c r="O110" s="18" t="n">
        <x:v>2</x:v>
      </x:c>
      <x:c r="P110" s="18" t="n">
        <x:v>2</x:v>
      </x:c>
      <x:c r="Q110" s="18" t="n">
        <x:v>1</x:v>
      </x:c>
      <x:c r="R110" s="18" t="n">
        <x:f>SUM(N110:P110)</x:f>
        <x:v>6</x:v>
      </x:c>
      <x:c r="S110" s="28" t="str">
        <x:f>IF(AND(N110=2,P110=2,R110&gt;=5),"핵심사례",IF(R110&gt;=3,"보조사례","경계사례"))</x:f>
        <x:v>핵심사례</x:v>
      </x:c>
    </x:row>
    <x:row r="111" ht="45" customHeight="1">
      <x:c r="A111" s="29" t="str">
        <x:v>DISC-2010-01</x:v>
      </x:c>
      <x:c r="B111" s="29" t="str">
        <x:v>EV0007</x:v>
      </x:c>
      <x:c r="C111" s="29" t="str">
        <x:v>2010</x:v>
      </x:c>
      <x:c r="D111" s="29" t="str">
        <x:v>식품·소비</x:v>
      </x:c>
      <x:c r="E111" s="29" t="str">
        <x:v>막걸리 웰빙·복고 열풍</x:v>
      </x:c>
      <x:c r="F111" s="29" t="str">
        <x:v>국순당 (043650)</x:v>
      </x:c>
      <x:c r="G111" s="29" t="str">
        <x:v>KOSDAQ</x:v>
      </x:c>
      <x:c r="H111" s="28" t="str">
        <x:v>상승</x:v>
      </x:c>
      <x:c r="I111" s="29" t="str">
        <x:v>연일 신고가 행진</x:v>
      </x:c>
      <x:c r="J111" s="29" t="str">
        <x:v>강한사례</x:v>
      </x:c>
      <x:c r="K111" s="29" t="str"/>
      <x:c r="L111" s="29" t="str">
        <x:v>유행과 매출 성장·실적이 함께 작동</x:v>
      </x:c>
      <x:c r="M111" s="29" t="str">
        <x:v>S102</x:v>
      </x:c>
      <x:c r="N111" s="29" t="n">
        <x:v>2</x:v>
      </x:c>
      <x:c r="O111" s="29" t="n">
        <x:v>2</x:v>
      </x:c>
      <x:c r="P111" s="29" t="n">
        <x:v>1</x:v>
      </x:c>
      <x:c r="Q111" s="29" t="n">
        <x:v>2</x:v>
      </x:c>
      <x:c r="R111" s="29" t="n">
        <x:f>SUM(N111:P111)</x:f>
        <x:v>5</x:v>
      </x:c>
      <x:c r="S111" s="30" t="str">
        <x:f>IF(AND(N111=2,P111=2,R111&gt;=5),"핵심사례",IF(R111&gt;=3,"보조사례","경계사례"))</x:f>
        <x:v>보조사례</x:v>
      </x:c>
    </x:row>
    <x:row r="112" ht="45" customHeight="1">
      <x:c r="A112" s="18" t="str">
        <x:v>DISC-2010-02</x:v>
      </x:c>
      <x:c r="B112" s="18" t="str">
        <x:v>EV0006</x:v>
      </x:c>
      <x:c r="C112" s="18" t="str">
        <x:v>2010</x:v>
      </x:c>
      <x:c r="D112" s="18" t="str">
        <x:v>스포츠·행사</x:v>
      </x:c>
      <x:c r="E112" s="18" t="str">
        <x:v>남아공월드컵 치킨 수요 기대</x:v>
      </x:c>
      <x:c r="F112" s="18" t="str">
        <x:v>하림 (136480)</x:v>
      </x:c>
      <x:c r="G112" s="18" t="str">
        <x:v>KOSDAQ</x:v>
      </x:c>
      <x:c r="H112" s="28" t="str">
        <x:v>상승→소멸</x:v>
      </x:c>
      <x:c r="I112" s="18" t="str">
        <x:v>급락장 중 약 8% 상승 후 16강 진출일 하락</x:v>
      </x:c>
      <x:c r="J112" s="18" t="str">
        <x:v>강한사례</x:v>
      </x:c>
      <x:c r="K112" s="18" t="str"/>
      <x:c r="L112" s="18" t="str">
        <x:v>경기 결과에 따라 테마 소멸</x:v>
      </x:c>
      <x:c r="M112" s="18" t="str">
        <x:v>S103</x:v>
      </x:c>
      <x:c r="N112" s="18" t="n">
        <x:v>2</x:v>
      </x:c>
      <x:c r="O112" s="18" t="n">
        <x:v>2</x:v>
      </x:c>
      <x:c r="P112" s="18" t="n">
        <x:v>2</x:v>
      </x:c>
      <x:c r="Q112" s="18" t="n">
        <x:v>1</x:v>
      </x:c>
      <x:c r="R112" s="18" t="n">
        <x:f>SUM(N112:P112)</x:f>
        <x:v>6</x:v>
      </x:c>
      <x:c r="S112" s="28" t="str">
        <x:f>IF(AND(N112=2,P112=2,R112&gt;=5),"핵심사례",IF(R112&gt;=3,"보조사례","경계사례"))</x:f>
        <x:v>핵심사례</x:v>
      </x:c>
    </x:row>
    <x:row r="113" ht="45" customHeight="1">
      <x:c r="A113" s="29" t="str">
        <x:v>DISC-2010-03</x:v>
      </x:c>
      <x:c r="B113" s="29" t="str">
        <x:v>EV0006</x:v>
      </x:c>
      <x:c r="C113" s="29" t="str">
        <x:v>2010</x:v>
      </x:c>
      <x:c r="D113" s="29" t="str">
        <x:v>스포츠·행사</x:v>
      </x:c>
      <x:c r="E113" s="29" t="str">
        <x:v>남아공월드컵 치킨 수요 기대</x:v>
      </x:c>
      <x:c r="F113" s="29" t="str">
        <x:v>동우(당시 상장사) (088910)</x:v>
      </x:c>
      <x:c r="G113" s="29" t="str">
        <x:v>KOSDAQ</x:v>
      </x:c>
      <x:c r="H113" s="28" t="str">
        <x:v>상승→소멸</x:v>
      </x:c>
      <x:c r="I113" s="29" t="str">
        <x:v>급락장 중 약 4% 상승 후 테마 소멸</x:v>
      </x:c>
      <x:c r="J113" s="29" t="str">
        <x:v>강한사례</x:v>
      </x:c>
      <x:c r="K113" s="29" t="str"/>
      <x:c r="L113" s="29" t="str">
        <x:v>역사 상장사</x:v>
      </x:c>
      <x:c r="M113" s="29" t="str">
        <x:v>S103</x:v>
      </x:c>
      <x:c r="N113" s="29" t="n">
        <x:v>2</x:v>
      </x:c>
      <x:c r="O113" s="29" t="n">
        <x:v>2</x:v>
      </x:c>
      <x:c r="P113" s="29" t="n">
        <x:v>2</x:v>
      </x:c>
      <x:c r="Q113" s="29" t="n">
        <x:v>1</x:v>
      </x:c>
      <x:c r="R113" s="29" t="n">
        <x:f>SUM(N113:P113)</x:f>
        <x:v>6</x:v>
      </x:c>
      <x:c r="S113" s="28" t="str">
        <x:f>IF(AND(N113=2,P113=2,R113&gt;=5),"핵심사례",IF(R113&gt;=3,"보조사례","경계사례"))</x:f>
        <x:v>핵심사례</x:v>
      </x:c>
    </x:row>
    <x:row r="114" ht="45" customHeight="1">
      <x:c r="A114" s="18" t="str">
        <x:v>DISC-2013-01</x:v>
      </x:c>
      <x:c r="B114" s="18" t="str">
        <x:v>EV0013</x:v>
      </x:c>
      <x:c r="C114" s="18" t="str">
        <x:v>2013</x:v>
      </x:c>
      <x:c r="D114" s="18" t="str">
        <x:v>소비자행동·논란</x:v>
      </x:c>
      <x:c r="E114" s="18" t="str">
        <x:v>남양유업 갑질 녹취·불매운동</x:v>
      </x:c>
      <x:c r="F114" s="18" t="str">
        <x:v>남양유업 (003920)</x:v>
      </x:c>
      <x:c r="G114" s="18" t="str">
        <x:v>KOSPI</x:v>
      </x:c>
      <x:c r="H114" s="31" t="str">
        <x:v>하락</x:v>
      </x:c>
      <x:c r="I114" s="18" t="str">
        <x:v>논란 후 1주일 15% 하락</x:v>
      </x:c>
      <x:c r="J114" s="18" t="str">
        <x:v>강한사례</x:v>
      </x:c>
      <x:c r="K114" s="18" t="str"/>
      <x:c r="L114" s="18" t="str">
        <x:v>온라인 분노→불매→장기 브랜드 훼손</x:v>
      </x:c>
      <x:c r="M114" s="18" t="str">
        <x:v>S104</x:v>
      </x:c>
      <x:c r="N114" s="18" t="n">
        <x:v>2</x:v>
      </x:c>
      <x:c r="O114" s="18" t="n">
        <x:v>2</x:v>
      </x:c>
      <x:c r="P114" s="18" t="n">
        <x:v>2</x:v>
      </x:c>
      <x:c r="Q114" s="18" t="n">
        <x:v>1</x:v>
      </x:c>
      <x:c r="R114" s="18" t="n">
        <x:f>SUM(N114:P114)</x:f>
        <x:v>6</x:v>
      </x:c>
      <x:c r="S114" s="28" t="str">
        <x:f>IF(AND(N114=2,P114=2,R114&gt;=5),"핵심사례",IF(R114&gt;=3,"보조사례","경계사례"))</x:f>
        <x:v>핵심사례</x:v>
      </x:c>
    </x:row>
    <x:row r="115" ht="45" customHeight="1">
      <x:c r="A115" s="29" t="str">
        <x:v>DISC-2015-01</x:v>
      </x:c>
      <x:c r="B115" s="29" t="str">
        <x:v>EV0017</x:v>
      </x:c>
      <x:c r="C115" s="29" t="str">
        <x:v>2015</x:v>
      </x:c>
      <x:c r="D115" s="29" t="str">
        <x:v>소비자행동·논란</x:v>
      </x:c>
      <x:c r="E115" s="29" t="str">
        <x:v>가짜 백수오 파동</x:v>
      </x:c>
      <x:c r="F115" s="29" t="str">
        <x:v>내츄럴엔도텍 (168330)</x:v>
      </x:c>
      <x:c r="G115" s="29" t="str">
        <x:v>KOSDAQ</x:v>
      </x:c>
      <x:c r="H115" s="31" t="str">
        <x:v>하락</x:v>
      </x:c>
      <x:c r="I115" s="29" t="str">
        <x:v>발표 후 연속 급락</x:v>
      </x:c>
      <x:c r="J115" s="29" t="str">
        <x:v>강한사례</x:v>
      </x:c>
      <x:c r="K115" s="29" t="str"/>
      <x:c r="L115" s="29" t="str">
        <x:v>신뢰 붕괴형 역유행</x:v>
      </x:c>
      <x:c r="M115" s="29" t="str">
        <x:v>S105</x:v>
      </x:c>
      <x:c r="N115" s="29" t="n">
        <x:v>2</x:v>
      </x:c>
      <x:c r="O115" s="29" t="n">
        <x:v>2</x:v>
      </x:c>
      <x:c r="P115" s="29" t="n">
        <x:v>1</x:v>
      </x:c>
      <x:c r="Q115" s="29" t="n">
        <x:v>1</x:v>
      </x:c>
      <x:c r="R115" s="29" t="n">
        <x:f>SUM(N115:P115)</x:f>
        <x:v>5</x:v>
      </x:c>
      <x:c r="S115" s="30" t="str">
        <x:f>IF(AND(N115=2,P115=2,R115&gt;=5),"핵심사례",IF(R115&gt;=3,"보조사례","경계사례"))</x:f>
        <x:v>보조사례</x:v>
      </x:c>
    </x:row>
    <x:row r="116" ht="45" customHeight="1">
      <x:c r="A116" s="18" t="str">
        <x:v>DISC-2019-01</x:v>
      </x:c>
      <x:c r="B116" s="18" t="str">
        <x:v>EV0026</x:v>
      </x:c>
      <x:c r="C116" s="18" t="str">
        <x:v>2019</x:v>
      </x:c>
      <x:c r="D116" s="18" t="str">
        <x:v>생활·환경</x:v>
      </x:c>
      <x:c r="E116" s="18" t="str">
        <x:v>미세먼지·공기청정기 수요</x:v>
      </x:c>
      <x:c r="F116" s="18" t="str">
        <x:v>위닉스 (044340)</x:v>
      </x:c>
      <x:c r="G116" s="18" t="str">
        <x:v>KOSDAQ</x:v>
      </x:c>
      <x:c r="H116" s="28" t="str">
        <x:v>상승</x:v>
      </x:c>
      <x:c r="I116" s="18" t="str">
        <x:v>연초 이후 88.3% 상승</x:v>
      </x:c>
      <x:c r="J116" s="18" t="str">
        <x:v>강한사례</x:v>
      </x:c>
      <x:c r="K116" s="18" t="str"/>
      <x:c r="L116" s="18" t="str">
        <x:v>생활불편과 실제 제품수요 동반</x:v>
      </x:c>
      <x:c r="M116" s="18" t="str">
        <x:v>S106</x:v>
      </x:c>
      <x:c r="N116" s="18" t="n">
        <x:v>2</x:v>
      </x:c>
      <x:c r="O116" s="18" t="n">
        <x:v>2</x:v>
      </x:c>
      <x:c r="P116" s="18" t="n">
        <x:v>2</x:v>
      </x:c>
      <x:c r="Q116" s="18" t="n">
        <x:v>2</x:v>
      </x:c>
      <x:c r="R116" s="18" t="n">
        <x:f>SUM(N116:P116)</x:f>
        <x:v>6</x:v>
      </x:c>
      <x:c r="S116" s="28" t="str">
        <x:f>IF(AND(N116=2,P116=2,R116&gt;=5),"핵심사례",IF(R116&gt;=3,"보조사례","경계사례"))</x:f>
        <x:v>핵심사례</x:v>
      </x:c>
    </x:row>
    <x:row r="117" ht="45" customHeight="1">
      <x:c r="A117" s="29" t="str">
        <x:v>DISC-2019-02</x:v>
      </x:c>
      <x:c r="B117" s="29" t="str">
        <x:v>EV0027</x:v>
      </x:c>
      <x:c r="C117" s="29" t="str">
        <x:v>2019</x:v>
      </x:c>
      <x:c r="D117" s="29" t="str">
        <x:v>생활·환경</x:v>
      </x:c>
      <x:c r="E117" s="29" t="str">
        <x:v>미세먼지·마스크 수요</x:v>
      </x:c>
      <x:c r="F117" s="29" t="str">
        <x:v>웰크론 (065950)</x:v>
      </x:c>
      <x:c r="G117" s="29" t="str">
        <x:v>KOSDAQ</x:v>
      </x:c>
      <x:c r="H117" s="28" t="str">
        <x:v>상승</x:v>
      </x:c>
      <x:c r="I117" s="29" t="str">
        <x:v>연초 이후 57.3% 상승</x:v>
      </x:c>
      <x:c r="J117" s="29" t="str">
        <x:v>강한사례</x:v>
      </x:c>
      <x:c r="K117" s="29" t="str"/>
      <x:c r="L117" s="29" t="str">
        <x:v>마스크 직접 연결</x:v>
      </x:c>
      <x:c r="M117" s="29" t="str">
        <x:v>S106</x:v>
      </x:c>
      <x:c r="N117" s="29" t="n">
        <x:v>2</x:v>
      </x:c>
      <x:c r="O117" s="29" t="n">
        <x:v>2</x:v>
      </x:c>
      <x:c r="P117" s="29" t="n">
        <x:v>2</x:v>
      </x:c>
      <x:c r="Q117" s="29" t="n">
        <x:v>1</x:v>
      </x:c>
      <x:c r="R117" s="29" t="n">
        <x:f>SUM(N117:P117)</x:f>
        <x:v>6</x:v>
      </x:c>
      <x:c r="S117" s="28" t="str">
        <x:f>IF(AND(N117=2,P117=2,R117&gt;=5),"핵심사례",IF(R117&gt;=3,"보조사례","경계사례"))</x:f>
        <x:v>핵심사례</x:v>
      </x:c>
    </x:row>
    <x:row r="118" ht="45" customHeight="1">
      <x:c r="A118" s="18" t="str">
        <x:v>DISC-2019-03</x:v>
      </x:c>
      <x:c r="B118" s="18" t="str">
        <x:v>EV0026</x:v>
      </x:c>
      <x:c r="C118" s="18" t="str">
        <x:v>2019</x:v>
      </x:c>
      <x:c r="D118" s="18" t="str">
        <x:v>생활·환경</x:v>
      </x:c>
      <x:c r="E118" s="18" t="str">
        <x:v>미세먼지·공기청정기 수요</x:v>
      </x:c>
      <x:c r="F118" s="18" t="str">
        <x:v>신일전자(당시 신일산업) (002700)</x:v>
      </x:c>
      <x:c r="G118" s="18" t="str">
        <x:v>KOSPI</x:v>
      </x:c>
      <x:c r="H118" s="28" t="str">
        <x:v>상승</x:v>
      </x:c>
      <x:c r="I118" s="18" t="str">
        <x:v>연초 이후 46% 상승</x:v>
      </x:c>
      <x:c r="J118" s="18" t="str">
        <x:v>강한사례</x:v>
      </x:c>
      <x:c r="K118" s="18" t="str"/>
      <x:c r="L118" s="18" t="str">
        <x:v>건강가전 수요</x:v>
      </x:c>
      <x:c r="M118" s="18" t="str">
        <x:v>S106</x:v>
      </x:c>
      <x:c r="N118" s="18" t="n">
        <x:v>2</x:v>
      </x:c>
      <x:c r="O118" s="18" t="n">
        <x:v>2</x:v>
      </x:c>
      <x:c r="P118" s="18" t="n">
        <x:v>2</x:v>
      </x:c>
      <x:c r="Q118" s="18" t="n">
        <x:v>2</x:v>
      </x:c>
      <x:c r="R118" s="18" t="n">
        <x:f>SUM(N118:P118)</x:f>
        <x:v>6</x:v>
      </x:c>
      <x:c r="S118" s="28" t="str">
        <x:f>IF(AND(N118=2,P118=2,R118&gt;=5),"핵심사례",IF(R118&gt;=3,"보조사례","경계사례"))</x:f>
        <x:v>핵심사례</x:v>
      </x:c>
    </x:row>
    <x:row r="119" ht="45" customHeight="1">
      <x:c r="A119" s="29" t="str">
        <x:v>DISC-2019-04</x:v>
      </x:c>
      <x:c r="B119" s="29" t="str">
        <x:v>EV0026</x:v>
      </x:c>
      <x:c r="C119" s="29" t="str">
        <x:v>2019</x:v>
      </x:c>
      <x:c r="D119" s="29" t="str">
        <x:v>생활·환경</x:v>
      </x:c>
      <x:c r="E119" s="29" t="str">
        <x:v>미세먼지·공기청정기 수요</x:v>
      </x:c>
      <x:c r="F119" s="29" t="str">
        <x:v>대유위니아 (071460)</x:v>
      </x:c>
      <x:c r="G119" s="29" t="str">
        <x:v>KOSDAQ</x:v>
      </x:c>
      <x:c r="H119" s="28" t="str">
        <x:v>상승</x:v>
      </x:c>
      <x:c r="I119" s="29" t="str">
        <x:v>연초 이후 38.7% 상승</x:v>
      </x:c>
      <x:c r="J119" s="29" t="str">
        <x:v>강한사례</x:v>
      </x:c>
      <x:c r="K119" s="29" t="str"/>
      <x:c r="L119" s="29" t="str">
        <x:v>역사 상장 상태 후속확인</x:v>
      </x:c>
      <x:c r="M119" s="29" t="str">
        <x:v>S106</x:v>
      </x:c>
      <x:c r="N119" s="29" t="n">
        <x:v>2</x:v>
      </x:c>
      <x:c r="O119" s="29" t="n">
        <x:v>2</x:v>
      </x:c>
      <x:c r="P119" s="29" t="n">
        <x:v>2</x:v>
      </x:c>
      <x:c r="Q119" s="29" t="n">
        <x:v>2</x:v>
      </x:c>
      <x:c r="R119" s="29" t="n">
        <x:f>SUM(N119:P119)</x:f>
        <x:v>6</x:v>
      </x:c>
      <x:c r="S119" s="28" t="str">
        <x:f>IF(AND(N119=2,P119=2,R119&gt;=5),"핵심사례",IF(R119&gt;=3,"보조사례","경계사례"))</x:f>
        <x:v>핵심사례</x:v>
      </x:c>
    </x:row>
    <x:row r="120" ht="45" customHeight="1">
      <x:c r="A120" s="18" t="str">
        <x:v>DISC-2019-05</x:v>
      </x:c>
      <x:c r="B120" s="18" t="str">
        <x:v>EV0027</x:v>
      </x:c>
      <x:c r="C120" s="18" t="str">
        <x:v>2019</x:v>
      </x:c>
      <x:c r="D120" s="18" t="str">
        <x:v>생활·환경</x:v>
      </x:c>
      <x:c r="E120" s="18" t="str">
        <x:v>미세먼지·마스크 수요</x:v>
      </x:c>
      <x:c r="F120" s="18" t="str">
        <x:v>KC그린홀딩스 (009440)</x:v>
      </x:c>
      <x:c r="G120" s="18" t="str">
        <x:v>KOSPI</x:v>
      </x:c>
      <x:c r="H120" s="28" t="str">
        <x:v>상승</x:v>
      </x:c>
      <x:c r="I120" s="18" t="str">
        <x:v>연초 이후 34.8% 상승</x:v>
      </x:c>
      <x:c r="J120" s="18" t="str">
        <x:v>강한사례</x:v>
      </x:c>
      <x:c r="K120" s="18" t="str"/>
      <x:c r="L120" s="18" t="str">
        <x:v>테마 연결 강도 비교용</x:v>
      </x:c>
      <x:c r="M120" s="18" t="str">
        <x:v>S106</x:v>
      </x:c>
      <x:c r="N120" s="18" t="n">
        <x:v>2</x:v>
      </x:c>
      <x:c r="O120" s="18" t="n">
        <x:v>1</x:v>
      </x:c>
      <x:c r="P120" s="18" t="n">
        <x:v>2</x:v>
      </x:c>
      <x:c r="Q120" s="18" t="n">
        <x:v>1</x:v>
      </x:c>
      <x:c r="R120" s="18" t="n">
        <x:f>SUM(N120:P120)</x:f>
        <x:v>5</x:v>
      </x:c>
      <x:c r="S120" s="28" t="str">
        <x:f>IF(AND(N120=2,P120=2,R120&gt;=5),"핵심사례",IF(R120&gt;=3,"보조사례","경계사례"))</x:f>
        <x:v>핵심사례</x:v>
      </x:c>
    </x:row>
    <x:row r="121" ht="45" customHeight="1">
      <x:c r="A121" s="29" t="str">
        <x:v>DISC-2019-06</x:v>
      </x:c>
      <x:c r="B121" s="29" t="str">
        <x:v>EV0027</x:v>
      </x:c>
      <x:c r="C121" s="29" t="str">
        <x:v>2019</x:v>
      </x:c>
      <x:c r="D121" s="29" t="str">
        <x:v>생활·환경</x:v>
      </x:c>
      <x:c r="E121" s="29" t="str">
        <x:v>미세먼지·마스크 수요</x:v>
      </x:c>
      <x:c r="F121" s="29" t="str">
        <x:v>케이엠 (083550)</x:v>
      </x:c>
      <x:c r="G121" s="29" t="str">
        <x:v>KOSDAQ</x:v>
      </x:c>
      <x:c r="H121" s="28" t="str">
        <x:v>상승</x:v>
      </x:c>
      <x:c r="I121" s="29" t="str">
        <x:v>연초 이후 30% 상승</x:v>
      </x:c>
      <x:c r="J121" s="29" t="str">
        <x:v>강한사례</x:v>
      </x:c>
      <x:c r="K121" s="29" t="str"/>
      <x:c r="L121" s="29" t="str">
        <x:v>마스크 제품 연결</x:v>
      </x:c>
      <x:c r="M121" s="29" t="str">
        <x:v>S106</x:v>
      </x:c>
      <x:c r="N121" s="29" t="n">
        <x:v>2</x:v>
      </x:c>
      <x:c r="O121" s="29" t="n">
        <x:v>2</x:v>
      </x:c>
      <x:c r="P121" s="29" t="n">
        <x:v>2</x:v>
      </x:c>
      <x:c r="Q121" s="29" t="n">
        <x:v>1</x:v>
      </x:c>
      <x:c r="R121" s="29" t="n">
        <x:f>SUM(N121:P121)</x:f>
        <x:v>6</x:v>
      </x:c>
      <x:c r="S121" s="28" t="str">
        <x:f>IF(AND(N121=2,P121=2,R121&gt;=5),"핵심사례",IF(R121&gt;=3,"보조사례","경계사례"))</x:f>
        <x:v>핵심사례</x:v>
      </x:c>
    </x:row>
    <x:row r="122" ht="45" customHeight="1">
      <x:c r="A122" s="18" t="str">
        <x:v>DISC-2019-07</x:v>
      </x:c>
      <x:c r="B122" s="18" t="str">
        <x:v>EV0027</x:v>
      </x:c>
      <x:c r="C122" s="18" t="str">
        <x:v>2019</x:v>
      </x:c>
      <x:c r="D122" s="18" t="str">
        <x:v>생활·환경</x:v>
      </x:c>
      <x:c r="E122" s="18" t="str">
        <x:v>미세먼지·마스크 수요</x:v>
      </x:c>
      <x:c r="F122" s="18" t="str">
        <x:v>모나리자 (012690)</x:v>
      </x:c>
      <x:c r="G122" s="18" t="str">
        <x:v>KOSPI</x:v>
      </x:c>
      <x:c r="H122" s="28" t="str">
        <x:v>상승</x:v>
      </x:c>
      <x:c r="I122" s="18" t="str">
        <x:v>연초 이후 27.4% 상승</x:v>
      </x:c>
      <x:c r="J122" s="18" t="str">
        <x:v>강한사례</x:v>
      </x:c>
      <x:c r="K122" s="18" t="str"/>
      <x:c r="L122" s="18" t="str">
        <x:v>생활용품에서 마스크 테마로 확장</x:v>
      </x:c>
      <x:c r="M122" s="18" t="str">
        <x:v>S106</x:v>
      </x:c>
      <x:c r="N122" s="18" t="n">
        <x:v>2</x:v>
      </x:c>
      <x:c r="O122" s="18" t="n">
        <x:v>1</x:v>
      </x:c>
      <x:c r="P122" s="18" t="n">
        <x:v>2</x:v>
      </x:c>
      <x:c r="Q122" s="18" t="n">
        <x:v>1</x:v>
      </x:c>
      <x:c r="R122" s="18" t="n">
        <x:f>SUM(N122:P122)</x:f>
        <x:v>5</x:v>
      </x:c>
      <x:c r="S122" s="28" t="str">
        <x:f>IF(AND(N122=2,P122=2,R122&gt;=5),"핵심사례",IF(R122&gt;=3,"보조사례","경계사례"))</x:f>
        <x:v>핵심사례</x:v>
      </x:c>
    </x:row>
    <x:row r="123" ht="45" customHeight="1">
      <x:c r="A123" s="29" t="str">
        <x:v>DISC-2019-08</x:v>
      </x:c>
      <x:c r="B123" s="29" t="str">
        <x:v>EV0030</x:v>
      </x:c>
      <x:c r="C123" s="29" t="str">
        <x:v>2019</x:v>
      </x:c>
      <x:c r="D123" s="29" t="str">
        <x:v>소비자행동·불매</x:v>
      </x:c>
      <x:c r="E123" s="29" t="str">
        <x:v>일본제품 불매운동</x:v>
      </x:c>
      <x:c r="F123" s="29" t="str">
        <x:v>모나미 (005360)</x:v>
      </x:c>
      <x:c r="G123" s="29" t="str">
        <x:v>KOSPI</x:v>
      </x:c>
      <x:c r="H123" s="28" t="str">
        <x:v>상승</x:v>
      </x:c>
      <x:c r="I123" s="29" t="str">
        <x:v>6월 말 대비 147% 상승</x:v>
      </x:c>
      <x:c r="J123" s="29" t="str">
        <x:v>강한사례</x:v>
      </x:c>
      <x:c r="K123" s="29" t="str"/>
      <x:c r="L123" s="29" t="str">
        <x:v>일본 필기구 대체 기대</x:v>
      </x:c>
      <x:c r="M123" s="29" t="str">
        <x:v>S107</x:v>
      </x:c>
      <x:c r="N123" s="29" t="n">
        <x:v>2</x:v>
      </x:c>
      <x:c r="O123" s="29" t="n">
        <x:v>2</x:v>
      </x:c>
      <x:c r="P123" s="29" t="n">
        <x:v>2</x:v>
      </x:c>
      <x:c r="Q123" s="29" t="n">
        <x:v>1</x:v>
      </x:c>
      <x:c r="R123" s="29" t="n">
        <x:f>SUM(N123:P123)</x:f>
        <x:v>6</x:v>
      </x:c>
      <x:c r="S123" s="28" t="str">
        <x:f>IF(AND(N123=2,P123=2,R123&gt;=5),"핵심사례",IF(R123&gt;=3,"보조사례","경계사례"))</x:f>
        <x:v>핵심사례</x:v>
      </x:c>
    </x:row>
    <x:row r="124" ht="45" customHeight="1">
      <x:c r="A124" s="18" t="str">
        <x:v>DISC-2019-09</x:v>
      </x:c>
      <x:c r="B124" s="18" t="str">
        <x:v>EV0030</x:v>
      </x:c>
      <x:c r="C124" s="18" t="str">
        <x:v>2019</x:v>
      </x:c>
      <x:c r="D124" s="18" t="str">
        <x:v>소비자행동·불매</x:v>
      </x:c>
      <x:c r="E124" s="18" t="str">
        <x:v>일본제품 불매운동</x:v>
      </x:c>
      <x:c r="F124" s="18" t="str">
        <x:v>신성통상 (005390)</x:v>
      </x:c>
      <x:c r="G124" s="18" t="str">
        <x:v>KOSPI</x:v>
      </x:c>
      <x:c r="H124" s="28" t="str">
        <x:v>상승</x:v>
      </x:c>
      <x:c r="I124" s="18" t="str">
        <x:v>6월 말 대비 82% 상승</x:v>
      </x:c>
      <x:c r="J124" s="18" t="str">
        <x:v>강한사례</x:v>
      </x:c>
      <x:c r="K124" s="18" t="str"/>
      <x:c r="L124" s="18" t="str">
        <x:v>유니클로 대체 브랜드 기대</x:v>
      </x:c>
      <x:c r="M124" s="18" t="str">
        <x:v>S107</x:v>
      </x:c>
      <x:c r="N124" s="18" t="n">
        <x:v>2</x:v>
      </x:c>
      <x:c r="O124" s="18" t="n">
        <x:v>2</x:v>
      </x:c>
      <x:c r="P124" s="18" t="n">
        <x:v>2</x:v>
      </x:c>
      <x:c r="Q124" s="18" t="n">
        <x:v>1</x:v>
      </x:c>
      <x:c r="R124" s="18" t="n">
        <x:f>SUM(N124:P124)</x:f>
        <x:v>6</x:v>
      </x:c>
      <x:c r="S124" s="28" t="str">
        <x:f>IF(AND(N124=2,P124=2,R124&gt;=5),"핵심사례",IF(R124&gt;=3,"보조사례","경계사례"))</x:f>
        <x:v>핵심사례</x:v>
      </x:c>
    </x:row>
    <x:row r="125" ht="45" customHeight="1">
      <x:c r="A125" s="29" t="str">
        <x:v>DISC-2019-10</x:v>
      </x:c>
      <x:c r="B125" s="29" t="str">
        <x:v>EV0030</x:v>
      </x:c>
      <x:c r="C125" s="29" t="str">
        <x:v>2019</x:v>
      </x:c>
      <x:c r="D125" s="29" t="str">
        <x:v>소비자행동·불매</x:v>
      </x:c>
      <x:c r="E125" s="29" t="str">
        <x:v>일본제품 불매운동</x:v>
      </x:c>
      <x:c r="F125" s="29" t="str">
        <x:v>쌍방울 (102280)</x:v>
      </x:c>
      <x:c r="G125" s="29" t="str">
        <x:v>KOSPI</x:v>
      </x:c>
      <x:c r="H125" s="28" t="str">
        <x:v>상승</x:v>
      </x:c>
      <x:c r="I125" s="29" t="str">
        <x:v>같은 기간 6% 상승</x:v>
      </x:c>
      <x:c r="J125" s="29" t="str">
        <x:v>강한사례</x:v>
      </x:c>
      <x:c r="K125" s="29" t="str"/>
      <x:c r="L125" s="29" t="str">
        <x:v>대체 소비 연결의 약한 비교군</x:v>
      </x:c>
      <x:c r="M125" s="29" t="str">
        <x:v>S107</x:v>
      </x:c>
      <x:c r="N125" s="29" t="n">
        <x:v>2</x:v>
      </x:c>
      <x:c r="O125" s="29" t="n">
        <x:v>1</x:v>
      </x:c>
      <x:c r="P125" s="29" t="n">
        <x:v>2</x:v>
      </x:c>
      <x:c r="Q125" s="29" t="n">
        <x:v>1</x:v>
      </x:c>
      <x:c r="R125" s="29" t="n">
        <x:f>SUM(N125:P125)</x:f>
        <x:v>5</x:v>
      </x:c>
      <x:c r="S125" s="28" t="str">
        <x:f>IF(AND(N125=2,P125=2,R125&gt;=5),"핵심사례",IF(R125&gt;=3,"보조사례","경계사례"))</x:f>
        <x:v>핵심사례</x:v>
      </x:c>
    </x:row>
    <x:row r="126" ht="45" customHeight="1">
      <x:c r="A126" s="18" t="str">
        <x:v>DISC-2020-01</x:v>
      </x:c>
      <x:c r="B126" s="18" t="str">
        <x:v>EV0039</x:v>
      </x:c>
      <x:c r="C126" s="18" t="str">
        <x:v>2020</x:v>
      </x:c>
      <x:c r="D126" s="18" t="str">
        <x:v>건강·재난</x:v>
      </x:c>
      <x:c r="E126" s="18" t="str">
        <x:v>코로나19 진단 수요</x:v>
      </x:c>
      <x:c r="F126" s="18" t="str">
        <x:v>맥아이씨에스 (058110)</x:v>
      </x:c>
      <x:c r="G126" s="18" t="str">
        <x:v>KOSDAQ</x:v>
      </x:c>
      <x:c r="H126" s="28" t="str">
        <x:v>상승</x:v>
      </x:c>
      <x:c r="I126" s="18" t="str">
        <x:v>2020 상반기 약 690% 상승</x:v>
      </x:c>
      <x:c r="J126" s="18" t="str">
        <x:v>강한사례</x:v>
      </x:c>
      <x:c r="K126" s="18" t="str"/>
      <x:c r="L126" s="18" t="str">
        <x:v>호흡기 의료기기·실적 동반</x:v>
      </x:c>
      <x:c r="M126" s="18" t="str">
        <x:v>S108</x:v>
      </x:c>
      <x:c r="N126" s="18" t="n">
        <x:v>2</x:v>
      </x:c>
      <x:c r="O126" s="18" t="n">
        <x:v>2</x:v>
      </x:c>
      <x:c r="P126" s="18" t="n">
        <x:v>2</x:v>
      </x:c>
      <x:c r="Q126" s="18" t="n">
        <x:v>2</x:v>
      </x:c>
      <x:c r="R126" s="18" t="n">
        <x:f>SUM(N126:P126)</x:f>
        <x:v>6</x:v>
      </x:c>
      <x:c r="S126" s="28" t="str">
        <x:f>IF(AND(N126=2,P126=2,R126&gt;=5),"핵심사례",IF(R126&gt;=3,"보조사례","경계사례"))</x:f>
        <x:v>핵심사례</x:v>
      </x:c>
    </x:row>
    <x:row r="127" ht="45" customHeight="1">
      <x:c r="A127" s="29" t="str">
        <x:v>DISC-2020-02</x:v>
      </x:c>
      <x:c r="B127" s="29" t="str">
        <x:v>EV0039</x:v>
      </x:c>
      <x:c r="C127" s="29" t="str">
        <x:v>2020</x:v>
      </x:c>
      <x:c r="D127" s="29" t="str">
        <x:v>건강·재난</x:v>
      </x:c>
      <x:c r="E127" s="29" t="str">
        <x:v>코로나19 진단 수요</x:v>
      </x:c>
      <x:c r="F127" s="29" t="str">
        <x:v>수젠텍 (253840)</x:v>
      </x:c>
      <x:c r="G127" s="29" t="str">
        <x:v>KOSDAQ</x:v>
      </x:c>
      <x:c r="H127" s="28" t="str">
        <x:v>상승</x:v>
      </x:c>
      <x:c r="I127" s="29" t="str">
        <x:v>2020 상반기 약 402% 상승</x:v>
      </x:c>
      <x:c r="J127" s="29" t="str">
        <x:v>강한사례</x:v>
      </x:c>
      <x:c r="K127" s="29" t="str"/>
      <x:c r="L127" s="29" t="str">
        <x:v>진단키트 직접 수혜</x:v>
      </x:c>
      <x:c r="M127" s="29" t="str">
        <x:v>S108</x:v>
      </x:c>
      <x:c r="N127" s="29" t="n">
        <x:v>2</x:v>
      </x:c>
      <x:c r="O127" s="29" t="n">
        <x:v>2</x:v>
      </x:c>
      <x:c r="P127" s="29" t="n">
        <x:v>2</x:v>
      </x:c>
      <x:c r="Q127" s="29" t="n">
        <x:v>2</x:v>
      </x:c>
      <x:c r="R127" s="29" t="n">
        <x:f>SUM(N127:P127)</x:f>
        <x:v>6</x:v>
      </x:c>
      <x:c r="S127" s="28" t="str">
        <x:f>IF(AND(N127=2,P127=2,R127&gt;=5),"핵심사례",IF(R127&gt;=3,"보조사례","경계사례"))</x:f>
        <x:v>핵심사례</x:v>
      </x:c>
    </x:row>
    <x:row r="128" ht="45" customHeight="1">
      <x:c r="A128" s="18" t="str">
        <x:v>DISC-2020-03</x:v>
      </x:c>
      <x:c r="B128" s="18" t="str">
        <x:v>EV0039</x:v>
      </x:c>
      <x:c r="C128" s="18" t="str">
        <x:v>2020</x:v>
      </x:c>
      <x:c r="D128" s="18" t="str">
        <x:v>건강·재난</x:v>
      </x:c>
      <x:c r="E128" s="18" t="str">
        <x:v>코로나19 진단 수요</x:v>
      </x:c>
      <x:c r="F128" s="18" t="str">
        <x:v>랩지노믹스 (084650)</x:v>
      </x:c>
      <x:c r="G128" s="18" t="str">
        <x:v>KOSDAQ</x:v>
      </x:c>
      <x:c r="H128" s="28" t="str">
        <x:v>상승</x:v>
      </x:c>
      <x:c r="I128" s="18" t="str">
        <x:v>2020 상반기 약 388% 상승</x:v>
      </x:c>
      <x:c r="J128" s="18" t="str">
        <x:v>강한사례</x:v>
      </x:c>
      <x:c r="K128" s="18" t="str"/>
      <x:c r="L128" s="18" t="str">
        <x:v>진단검사 직접 수혜</x:v>
      </x:c>
      <x:c r="M128" s="18" t="str">
        <x:v>S108</x:v>
      </x:c>
      <x:c r="N128" s="18" t="n">
        <x:v>2</x:v>
      </x:c>
      <x:c r="O128" s="18" t="n">
        <x:v>2</x:v>
      </x:c>
      <x:c r="P128" s="18" t="n">
        <x:v>2</x:v>
      </x:c>
      <x:c r="Q128" s="18" t="n">
        <x:v>2</x:v>
      </x:c>
      <x:c r="R128" s="18" t="n">
        <x:f>SUM(N128:P128)</x:f>
        <x:v>6</x:v>
      </x:c>
      <x:c r="S128" s="28" t="str">
        <x:f>IF(AND(N128=2,P128=2,R128&gt;=5),"핵심사례",IF(R128&gt;=3,"보조사례","경계사례"))</x:f>
        <x:v>핵심사례</x:v>
      </x:c>
    </x:row>
    <x:row r="129" ht="45" customHeight="1">
      <x:c r="A129" s="29" t="str">
        <x:v>DISC-2020-04</x:v>
      </x:c>
      <x:c r="B129" s="29" t="str">
        <x:v>EV0039</x:v>
      </x:c>
      <x:c r="C129" s="29" t="str">
        <x:v>2020</x:v>
      </x:c>
      <x:c r="D129" s="29" t="str">
        <x:v>건강·재난</x:v>
      </x:c>
      <x:c r="E129" s="29" t="str">
        <x:v>코로나19 진단 수요</x:v>
      </x:c>
      <x:c r="F129" s="29" t="str">
        <x:v>씨젠 (096530)</x:v>
      </x:c>
      <x:c r="G129" s="29" t="str">
        <x:v>KOSDAQ</x:v>
      </x:c>
      <x:c r="H129" s="28" t="str">
        <x:v>상승</x:v>
      </x:c>
      <x:c r="I129" s="29" t="str">
        <x:v>2020 상반기 약 277% 상승</x:v>
      </x:c>
      <x:c r="J129" s="29" t="str">
        <x:v>강한사례</x:v>
      </x:c>
      <x:c r="K129" s="29" t="str"/>
      <x:c r="L129" s="29" t="str">
        <x:v>실적과 대중 관심이 함께 작동</x:v>
      </x:c>
      <x:c r="M129" s="29" t="str">
        <x:v>S108</x:v>
      </x:c>
      <x:c r="N129" s="29" t="n">
        <x:v>2</x:v>
      </x:c>
      <x:c r="O129" s="29" t="n">
        <x:v>2</x:v>
      </x:c>
      <x:c r="P129" s="29" t="n">
        <x:v>2</x:v>
      </x:c>
      <x:c r="Q129" s="29" t="n">
        <x:v>2</x:v>
      </x:c>
      <x:c r="R129" s="29" t="n">
        <x:f>SUM(N129:P129)</x:f>
        <x:v>6</x:v>
      </x:c>
      <x:c r="S129" s="28" t="str">
        <x:f>IF(AND(N129=2,P129=2,R129&gt;=5),"핵심사례",IF(R129&gt;=3,"보조사례","경계사례"))</x:f>
        <x:v>핵심사례</x:v>
      </x:c>
    </x:row>
    <x:row r="130" ht="45" customHeight="1">
      <x:c r="A130" s="18" t="str">
        <x:v>DISC-2020-05</x:v>
      </x:c>
      <x:c r="B130" s="18" t="str">
        <x:v>EV0038</x:v>
      </x:c>
      <x:c r="C130" s="18" t="str">
        <x:v>2020</x:v>
      </x:c>
      <x:c r="D130" s="18" t="str">
        <x:v>생활·비대면</x:v>
      </x:c>
      <x:c r="E130" s="18" t="str">
        <x:v>재택근무 확산</x:v>
      </x:c>
      <x:c r="F130" s="18" t="str">
        <x:v>소프트캠프 (258790)</x:v>
      </x:c>
      <x:c r="G130" s="18" t="str">
        <x:v>KOSDAQ</x:v>
      </x:c>
      <x:c r="H130" s="28" t="str">
        <x:v>상승</x:v>
      </x:c>
      <x:c r="I130" s="18" t="str">
        <x:v>당일 11.46% 상승</x:v>
      </x:c>
      <x:c r="J130" s="18" t="str">
        <x:v>강한사례</x:v>
      </x:c>
      <x:c r="K130" s="18" t="str"/>
      <x:c r="L130" s="18" t="str">
        <x:v>원격보안 직접 연결</x:v>
      </x:c>
      <x:c r="M130" s="18" t="str">
        <x:v>S109</x:v>
      </x:c>
      <x:c r="N130" s="18" t="n">
        <x:v>2</x:v>
      </x:c>
      <x:c r="O130" s="18" t="n">
        <x:v>2</x:v>
      </x:c>
      <x:c r="P130" s="18" t="n">
        <x:v>2</x:v>
      </x:c>
      <x:c r="Q130" s="18" t="n">
        <x:v>1</x:v>
      </x:c>
      <x:c r="R130" s="18" t="n">
        <x:f>SUM(N130:P130)</x:f>
        <x:v>6</x:v>
      </x:c>
      <x:c r="S130" s="28" t="str">
        <x:f>IF(AND(N130=2,P130=2,R130&gt;=5),"핵심사례",IF(R130&gt;=3,"보조사례","경계사례"))</x:f>
        <x:v>핵심사례</x:v>
      </x:c>
    </x:row>
    <x:row r="131" ht="45" customHeight="1">
      <x:c r="A131" s="29" t="str">
        <x:v>DISC-2020-06</x:v>
      </x:c>
      <x:c r="B131" s="29" t="str">
        <x:v>EV0038</x:v>
      </x:c>
      <x:c r="C131" s="29" t="str">
        <x:v>2020</x:v>
      </x:c>
      <x:c r="D131" s="29" t="str">
        <x:v>생활·비대면</x:v>
      </x:c>
      <x:c r="E131" s="29" t="str">
        <x:v>재택근무 확산</x:v>
      </x:c>
      <x:c r="F131" s="29" t="str">
        <x:v>링네트 (042500)</x:v>
      </x:c>
      <x:c r="G131" s="29" t="str">
        <x:v>KOSDAQ</x:v>
      </x:c>
      <x:c r="H131" s="28" t="str">
        <x:v>상승</x:v>
      </x:c>
      <x:c r="I131" s="29" t="str">
        <x:v>당일 8.04% 상승</x:v>
      </x:c>
      <x:c r="J131" s="29" t="str">
        <x:v>강한사례</x:v>
      </x:c>
      <x:c r="K131" s="29" t="str"/>
      <x:c r="L131" s="29" t="str">
        <x:v>네트워크 인프라 연결</x:v>
      </x:c>
      <x:c r="M131" s="29" t="str">
        <x:v>S109</x:v>
      </x:c>
      <x:c r="N131" s="29" t="n">
        <x:v>2</x:v>
      </x:c>
      <x:c r="O131" s="29" t="n">
        <x:v>2</x:v>
      </x:c>
      <x:c r="P131" s="29" t="n">
        <x:v>2</x:v>
      </x:c>
      <x:c r="Q131" s="29" t="n">
        <x:v>1</x:v>
      </x:c>
      <x:c r="R131" s="29" t="n">
        <x:f>SUM(N131:P131)</x:f>
        <x:v>6</x:v>
      </x:c>
      <x:c r="S131" s="28" t="str">
        <x:f>IF(AND(N131=2,P131=2,R131&gt;=5),"핵심사례",IF(R131&gt;=3,"보조사례","경계사례"))</x:f>
        <x:v>핵심사례</x:v>
      </x:c>
    </x:row>
    <x:row r="132" ht="45" customHeight="1">
      <x:c r="A132" s="18" t="str">
        <x:v>DISC-2020-07</x:v>
      </x:c>
      <x:c r="B132" s="18" t="str">
        <x:v>EV0038</x:v>
      </x:c>
      <x:c r="C132" s="18" t="str">
        <x:v>2020</x:v>
      </x:c>
      <x:c r="D132" s="18" t="str">
        <x:v>생활·비대면</x:v>
      </x:c>
      <x:c r="E132" s="18" t="str">
        <x:v>재택근무 확산</x:v>
      </x:c>
      <x:c r="F132" s="18" t="str">
        <x:v>알서포트 (131370)</x:v>
      </x:c>
      <x:c r="G132" s="18" t="str">
        <x:v>KOSDAQ</x:v>
      </x:c>
      <x:c r="H132" s="28" t="str">
        <x:v>상승</x:v>
      </x:c>
      <x:c r="I132" s="18" t="str">
        <x:v>당일 6.58% 상승</x:v>
      </x:c>
      <x:c r="J132" s="18" t="str">
        <x:v>강한사례</x:v>
      </x:c>
      <x:c r="K132" s="18" t="str"/>
      <x:c r="L132" s="18" t="str">
        <x:v>원격지원 직접 연결</x:v>
      </x:c>
      <x:c r="M132" s="18" t="str">
        <x:v>S109</x:v>
      </x:c>
      <x:c r="N132" s="18" t="n">
        <x:v>2</x:v>
      </x:c>
      <x:c r="O132" s="18" t="n">
        <x:v>2</x:v>
      </x:c>
      <x:c r="P132" s="18" t="n">
        <x:v>2</x:v>
      </x:c>
      <x:c r="Q132" s="18" t="n">
        <x:v>1</x:v>
      </x:c>
      <x:c r="R132" s="18" t="n">
        <x:f>SUM(N132:P132)</x:f>
        <x:v>6</x:v>
      </x:c>
      <x:c r="S132" s="28" t="str">
        <x:f>IF(AND(N132=2,P132=2,R132&gt;=5),"핵심사례",IF(R132&gt;=3,"보조사례","경계사례"))</x:f>
        <x:v>핵심사례</x:v>
      </x:c>
    </x:row>
    <x:row r="133" ht="45" customHeight="1">
      <x:c r="A133" s="29" t="str">
        <x:v>DISC-2020-08</x:v>
      </x:c>
      <x:c r="B133" s="29" t="str">
        <x:v>EV0037</x:v>
      </x:c>
      <x:c r="C133" s="29" t="str">
        <x:v>2020</x:v>
      </x:c>
      <x:c r="D133" s="29" t="str">
        <x:v>생활·비대면</x:v>
      </x:c>
      <x:c r="E133" s="29" t="str">
        <x:v>온라인교육 확산</x:v>
      </x:c>
      <x:c r="F133" s="29" t="str">
        <x:v>YBM넷 (057030)</x:v>
      </x:c>
      <x:c r="G133" s="29" t="str">
        <x:v>KOSDAQ</x:v>
      </x:c>
      <x:c r="H133" s="28" t="str">
        <x:v>상승</x:v>
      </x:c>
      <x:c r="I133" s="29" t="str">
        <x:v>당일 4.93% 상승</x:v>
      </x:c>
      <x:c r="J133" s="29" t="str">
        <x:v>강한사례</x:v>
      </x:c>
      <x:c r="K133" s="29" t="str"/>
      <x:c r="L133" s="29" t="str">
        <x:v>온라인교육 직접 연결</x:v>
      </x:c>
      <x:c r="M133" s="29" t="str">
        <x:v>S109</x:v>
      </x:c>
      <x:c r="N133" s="29" t="n">
        <x:v>2</x:v>
      </x:c>
      <x:c r="O133" s="29" t="n">
        <x:v>2</x:v>
      </x:c>
      <x:c r="P133" s="29" t="n">
        <x:v>2</x:v>
      </x:c>
      <x:c r="Q133" s="29" t="n">
        <x:v>1</x:v>
      </x:c>
      <x:c r="R133" s="29" t="n">
        <x:f>SUM(N133:P133)</x:f>
        <x:v>6</x:v>
      </x:c>
      <x:c r="S133" s="28" t="str">
        <x:f>IF(AND(N133=2,P133=2,R133&gt;=5),"핵심사례",IF(R133&gt;=3,"보조사례","경계사례"))</x:f>
        <x:v>핵심사례</x:v>
      </x:c>
    </x:row>
    <x:row r="134" ht="45" customHeight="1">
      <x:c r="A134" s="18" t="str">
        <x:v>DISC-2020-09</x:v>
      </x:c>
      <x:c r="B134" s="18" t="str">
        <x:v>EV0037</x:v>
      </x:c>
      <x:c r="C134" s="18" t="str">
        <x:v>2020</x:v>
      </x:c>
      <x:c r="D134" s="18" t="str">
        <x:v>생활·비대면</x:v>
      </x:c>
      <x:c r="E134" s="18" t="str">
        <x:v>온라인교육 확산</x:v>
      </x:c>
      <x:c r="F134" s="18" t="str">
        <x:v>메가엠디 (133750)</x:v>
      </x:c>
      <x:c r="G134" s="18" t="str">
        <x:v>KOSDAQ</x:v>
      </x:c>
      <x:c r="H134" s="28" t="str">
        <x:v>상승</x:v>
      </x:c>
      <x:c r="I134" s="18" t="str">
        <x:v>당일 4.82% 상승</x:v>
      </x:c>
      <x:c r="J134" s="18" t="str">
        <x:v>강한사례</x:v>
      </x:c>
      <x:c r="K134" s="18" t="str"/>
      <x:c r="L134" s="18" t="str">
        <x:v>온라인교육 직접 연결</x:v>
      </x:c>
      <x:c r="M134" s="18" t="str">
        <x:v>S109</x:v>
      </x:c>
      <x:c r="N134" s="18" t="n">
        <x:v>2</x:v>
      </x:c>
      <x:c r="O134" s="18" t="n">
        <x:v>2</x:v>
      </x:c>
      <x:c r="P134" s="18" t="n">
        <x:v>2</x:v>
      </x:c>
      <x:c r="Q134" s="18" t="n">
        <x:v>1</x:v>
      </x:c>
      <x:c r="R134" s="18" t="n">
        <x:f>SUM(N134:P134)</x:f>
        <x:v>6</x:v>
      </x:c>
      <x:c r="S134" s="28" t="str">
        <x:f>IF(AND(N134=2,P134=2,R134&gt;=5),"핵심사례",IF(R134&gt;=3,"보조사례","경계사례"))</x:f>
        <x:v>핵심사례</x:v>
      </x:c>
    </x:row>
    <x:row r="135" ht="45" customHeight="1">
      <x:c r="A135" s="29" t="str">
        <x:v>DISC-2020-10</x:v>
      </x:c>
      <x:c r="B135" s="29" t="str">
        <x:v>EV0037</x:v>
      </x:c>
      <x:c r="C135" s="29" t="str">
        <x:v>2020</x:v>
      </x:c>
      <x:c r="D135" s="29" t="str">
        <x:v>생활·비대면</x:v>
      </x:c>
      <x:c r="E135" s="29" t="str">
        <x:v>온라인교육 확산</x:v>
      </x:c>
      <x:c r="F135" s="29" t="str">
        <x:v>아이스크림에듀 (289010)</x:v>
      </x:c>
      <x:c r="G135" s="29" t="str">
        <x:v>KOSDAQ</x:v>
      </x:c>
      <x:c r="H135" s="28" t="str">
        <x:v>상승</x:v>
      </x:c>
      <x:c r="I135" s="29" t="str">
        <x:v>당일 2.41% 상승</x:v>
      </x:c>
      <x:c r="J135" s="29" t="str">
        <x:v>강한사례</x:v>
      </x:c>
      <x:c r="K135" s="29" t="str"/>
      <x:c r="L135" s="29" t="str">
        <x:v>초등 에듀테크 직접 연결</x:v>
      </x:c>
      <x:c r="M135" s="29" t="str">
        <x:v>S109</x:v>
      </x:c>
      <x:c r="N135" s="29" t="n">
        <x:v>2</x:v>
      </x:c>
      <x:c r="O135" s="29" t="n">
        <x:v>2</x:v>
      </x:c>
      <x:c r="P135" s="29" t="n">
        <x:v>2</x:v>
      </x:c>
      <x:c r="Q135" s="29" t="n">
        <x:v>1</x:v>
      </x:c>
      <x:c r="R135" s="29" t="n">
        <x:f>SUM(N135:P135)</x:f>
        <x:v>6</x:v>
      </x:c>
      <x:c r="S135" s="28" t="str">
        <x:f>IF(AND(N135=2,P135=2,R135&gt;=5),"핵심사례",IF(R135&gt;=3,"보조사례","경계사례"))</x:f>
        <x:v>핵심사례</x:v>
      </x:c>
    </x:row>
    <x:row r="136" ht="45" customHeight="1">
      <x:c r="A136" s="18" t="str">
        <x:v>DISC-2021-01</x:v>
      </x:c>
      <x:c r="B136" s="18" t="str">
        <x:v>EV0041</x:v>
      </x:c>
      <x:c r="C136" s="18" t="str">
        <x:v>2021</x:v>
      </x:c>
      <x:c r="D136" s="18" t="str">
        <x:v>기술·플랫폼</x:v>
      </x:c>
      <x:c r="E136" s="18" t="str">
        <x:v>메타버스 열풍</x:v>
      </x:c>
      <x:c r="F136" s="18" t="str">
        <x:v>맥스트 (377030)</x:v>
      </x:c>
      <x:c r="G136" s="18" t="str">
        <x:v>KOSDAQ</x:v>
      </x:c>
      <x:c r="H136" s="28" t="str">
        <x:v>상승</x:v>
      </x:c>
      <x:c r="I136" s="18" t="str">
        <x:v>상장 후 따상상상</x:v>
      </x:c>
      <x:c r="J136" s="18" t="str">
        <x:v>강한사례</x:v>
      </x:c>
      <x:c r="K136" s="18" t="str"/>
      <x:c r="L136" s="18" t="str">
        <x:v>산업 초기 기대와 IPO 수급 혼합</x:v>
      </x:c>
      <x:c r="M136" s="18" t="str">
        <x:v>S110</x:v>
      </x:c>
      <x:c r="N136" s="18" t="n">
        <x:v>2</x:v>
      </x:c>
      <x:c r="O136" s="18" t="n">
        <x:v>2</x:v>
      </x:c>
      <x:c r="P136" s="18" t="n">
        <x:v>1</x:v>
      </x:c>
      <x:c r="Q136" s="18" t="n">
        <x:v>1</x:v>
      </x:c>
      <x:c r="R136" s="18" t="n">
        <x:f>SUM(N136:P136)</x:f>
        <x:v>5</x:v>
      </x:c>
      <x:c r="S136" s="30" t="str">
        <x:f>IF(AND(N136=2,P136=2,R136&gt;=5),"핵심사례",IF(R136&gt;=3,"보조사례","경계사례"))</x:f>
        <x:v>보조사례</x:v>
      </x:c>
    </x:row>
    <x:row r="137" ht="45" customHeight="1">
      <x:c r="A137" s="29" t="str">
        <x:v>DISC-2021-02</x:v>
      </x:c>
      <x:c r="B137" s="29" t="str">
        <x:v>EV0042</x:v>
      </x:c>
      <x:c r="C137" s="29" t="str">
        <x:v>2021</x:v>
      </x:c>
      <x:c r="D137" s="29" t="str">
        <x:v>기술·플랫폼</x:v>
      </x:c>
      <x:c r="E137" s="29" t="str">
        <x:v>메타버스·버추얼 아바타</x:v>
      </x:c>
      <x:c r="F137" s="29" t="str">
        <x:v>자이언트스텝 (289220)</x:v>
      </x:c>
      <x:c r="G137" s="29" t="str">
        <x:v>KOSDAQ</x:v>
      </x:c>
      <x:c r="H137" s="28" t="str">
        <x:v>상승</x:v>
      </x:c>
      <x:c r="I137" s="29" t="str">
        <x:v>테마 급등 및 별도일 12.96% 상승</x:v>
      </x:c>
      <x:c r="J137" s="29" t="str">
        <x:v>강한사례</x:v>
      </x:c>
      <x:c r="K137" s="29" t="str"/>
      <x:c r="L137" s="29" t="str">
        <x:v>에스파 버추얼 아바타 제작</x:v>
      </x:c>
      <x:c r="M137" s="29" t="str">
        <x:v>S110;S111</x:v>
      </x:c>
      <x:c r="N137" s="29" t="n">
        <x:v>2</x:v>
      </x:c>
      <x:c r="O137" s="29" t="n">
        <x:v>2</x:v>
      </x:c>
      <x:c r="P137" s="29" t="n">
        <x:v>2</x:v>
      </x:c>
      <x:c r="Q137" s="29" t="n">
        <x:v>1</x:v>
      </x:c>
      <x:c r="R137" s="29" t="n">
        <x:f>SUM(N137:P137)</x:f>
        <x:v>6</x:v>
      </x:c>
      <x:c r="S137" s="28" t="str">
        <x:f>IF(AND(N137=2,P137=2,R137&gt;=5),"핵심사례",IF(R137&gt;=3,"보조사례","경계사례"))</x:f>
        <x:v>핵심사례</x:v>
      </x:c>
    </x:row>
    <x:row r="138" ht="45" customHeight="1">
      <x:c r="A138" s="18" t="str">
        <x:v>DISC-2021-03</x:v>
      </x:c>
      <x:c r="B138" s="18" t="str">
        <x:v>EV0041</x:v>
      </x:c>
      <x:c r="C138" s="18" t="str">
        <x:v>2021</x:v>
      </x:c>
      <x:c r="D138" s="18" t="str">
        <x:v>기술·플랫폼</x:v>
      </x:c>
      <x:c r="E138" s="18" t="str">
        <x:v>메타버스 열풍</x:v>
      </x:c>
      <x:c r="F138" s="18" t="str">
        <x:v>덱스터 (206560)</x:v>
      </x:c>
      <x:c r="G138" s="18" t="str">
        <x:v>KOSDAQ</x:v>
      </x:c>
      <x:c r="H138" s="28" t="str">
        <x:v>상승</x:v>
      </x:c>
      <x:c r="I138" s="18" t="str">
        <x:v>당일 18.98% 상승</x:v>
      </x:c>
      <x:c r="J138" s="18" t="str">
        <x:v>강한사례</x:v>
      </x:c>
      <x:c r="K138" s="18" t="str"/>
      <x:c r="L138" s="18" t="str">
        <x:v>VFX 사업 직접성</x:v>
      </x:c>
      <x:c r="M138" s="18" t="str">
        <x:v>S111</x:v>
      </x:c>
      <x:c r="N138" s="18" t="n">
        <x:v>2</x:v>
      </x:c>
      <x:c r="O138" s="18" t="n">
        <x:v>2</x:v>
      </x:c>
      <x:c r="P138" s="18" t="n">
        <x:v>2</x:v>
      </x:c>
      <x:c r="Q138" s="18" t="n">
        <x:v>1</x:v>
      </x:c>
      <x:c r="R138" s="18" t="n">
        <x:f>SUM(N138:P138)</x:f>
        <x:v>6</x:v>
      </x:c>
      <x:c r="S138" s="28" t="str">
        <x:f>IF(AND(N138=2,P138=2,R138&gt;=5),"핵심사례",IF(R138&gt;=3,"보조사례","경계사례"))</x:f>
        <x:v>핵심사례</x:v>
      </x:c>
    </x:row>
    <x:row r="139" ht="45" customHeight="1">
      <x:c r="A139" s="29" t="str">
        <x:v>DISC-2021-04</x:v>
      </x:c>
      <x:c r="B139" s="29" t="str">
        <x:v>EV0041</x:v>
      </x:c>
      <x:c r="C139" s="29" t="str">
        <x:v>2021</x:v>
      </x:c>
      <x:c r="D139" s="29" t="str">
        <x:v>기술·플랫폼</x:v>
      </x:c>
      <x:c r="E139" s="29" t="str">
        <x:v>메타버스 열풍</x:v>
      </x:c>
      <x:c r="F139" s="29" t="str">
        <x:v>엔피 (291230)</x:v>
      </x:c>
      <x:c r="G139" s="29" t="str">
        <x:v>KOSDAQ</x:v>
      </x:c>
      <x:c r="H139" s="28" t="str">
        <x:v>상승</x:v>
      </x:c>
      <x:c r="I139" s="29" t="str">
        <x:v>관련주 강세로 보도</x:v>
      </x:c>
      <x:c r="J139" s="29" t="str">
        <x:v>강한사례</x:v>
      </x:c>
      <x:c r="K139" s="29" t="str"/>
      <x:c r="L139" s="29" t="str">
        <x:v>XR 콘텐츠 직접성, 수치 후속검증</x:v>
      </x:c>
      <x:c r="M139" s="29" t="str">
        <x:v>S111</x:v>
      </x:c>
      <x:c r="N139" s="29" t="n">
        <x:v>2</x:v>
      </x:c>
      <x:c r="O139" s="29" t="n">
        <x:v>2</x:v>
      </x:c>
      <x:c r="P139" s="29" t="n">
        <x:v>1</x:v>
      </x:c>
      <x:c r="Q139" s="29" t="n">
        <x:v>1</x:v>
      </x:c>
      <x:c r="R139" s="29" t="n">
        <x:f>SUM(N139:P139)</x:f>
        <x:v>5</x:v>
      </x:c>
      <x:c r="S139" s="30" t="str">
        <x:f>IF(AND(N139=2,P139=2,R139&gt;=5),"핵심사례",IF(R139&gt;=3,"보조사례","경계사례"))</x:f>
        <x:v>보조사례</x:v>
      </x:c>
    </x:row>
    <x:row r="140" ht="45" customHeight="1">
      <x:c r="A140" s="18" t="str">
        <x:v>DISC-2021-05</x:v>
      </x:c>
      <x:c r="B140" s="18" t="str">
        <x:v>EV0041</x:v>
      </x:c>
      <x:c r="C140" s="18" t="str">
        <x:v>2021</x:v>
      </x:c>
      <x:c r="D140" s="18" t="str">
        <x:v>기술·플랫폼</x:v>
      </x:c>
      <x:c r="E140" s="18" t="str">
        <x:v>메타버스 열풍</x:v>
      </x:c>
      <x:c r="F140" s="18" t="str">
        <x:v>위지윅스튜디오 (299900)</x:v>
      </x:c>
      <x:c r="G140" s="18" t="str">
        <x:v>KOSDAQ</x:v>
      </x:c>
      <x:c r="H140" s="28" t="str">
        <x:v>상승</x:v>
      </x:c>
      <x:c r="I140" s="18" t="str">
        <x:v>메타버스 관련주 묶음</x:v>
      </x:c>
      <x:c r="J140" s="18" t="str">
        <x:v>강한사례</x:v>
      </x:c>
      <x:c r="K140" s="18" t="str"/>
      <x:c r="L140" s="18" t="str">
        <x:v>VFX·콘텐츠 직접성, 수치 후속검증</x:v>
      </x:c>
      <x:c r="M140" s="18" t="str">
        <x:v>S110</x:v>
      </x:c>
      <x:c r="N140" s="18" t="n">
        <x:v>2</x:v>
      </x:c>
      <x:c r="O140" s="18" t="n">
        <x:v>2</x:v>
      </x:c>
      <x:c r="P140" s="18" t="n">
        <x:v>1</x:v>
      </x:c>
      <x:c r="Q140" s="18" t="n">
        <x:v>1</x:v>
      </x:c>
      <x:c r="R140" s="18" t="n">
        <x:f>SUM(N140:P140)</x:f>
        <x:v>5</x:v>
      </x:c>
      <x:c r="S140" s="30" t="str">
        <x:f>IF(AND(N140=2,P140=2,R140&gt;=5),"핵심사례",IF(R140&gt;=3,"보조사례","경계사례"))</x:f>
        <x:v>보조사례</x:v>
      </x:c>
    </x:row>
    <x:row r="141" ht="45" customHeight="1">
      <x:c r="A141" s="29" t="str">
        <x:v>DISC-2022-01</x:v>
      </x:c>
      <x:c r="B141" s="29" t="str">
        <x:v>EV0050</x:v>
      </x:c>
      <x:c r="C141" s="29" t="str">
        <x:v>2022</x:v>
      </x:c>
      <x:c r="D141" s="29" t="str">
        <x:v>콘텐츠·팬덤</x:v>
      </x:c>
      <x:c r="E141" s="29" t="str">
        <x:v>이상한 변호사 우영우 신드롬</x:v>
      </x:c>
      <x:c r="F141" s="29" t="str">
        <x:v>에이스토리 (241840)</x:v>
      </x:c>
      <x:c r="G141" s="29" t="str">
        <x:v>KOSDAQ</x:v>
      </x:c>
      <x:c r="H141" s="28" t="str">
        <x:v>상승</x:v>
      </x:c>
      <x:c r="I141" s="29" t="str">
        <x:v>11거래일 89.5% 상승</x:v>
      </x:c>
      <x:c r="J141" s="29" t="str">
        <x:v>강한사례</x:v>
      </x:c>
      <x:c r="K141" s="29" t="str"/>
      <x:c r="L141" s="29" t="str">
        <x:v>제작사 직접 연결</x:v>
      </x:c>
      <x:c r="M141" s="29" t="str">
        <x:v>S112</x:v>
      </x:c>
      <x:c r="N141" s="29" t="n">
        <x:v>2</x:v>
      </x:c>
      <x:c r="O141" s="29" t="n">
        <x:v>2</x:v>
      </x:c>
      <x:c r="P141" s="29" t="n">
        <x:v>2</x:v>
      </x:c>
      <x:c r="Q141" s="29" t="n">
        <x:v>1</x:v>
      </x:c>
      <x:c r="R141" s="29" t="n">
        <x:f>SUM(N141:P141)</x:f>
        <x:v>6</x:v>
      </x:c>
      <x:c r="S141" s="28" t="str">
        <x:f>IF(AND(N141=2,P141=2,R141&gt;=5),"핵심사례",IF(R141&gt;=3,"보조사례","경계사례"))</x:f>
        <x:v>핵심사례</x:v>
      </x:c>
    </x:row>
    <x:row r="142" ht="45" customHeight="1">
      <x:c r="A142" s="18" t="str">
        <x:v>DISC-2022-02</x:v>
      </x:c>
      <x:c r="B142" s="18" t="str">
        <x:v>EV0051</x:v>
      </x:c>
      <x:c r="C142" s="18" t="str">
        <x:v>2022</x:v>
      </x:c>
      <x:c r="D142" s="18" t="str">
        <x:v>콘텐츠·팬덤</x:v>
      </x:c>
      <x:c r="E142" s="18" t="str">
        <x:v>재벌집 막내아들 흥행</x:v>
      </x:c>
      <x:c r="F142" s="18" t="str">
        <x:v>래몽래인 (200350)</x:v>
      </x:c>
      <x:c r="G142" s="18" t="str">
        <x:v>KOSDAQ</x:v>
      </x:c>
      <x:c r="H142" s="30" t="str">
        <x:v>상승→하락</x:v>
      </x:c>
      <x:c r="I142" s="18" t="str">
        <x:v>첫 주 약 70% 상승 후 고점 대비 30% 이상 하락</x:v>
      </x:c>
      <x:c r="J142" s="18" t="str">
        <x:v>강한사례</x:v>
      </x:c>
      <x:c r="K142" s="18" t="str"/>
      <x:c r="L142" s="18" t="str">
        <x:v>흥행 기대 선반영과 소멸 비교</x:v>
      </x:c>
      <x:c r="M142" s="18" t="str">
        <x:v>S113</x:v>
      </x:c>
      <x:c r="N142" s="18" t="n">
        <x:v>2</x:v>
      </x:c>
      <x:c r="O142" s="18" t="n">
        <x:v>2</x:v>
      </x:c>
      <x:c r="P142" s="18" t="n">
        <x:v>2</x:v>
      </x:c>
      <x:c r="Q142" s="18" t="n">
        <x:v>1</x:v>
      </x:c>
      <x:c r="R142" s="18" t="n">
        <x:f>SUM(N142:P142)</x:f>
        <x:v>6</x:v>
      </x:c>
      <x:c r="S142" s="28" t="str">
        <x:f>IF(AND(N142=2,P142=2,R142&gt;=5),"핵심사례",IF(R142&gt;=3,"보조사례","경계사례"))</x:f>
        <x:v>핵심사례</x:v>
      </x:c>
    </x:row>
    <x:row r="143" ht="45" customHeight="1">
      <x:c r="A143" s="29" t="str">
        <x:v>DISC-2022-03</x:v>
      </x:c>
      <x:c r="B143" s="29" t="str">
        <x:v>EV0052</x:v>
      </x:c>
      <x:c r="C143" s="29" t="str">
        <x:v>2022</x:v>
      </x:c>
      <x:c r="D143" s="29" t="str">
        <x:v>스포츠·행사</x:v>
      </x:c>
      <x:c r="E143" s="29" t="str">
        <x:v>카타르월드컵 치맥 소비</x:v>
      </x:c>
      <x:c r="F143" s="29" t="str">
        <x:v>제주맥주 (276730)</x:v>
      </x:c>
      <x:c r="G143" s="29" t="str">
        <x:v>KOSDAQ</x:v>
      </x:c>
      <x:c r="H143" s="30" t="str">
        <x:v>상승·하락</x:v>
      </x:c>
      <x:c r="I143" s="29" t="str">
        <x:v>16강 진출 후 강세, 가나전 패배 후 하락</x:v>
      </x:c>
      <x:c r="J143" s="29" t="str">
        <x:v>강한사례</x:v>
      </x:c>
      <x:c r="K143" s="29" t="str"/>
      <x:c r="L143" s="29" t="str">
        <x:v>경기 결과 감응형</x:v>
      </x:c>
      <x:c r="M143" s="29" t="str">
        <x:v>S114</x:v>
      </x:c>
      <x:c r="N143" s="29" t="n">
        <x:v>2</x:v>
      </x:c>
      <x:c r="O143" s="29" t="n">
        <x:v>2</x:v>
      </x:c>
      <x:c r="P143" s="29" t="n">
        <x:v>1</x:v>
      </x:c>
      <x:c r="Q143" s="29" t="n">
        <x:v>1</x:v>
      </x:c>
      <x:c r="R143" s="29" t="n">
        <x:f>SUM(N143:P143)</x:f>
        <x:v>5</x:v>
      </x:c>
      <x:c r="S143" s="30" t="str">
        <x:f>IF(AND(N143=2,P143=2,R143&gt;=5),"핵심사례",IF(R143&gt;=3,"보조사례","경계사례"))</x:f>
        <x:v>보조사례</x:v>
      </x:c>
    </x:row>
    <x:row r="144" ht="45" customHeight="1">
      <x:c r="A144" s="18" t="str">
        <x:v>DISC-2022-04</x:v>
      </x:c>
      <x:c r="B144" s="18" t="str">
        <x:v>EV0052</x:v>
      </x:c>
      <x:c r="C144" s="18" t="str">
        <x:v>2022</x:v>
      </x:c>
      <x:c r="D144" s="18" t="str">
        <x:v>스포츠·행사</x:v>
      </x:c>
      <x:c r="E144" s="18" t="str">
        <x:v>카타르월드컵 치맥 소비</x:v>
      </x:c>
      <x:c r="F144" s="18" t="str">
        <x:v>교촌에프앤비 (339770)</x:v>
      </x:c>
      <x:c r="G144" s="18" t="str">
        <x:v>KOSPI</x:v>
      </x:c>
      <x:c r="H144" s="30" t="str">
        <x:v>상승·하락</x:v>
      </x:c>
      <x:c r="I144" s="18" t="str">
        <x:v>16강 진출 후 강세, 가나전 패배 후 하락</x:v>
      </x:c>
      <x:c r="J144" s="18" t="str">
        <x:v>강한사례</x:v>
      </x:c>
      <x:c r="K144" s="18" t="str"/>
      <x:c r="L144" s="18" t="str">
        <x:v>실제 주문 폭주와 단기 테마</x:v>
      </x:c>
      <x:c r="M144" s="18" t="str">
        <x:v>S114</x:v>
      </x:c>
      <x:c r="N144" s="18" t="n">
        <x:v>2</x:v>
      </x:c>
      <x:c r="O144" s="18" t="n">
        <x:v>2</x:v>
      </x:c>
      <x:c r="P144" s="18" t="n">
        <x:v>1</x:v>
      </x:c>
      <x:c r="Q144" s="18" t="n">
        <x:v>1</x:v>
      </x:c>
      <x:c r="R144" s="18" t="n">
        <x:f>SUM(N144:P144)</x:f>
        <x:v>5</x:v>
      </x:c>
      <x:c r="S144" s="30" t="str">
        <x:f>IF(AND(N144=2,P144=2,R144&gt;=5),"핵심사례",IF(R144&gt;=3,"보조사례","경계사례"))</x:f>
        <x:v>보조사례</x:v>
      </x:c>
    </x:row>
    <x:row r="145" ht="45" customHeight="1">
      <x:c r="A145" s="29" t="str">
        <x:v>DISC-2022-05</x:v>
      </x:c>
      <x:c r="B145" s="29" t="str">
        <x:v>EV0053</x:v>
      </x:c>
      <x:c r="C145" s="29" t="str">
        <x:v>2022</x:v>
      </x:c>
      <x:c r="D145" s="29" t="str">
        <x:v>스포츠·행사</x:v>
      </x:c>
      <x:c r="E145" s="29" t="str">
        <x:v>카타르월드컵 치킨 수요</x:v>
      </x:c>
      <x:c r="F145" s="29" t="str">
        <x:v>하림 (136480)</x:v>
      </x:c>
      <x:c r="G145" s="29" t="str">
        <x:v>KOSDAQ</x:v>
      </x:c>
      <x:c r="H145" s="30" t="str">
        <x:v>상승·하락</x:v>
      </x:c>
      <x:c r="I145" s="29" t="str">
        <x:v>16강 진출 후 강세, 가나전 패배 후 하락</x:v>
      </x:c>
      <x:c r="J145" s="29" t="str">
        <x:v>강한사례</x:v>
      </x:c>
      <x:c r="K145" s="29" t="str"/>
      <x:c r="L145" s="29" t="str">
        <x:v>육계 수요 기대</x:v>
      </x:c>
      <x:c r="M145" s="29" t="str">
        <x:v>S114</x:v>
      </x:c>
      <x:c r="N145" s="29" t="n">
        <x:v>2</x:v>
      </x:c>
      <x:c r="O145" s="29" t="n">
        <x:v>2</x:v>
      </x:c>
      <x:c r="P145" s="29" t="n">
        <x:v>1</x:v>
      </x:c>
      <x:c r="Q145" s="29" t="n">
        <x:v>1</x:v>
      </x:c>
      <x:c r="R145" s="29" t="n">
        <x:f>SUM(N145:P145)</x:f>
        <x:v>5</x:v>
      </x:c>
      <x:c r="S145" s="30" t="str">
        <x:f>IF(AND(N145=2,P145=2,R145&gt;=5),"핵심사례",IF(R145&gt;=3,"보조사례","경계사례"))</x:f>
        <x:v>보조사례</x:v>
      </x:c>
    </x:row>
    <x:row r="146" ht="45" customHeight="1">
      <x:c r="A146" s="18" t="str">
        <x:v>DISC-2022-06</x:v>
      </x:c>
      <x:c r="B146" s="18" t="str">
        <x:v>EV0053</x:v>
      </x:c>
      <x:c r="C146" s="18" t="str">
        <x:v>2022</x:v>
      </x:c>
      <x:c r="D146" s="18" t="str">
        <x:v>스포츠·행사</x:v>
      </x:c>
      <x:c r="E146" s="18" t="str">
        <x:v>카타르월드컵 치킨 수요</x:v>
      </x:c>
      <x:c r="F146" s="18" t="str">
        <x:v>마니커 (027740)</x:v>
      </x:c>
      <x:c r="G146" s="18" t="str">
        <x:v>KOSPI</x:v>
      </x:c>
      <x:c r="H146" s="28" t="str">
        <x:v>상승</x:v>
      </x:c>
      <x:c r="I146" s="18" t="str">
        <x:v>월드컵 기대 구간 약 25% 상승</x:v>
      </x:c>
      <x:c r="J146" s="18" t="str">
        <x:v>강한사례</x:v>
      </x:c>
      <x:c r="K146" s="18" t="str"/>
      <x:c r="L146" s="18" t="str">
        <x:v>스포츠 소비 테마</x:v>
      </x:c>
      <x:c r="M146" s="18" t="str">
        <x:v>S114</x:v>
      </x:c>
      <x:c r="N146" s="18" t="n">
        <x:v>2</x:v>
      </x:c>
      <x:c r="O146" s="18" t="n">
        <x:v>2</x:v>
      </x:c>
      <x:c r="P146" s="18" t="n">
        <x:v>2</x:v>
      </x:c>
      <x:c r="Q146" s="18" t="n">
        <x:v>1</x:v>
      </x:c>
      <x:c r="R146" s="18" t="n">
        <x:f>SUM(N146:P146)</x:f>
        <x:v>6</x:v>
      </x:c>
      <x:c r="S146" s="28" t="str">
        <x:f>IF(AND(N146=2,P146=2,R146&gt;=5),"핵심사례",IF(R146&gt;=3,"보조사례","경계사례"))</x:f>
        <x:v>핵심사례</x:v>
      </x:c>
    </x:row>
    <x:row r="147" ht="45" customHeight="1">
      <x:c r="A147" s="29" t="str">
        <x:v>DISC-2023-01</x:v>
      </x:c>
      <x:c r="B147" s="29" t="str">
        <x:v>EV0067</x:v>
      </x:c>
      <x:c r="C147" s="29" t="str">
        <x:v>2023</x:v>
      </x:c>
      <x:c r="D147" s="29" t="str">
        <x:v>기술·플랫폼</x:v>
      </x:c>
      <x:c r="E147" s="29" t="str">
        <x:v>챗GPT 돌풍</x:v>
      </x:c>
      <x:c r="F147" s="29" t="str">
        <x:v>코난테크놀로지 (402030)</x:v>
      </x:c>
      <x:c r="G147" s="29" t="str">
        <x:v>KOSDAQ</x:v>
      </x:c>
      <x:c r="H147" s="28" t="str">
        <x:v>상승</x:v>
      </x:c>
      <x:c r="I147" s="29" t="str">
        <x:v>당일 상한가 29.93%</x:v>
      </x:c>
      <x:c r="J147" s="29" t="str">
        <x:v>강한사례</x:v>
      </x:c>
      <x:c r="K147" s="29" t="str"/>
      <x:c r="L147" s="29" t="str">
        <x:v>AI 사업 직접성</x:v>
      </x:c>
      <x:c r="M147" s="29" t="str">
        <x:v>S115</x:v>
      </x:c>
      <x:c r="N147" s="29" t="n">
        <x:v>2</x:v>
      </x:c>
      <x:c r="O147" s="29" t="n">
        <x:v>2</x:v>
      </x:c>
      <x:c r="P147" s="29" t="n">
        <x:v>2</x:v>
      </x:c>
      <x:c r="Q147" s="29" t="n">
        <x:v>1</x:v>
      </x:c>
      <x:c r="R147" s="29" t="n">
        <x:f>SUM(N147:P147)</x:f>
        <x:v>6</x:v>
      </x:c>
      <x:c r="S147" s="28" t="str">
        <x:f>IF(AND(N147=2,P147=2,R147&gt;=5),"핵심사례",IF(R147&gt;=3,"보조사례","경계사례"))</x:f>
        <x:v>핵심사례</x:v>
      </x:c>
    </x:row>
    <x:row r="148" ht="45" customHeight="1">
      <x:c r="A148" s="18" t="str">
        <x:v>DISC-2023-02</x:v>
      </x:c>
      <x:c r="B148" s="18" t="str">
        <x:v>EV0067</x:v>
      </x:c>
      <x:c r="C148" s="18" t="str">
        <x:v>2023</x:v>
      </x:c>
      <x:c r="D148" s="18" t="str">
        <x:v>기술·플랫폼</x:v>
      </x:c>
      <x:c r="E148" s="18" t="str">
        <x:v>챗GPT 돌풍</x:v>
      </x:c>
      <x:c r="F148" s="18" t="str">
        <x:v>마음AI(당시 마인즈랩) (377480)</x:v>
      </x:c>
      <x:c r="G148" s="18" t="str">
        <x:v>KOSDAQ</x:v>
      </x:c>
      <x:c r="H148" s="28" t="str">
        <x:v>상승</x:v>
      </x:c>
      <x:c r="I148" s="18" t="str">
        <x:v>당일 21.45% 상승</x:v>
      </x:c>
      <x:c r="J148" s="18" t="str">
        <x:v>강한사례</x:v>
      </x:c>
      <x:c r="K148" s="18" t="str"/>
      <x:c r="L148" s="18" t="str">
        <x:v>AI 사업 직접성</x:v>
      </x:c>
      <x:c r="M148" s="18" t="str">
        <x:v>S115</x:v>
      </x:c>
      <x:c r="N148" s="18" t="n">
        <x:v>2</x:v>
      </x:c>
      <x:c r="O148" s="18" t="n">
        <x:v>2</x:v>
      </x:c>
      <x:c r="P148" s="18" t="n">
        <x:v>2</x:v>
      </x:c>
      <x:c r="Q148" s="18" t="n">
        <x:v>1</x:v>
      </x:c>
      <x:c r="R148" s="18" t="n">
        <x:f>SUM(N148:P148)</x:f>
        <x:v>6</x:v>
      </x:c>
      <x:c r="S148" s="28" t="str">
        <x:f>IF(AND(N148=2,P148=2,R148&gt;=5),"핵심사례",IF(R148&gt;=3,"보조사례","경계사례"))</x:f>
        <x:v>핵심사례</x:v>
      </x:c>
    </x:row>
    <x:row r="149" ht="45" customHeight="1">
      <x:c r="A149" s="29" t="str">
        <x:v>DISC-2023-03</x:v>
      </x:c>
      <x:c r="B149" s="29" t="str">
        <x:v>EV0067</x:v>
      </x:c>
      <x:c r="C149" s="29" t="str">
        <x:v>2023</x:v>
      </x:c>
      <x:c r="D149" s="29" t="str">
        <x:v>기술·플랫폼</x:v>
      </x:c>
      <x:c r="E149" s="29" t="str">
        <x:v>챗GPT 돌풍</x:v>
      </x:c>
      <x:c r="F149" s="29" t="str">
        <x:v>플리토 (300080)</x:v>
      </x:c>
      <x:c r="G149" s="29" t="str">
        <x:v>KOSDAQ</x:v>
      </x:c>
      <x:c r="H149" s="28" t="str">
        <x:v>상승</x:v>
      </x:c>
      <x:c r="I149" s="29" t="str">
        <x:v>당일 19.48% 상승</x:v>
      </x:c>
      <x:c r="J149" s="29" t="str">
        <x:v>강한사례</x:v>
      </x:c>
      <x:c r="K149" s="29" t="str"/>
      <x:c r="L149" s="29" t="str">
        <x:v>언어 데이터 연결</x:v>
      </x:c>
      <x:c r="M149" s="29" t="str">
        <x:v>S115</x:v>
      </x:c>
      <x:c r="N149" s="29" t="n">
        <x:v>2</x:v>
      </x:c>
      <x:c r="O149" s="29" t="n">
        <x:v>2</x:v>
      </x:c>
      <x:c r="P149" s="29" t="n">
        <x:v>2</x:v>
      </x:c>
      <x:c r="Q149" s="29" t="n">
        <x:v>1</x:v>
      </x:c>
      <x:c r="R149" s="29" t="n">
        <x:f>SUM(N149:P149)</x:f>
        <x:v>6</x:v>
      </x:c>
      <x:c r="S149" s="28" t="str">
        <x:f>IF(AND(N149=2,P149=2,R149&gt;=5),"핵심사례",IF(R149&gt;=3,"보조사례","경계사례"))</x:f>
        <x:v>핵심사례</x:v>
      </x:c>
    </x:row>
    <x:row r="150" ht="45" customHeight="1">
      <x:c r="A150" s="18" t="str">
        <x:v>DISC-2023-04</x:v>
      </x:c>
      <x:c r="B150" s="18" t="str">
        <x:v>EV0067</x:v>
      </x:c>
      <x:c r="C150" s="18" t="str">
        <x:v>2023</x:v>
      </x:c>
      <x:c r="D150" s="18" t="str">
        <x:v>기술·플랫폼</x:v>
      </x:c>
      <x:c r="E150" s="18" t="str">
        <x:v>챗GPT 돌풍</x:v>
      </x:c>
      <x:c r="F150" s="18" t="str">
        <x:v>데이타솔루션 (263800)</x:v>
      </x:c>
      <x:c r="G150" s="18" t="str">
        <x:v>KOSDAQ</x:v>
      </x:c>
      <x:c r="H150" s="28" t="str">
        <x:v>상승</x:v>
      </x:c>
      <x:c r="I150" s="18" t="str">
        <x:v>당일 14.32% 상승</x:v>
      </x:c>
      <x:c r="J150" s="18" t="str">
        <x:v>강한사례</x:v>
      </x:c>
      <x:c r="K150" s="18" t="str"/>
      <x:c r="L150" s="18" t="str">
        <x:v>AI 키워드 확장 연결</x:v>
      </x:c>
      <x:c r="M150" s="18" t="str">
        <x:v>S115</x:v>
      </x:c>
      <x:c r="N150" s="18" t="n">
        <x:v>2</x:v>
      </x:c>
      <x:c r="O150" s="18" t="n">
        <x:v>1</x:v>
      </x:c>
      <x:c r="P150" s="18" t="n">
        <x:v>2</x:v>
      </x:c>
      <x:c r="Q150" s="18" t="n">
        <x:v>1</x:v>
      </x:c>
      <x:c r="R150" s="18" t="n">
        <x:f>SUM(N150:P150)</x:f>
        <x:v>5</x:v>
      </x:c>
      <x:c r="S150" s="28" t="str">
        <x:f>IF(AND(N150=2,P150=2,R150&gt;=5),"핵심사례",IF(R150&gt;=3,"보조사례","경계사례"))</x:f>
        <x:v>핵심사례</x:v>
      </x:c>
    </x:row>
    <x:row r="151" ht="45" customHeight="1">
      <x:c r="A151" s="29" t="str">
        <x:v>DISC-2023-05</x:v>
      </x:c>
      <x:c r="B151" s="29" t="str">
        <x:v>EV0067</x:v>
      </x:c>
      <x:c r="C151" s="29" t="str">
        <x:v>2023</x:v>
      </x:c>
      <x:c r="D151" s="29" t="str">
        <x:v>기술·플랫폼</x:v>
      </x:c>
      <x:c r="E151" s="29" t="str">
        <x:v>챗GPT 돌풍</x:v>
      </x:c>
      <x:c r="F151" s="29" t="str">
        <x:v>솔트룩스 (304100)</x:v>
      </x:c>
      <x:c r="G151" s="29" t="str">
        <x:v>KOSDAQ</x:v>
      </x:c>
      <x:c r="H151" s="28" t="str">
        <x:v>상승</x:v>
      </x:c>
      <x:c r="I151" s="29" t="str">
        <x:v>당일 12.06% 상승</x:v>
      </x:c>
      <x:c r="J151" s="29" t="str">
        <x:v>강한사례</x:v>
      </x:c>
      <x:c r="K151" s="29" t="str"/>
      <x:c r="L151" s="29" t="str">
        <x:v>AI 사업 직접성</x:v>
      </x:c>
      <x:c r="M151" s="29" t="str">
        <x:v>S115</x:v>
      </x:c>
      <x:c r="N151" s="29" t="n">
        <x:v>2</x:v>
      </x:c>
      <x:c r="O151" s="29" t="n">
        <x:v>2</x:v>
      </x:c>
      <x:c r="P151" s="29" t="n">
        <x:v>2</x:v>
      </x:c>
      <x:c r="Q151" s="29" t="n">
        <x:v>1</x:v>
      </x:c>
      <x:c r="R151" s="29" t="n">
        <x:f>SUM(N151:P151)</x:f>
        <x:v>6</x:v>
      </x:c>
      <x:c r="S151" s="28" t="str">
        <x:f>IF(AND(N151=2,P151=2,R151&gt;=5),"핵심사례",IF(R151&gt;=3,"보조사례","경계사례"))</x:f>
        <x:v>핵심사례</x:v>
      </x:c>
    </x:row>
    <x:row r="152" ht="45" customHeight="1">
      <x:c r="A152" s="18" t="str">
        <x:v>DISC-2023-06</x:v>
      </x:c>
      <x:c r="B152" s="18" t="str">
        <x:v>EV0067</x:v>
      </x:c>
      <x:c r="C152" s="18" t="str">
        <x:v>2023</x:v>
      </x:c>
      <x:c r="D152" s="18" t="str">
        <x:v>기술·플랫폼</x:v>
      </x:c>
      <x:c r="E152" s="18" t="str">
        <x:v>챗GPT 돌풍</x:v>
      </x:c>
      <x:c r="F152" s="18" t="str">
        <x:v>인포뱅크 (039290)</x:v>
      </x:c>
      <x:c r="G152" s="18" t="str">
        <x:v>KOSDAQ</x:v>
      </x:c>
      <x:c r="H152" s="28" t="str">
        <x:v>상승</x:v>
      </x:c>
      <x:c r="I152" s="18" t="str">
        <x:v>당일 11.44% 상승</x:v>
      </x:c>
      <x:c r="J152" s="18" t="str">
        <x:v>강한사례</x:v>
      </x:c>
      <x:c r="K152" s="18" t="str"/>
      <x:c r="L152" s="18" t="str">
        <x:v>챗봇 관련주 확장</x:v>
      </x:c>
      <x:c r="M152" s="18" t="str">
        <x:v>S115</x:v>
      </x:c>
      <x:c r="N152" s="18" t="n">
        <x:v>2</x:v>
      </x:c>
      <x:c r="O152" s="18" t="n">
        <x:v>1</x:v>
      </x:c>
      <x:c r="P152" s="18" t="n">
        <x:v>2</x:v>
      </x:c>
      <x:c r="Q152" s="18" t="n">
        <x:v>1</x:v>
      </x:c>
      <x:c r="R152" s="18" t="n">
        <x:f>SUM(N152:P152)</x:f>
        <x:v>5</x:v>
      </x:c>
      <x:c r="S152" s="28" t="str">
        <x:f>IF(AND(N152=2,P152=2,R152&gt;=5),"핵심사례",IF(R152&gt;=3,"보조사례","경계사례"))</x:f>
        <x:v>핵심사례</x:v>
      </x:c>
    </x:row>
    <x:row r="153" ht="45" customHeight="1">
      <x:c r="A153" s="29" t="str">
        <x:v>DISC-2024-01</x:v>
      </x:c>
      <x:c r="B153" s="29" t="str">
        <x:v>EV0078</x:v>
      </x:c>
      <x:c r="C153" s="29" t="str">
        <x:v>2024</x:v>
      </x:c>
      <x:c r="D153" s="29" t="str">
        <x:v>콘텐츠·팬덤</x:v>
      </x:c>
      <x:c r="E153" s="29" t="str">
        <x:v>한강 노벨문학상·텍스트힙</x:v>
      </x:c>
      <x:c r="F153" s="29" t="str">
        <x:v>예스24 (053280)</x:v>
      </x:c>
      <x:c r="G153" s="29" t="str">
        <x:v>KOSDAQ</x:v>
      </x:c>
      <x:c r="H153" s="28" t="str">
        <x:v>상승</x:v>
      </x:c>
      <x:c r="I153" s="29" t="str">
        <x:v>당일 상한가 29.81%</x:v>
      </x:c>
      <x:c r="J153" s="29" t="str">
        <x:v>강한사례</x:v>
      </x:c>
      <x:c r="K153" s="29" t="str"/>
      <x:c r="L153" s="29" t="str">
        <x:v>서점 판매 직접 연결</x:v>
      </x:c>
      <x:c r="M153" s="29" t="str">
        <x:v>S116</x:v>
      </x:c>
      <x:c r="N153" s="29" t="n">
        <x:v>2</x:v>
      </x:c>
      <x:c r="O153" s="29" t="n">
        <x:v>2</x:v>
      </x:c>
      <x:c r="P153" s="29" t="n">
        <x:v>2</x:v>
      </x:c>
      <x:c r="Q153" s="29" t="n">
        <x:v>1</x:v>
      </x:c>
      <x:c r="R153" s="29" t="n">
        <x:f>SUM(N153:P153)</x:f>
        <x:v>6</x:v>
      </x:c>
      <x:c r="S153" s="28" t="str">
        <x:f>IF(AND(N153=2,P153=2,R153&gt;=5),"핵심사례",IF(R153&gt;=3,"보조사례","경계사례"))</x:f>
        <x:v>핵심사례</x:v>
      </x:c>
    </x:row>
    <x:row r="154" ht="45" customHeight="1">
      <x:c r="A154" s="18" t="str">
        <x:v>DISC-2024-02</x:v>
      </x:c>
      <x:c r="B154" s="18" t="str">
        <x:v>EV0078</x:v>
      </x:c>
      <x:c r="C154" s="18" t="str">
        <x:v>2024</x:v>
      </x:c>
      <x:c r="D154" s="18" t="str">
        <x:v>콘텐츠·팬덤</x:v>
      </x:c>
      <x:c r="E154" s="18" t="str">
        <x:v>한강 노벨문학상·텍스트힙</x:v>
      </x:c>
      <x:c r="F154" s="18" t="str">
        <x:v>밀리의서재 (418470)</x:v>
      </x:c>
      <x:c r="G154" s="18" t="str">
        <x:v>KOSDAQ</x:v>
      </x:c>
      <x:c r="H154" s="28" t="str">
        <x:v>상승</x:v>
      </x:c>
      <x:c r="I154" s="18" t="str">
        <x:v>당일 23.63% 상승</x:v>
      </x:c>
      <x:c r="J154" s="18" t="str">
        <x:v>강한사례</x:v>
      </x:c>
      <x:c r="K154" s="18" t="str"/>
      <x:c r="L154" s="18" t="str">
        <x:v>구독 독서 직접 연결</x:v>
      </x:c>
      <x:c r="M154" s="18" t="str">
        <x:v>S116</x:v>
      </x:c>
      <x:c r="N154" s="18" t="n">
        <x:v>2</x:v>
      </x:c>
      <x:c r="O154" s="18" t="n">
        <x:v>2</x:v>
      </x:c>
      <x:c r="P154" s="18" t="n">
        <x:v>2</x:v>
      </x:c>
      <x:c r="Q154" s="18" t="n">
        <x:v>1</x:v>
      </x:c>
      <x:c r="R154" s="18" t="n">
        <x:f>SUM(N154:P154)</x:f>
        <x:v>6</x:v>
      </x:c>
      <x:c r="S154" s="28" t="str">
        <x:f>IF(AND(N154=2,P154=2,R154&gt;=5),"핵심사례",IF(R154&gt;=3,"보조사례","경계사례"))</x:f>
        <x:v>핵심사례</x:v>
      </x:c>
    </x:row>
    <x:row r="155" ht="45" customHeight="1">
      <x:c r="A155" s="29" t="str">
        <x:v>DISC-2024-03</x:v>
      </x:c>
      <x:c r="B155" s="29" t="str">
        <x:v>EV0078</x:v>
      </x:c>
      <x:c r="C155" s="29" t="str">
        <x:v>2024</x:v>
      </x:c>
      <x:c r="D155" s="29" t="str">
        <x:v>콘텐츠·팬덤</x:v>
      </x:c>
      <x:c r="E155" s="29" t="str">
        <x:v>한강 노벨문학상·텍스트힙</x:v>
      </x:c>
      <x:c r="F155" s="29" t="str">
        <x:v>예림당 (036000)</x:v>
      </x:c>
      <x:c r="G155" s="29" t="str">
        <x:v>KOSDAQ</x:v>
      </x:c>
      <x:c r="H155" s="28" t="str">
        <x:v>상승</x:v>
      </x:c>
      <x:c r="I155" s="29" t="str">
        <x:v>당일 29.79% 상승</x:v>
      </x:c>
      <x:c r="J155" s="29" t="str">
        <x:v>강한사례</x:v>
      </x:c>
      <x:c r="K155" s="29" t="str"/>
      <x:c r="L155" s="29" t="str">
        <x:v>한강 직접 사업 연결은 약한 출판 테마</x:v>
      </x:c>
      <x:c r="M155" s="29" t="str">
        <x:v>S116</x:v>
      </x:c>
      <x:c r="N155" s="29" t="n">
        <x:v>2</x:v>
      </x:c>
      <x:c r="O155" s="29" t="n">
        <x:v>1</x:v>
      </x:c>
      <x:c r="P155" s="29" t="n">
        <x:v>2</x:v>
      </x:c>
      <x:c r="Q155" s="29" t="n">
        <x:v>0</x:v>
      </x:c>
      <x:c r="R155" s="29" t="n">
        <x:f>SUM(N155:P155)</x:f>
        <x:v>5</x:v>
      </x:c>
      <x:c r="S155" s="28" t="str">
        <x:f>IF(AND(N155=2,P155=2,R155&gt;=5),"핵심사례",IF(R155&gt;=3,"보조사례","경계사례"))</x:f>
        <x:v>핵심사례</x:v>
      </x:c>
    </x:row>
    <x:row r="156" ht="45" customHeight="1">
      <x:c r="A156" s="18" t="str">
        <x:v>DISC-2024-04</x:v>
      </x:c>
      <x:c r="B156" s="18" t="str">
        <x:v>EV0078</x:v>
      </x:c>
      <x:c r="C156" s="18" t="str">
        <x:v>2024</x:v>
      </x:c>
      <x:c r="D156" s="18" t="str">
        <x:v>콘텐츠·팬덤</x:v>
      </x:c>
      <x:c r="E156" s="18" t="str">
        <x:v>한강 노벨문학상·텍스트힙</x:v>
      </x:c>
      <x:c r="F156" s="18" t="str">
        <x:v>삼성출판사 (068290)</x:v>
      </x:c>
      <x:c r="G156" s="18" t="str">
        <x:v>KOSPI</x:v>
      </x:c>
      <x:c r="H156" s="28" t="str">
        <x:v>상승</x:v>
      </x:c>
      <x:c r="I156" s="18" t="str">
        <x:v>당일 14.24% 상승</x:v>
      </x:c>
      <x:c r="J156" s="18" t="str">
        <x:v>강한사례</x:v>
      </x:c>
      <x:c r="K156" s="18" t="str"/>
      <x:c r="L156" s="18" t="str">
        <x:v>한강 직접 사업 연결은 약한 출판 테마</x:v>
      </x:c>
      <x:c r="M156" s="18" t="str">
        <x:v>S116</x:v>
      </x:c>
      <x:c r="N156" s="18" t="n">
        <x:v>2</x:v>
      </x:c>
      <x:c r="O156" s="18" t="n">
        <x:v>1</x:v>
      </x:c>
      <x:c r="P156" s="18" t="n">
        <x:v>2</x:v>
      </x:c>
      <x:c r="Q156" s="18" t="n">
        <x:v>0</x:v>
      </x:c>
      <x:c r="R156" s="18" t="n">
        <x:f>SUM(N156:P156)</x:f>
        <x:v>5</x:v>
      </x:c>
      <x:c r="S156" s="28" t="str">
        <x:f>IF(AND(N156=2,P156=2,R156&gt;=5),"핵심사례",IF(R156&gt;=3,"보조사례","경계사례"))</x:f>
        <x:v>핵심사례</x:v>
      </x:c>
    </x:row>
    <x:row r="157" ht="45" customHeight="1">
      <x:c r="A157" s="29" t="str">
        <x:v>DISC-2024-05</x:v>
      </x:c>
      <x:c r="B157" s="29" t="str">
        <x:v>EV0080</x:v>
      </x:c>
      <x:c r="C157" s="29" t="str">
        <x:v>2024</x:v>
      </x:c>
      <x:c r="D157" s="29" t="str">
        <x:v>식품·소비</x:v>
      </x:c>
      <x:c r="E157" s="29" t="str">
        <x:v>SNS발 두바이 초콜릿 열풍</x:v>
      </x:c>
      <x:c r="F157" s="29" t="str">
        <x:v>BGF리테일 (282330)</x:v>
      </x:c>
      <x:c r="G157" s="29" t="str">
        <x:v>KOSPI</x:v>
      </x:c>
      <x:c r="H157" s="30" t="str">
        <x:v>가격 미확인</x:v>
      </x:c>
      <x:c r="I157" s="29" t="str">
        <x:v>CU 초도 20만개 하루 완판; 주가 반응 미검증</x:v>
      </x:c>
      <x:c r="J157" s="29" t="str">
        <x:v>가격미확인</x:v>
      </x:c>
      <x:c r="K157" s="29" t="str"/>
      <x:c r="L157" s="29" t="str">
        <x:v>유행·판매는 강하지만 가격 근거가 없는 경계사례</x:v>
      </x:c>
      <x:c r="M157" s="29" t="str">
        <x:v>S117</x:v>
      </x:c>
      <x:c r="N157" s="29" t="n">
        <x:v>2</x:v>
      </x:c>
      <x:c r="O157" s="29" t="n">
        <x:v>2</x:v>
      </x:c>
      <x:c r="P157" s="29" t="n">
        <x:v>0</x:v>
      </x:c>
      <x:c r="Q157" s="29" t="n">
        <x:v>2</x:v>
      </x:c>
      <x:c r="R157" s="29" t="n">
        <x:f>SUM(N157:P157)</x:f>
        <x:v>4</x:v>
      </x:c>
      <x:c r="S157" s="30" t="str">
        <x:f>IF(AND(N157=2,P157=2,R157&gt;=5),"핵심사례",IF(R157&gt;=3,"보조사례","경계사례"))</x:f>
        <x:v>보조사례</x:v>
      </x:c>
    </x:row>
    <x:row r="158" ht="45" customHeight="1">
      <x:c r="A158" s="18" t="str">
        <x:v>KR-X001</x:v>
      </x:c>
      <x:c r="B158" s="18" t="str">
        <x:v>EV0071</x:v>
      </x:c>
      <x:c r="C158" s="18" t="str">
        <x:v>2023</x:v>
      </x:c>
      <x:c r="D158" s="18" t="str">
        <x:v>과학·테마</x:v>
      </x:c>
      <x:c r="E158" s="18" t="str">
        <x:v>LK-99 상온 초전도체 주장</x:v>
      </x:c>
      <x:c r="F158" s="18" t="str">
        <x:v>신성델타테크 (065350)</x:v>
      </x:c>
      <x:c r="G158" s="18" t="str">
        <x:v>KOSDAQ</x:v>
      </x:c>
      <x:c r="H158" s="30" t="str">
        <x:v>급등→급락</x:v>
      </x:c>
      <x:c r="I158" s="18" t="str">
        <x:v>이틀 연속 상한가 뒤 반박 국면 급락</x:v>
      </x:c>
      <x:c r="J158" s="18" t="str">
        <x:v>간접·테마</x:v>
      </x:c>
      <x:c r="K158" s="18" t="str"/>
      <x:c r="L158" s="18" t="str">
        <x:v>직접 사업 수혜보다 온라인 테마 분류 영향이 큼</x:v>
      </x:c>
      <x:c r="M158" s="18" t="str">
        <x:v>S119;S120</x:v>
      </x:c>
      <x:c r="N158" s="18" t="n">
        <x:v>2</x:v>
      </x:c>
      <x:c r="O158" s="18" t="n">
        <x:v>0</x:v>
      </x:c>
      <x:c r="P158" s="18" t="n">
        <x:v>2</x:v>
      </x:c>
      <x:c r="Q158" s="18" t="n">
        <x:v>0</x:v>
      </x:c>
      <x:c r="R158" s="18" t="n">
        <x:f>SUM(N158:P158)</x:f>
        <x:v>4</x:v>
      </x:c>
      <x:c r="S158" s="30" t="str">
        <x:f>IF(AND(N158=2,P158=2,R158&gt;=5),"핵심사례",IF(R158&gt;=3,"보조사례","경계사례"))</x:f>
        <x:v>보조사례</x:v>
      </x:c>
    </x:row>
    <x:row r="159" ht="45" customHeight="1">
      <x:c r="A159" s="29" t="str">
        <x:v>KR-X002</x:v>
      </x:c>
      <x:c r="B159" s="29" t="str">
        <x:v>EV0071</x:v>
      </x:c>
      <x:c r="C159" s="29" t="str">
        <x:v>2023</x:v>
      </x:c>
      <x:c r="D159" s="29" t="str">
        <x:v>과학·테마</x:v>
      </x:c>
      <x:c r="E159" s="29" t="str">
        <x:v>LK-99 상온 초전도체 주장</x:v>
      </x:c>
      <x:c r="F159" s="29" t="str">
        <x:v>파워로직스 (047310)</x:v>
      </x:c>
      <x:c r="G159" s="29" t="str">
        <x:v>KOSDAQ</x:v>
      </x:c>
      <x:c r="H159" s="30" t="str">
        <x:v>급등→급락</x:v>
      </x:c>
      <x:c r="I159" s="29" t="str">
        <x:v>이틀 연속 상한가 뒤 16.49% 급락</x:v>
      </x:c>
      <x:c r="J159" s="29" t="str">
        <x:v>간접·테마</x:v>
      </x:c>
      <x:c r="K159" s="29" t="str"/>
      <x:c r="L159" s="29" t="str">
        <x:v>직접 사업 수혜보다 온라인 테마 분류 영향이 큼</x:v>
      </x:c>
      <x:c r="M159" s="29" t="str">
        <x:v>S119;S120</x:v>
      </x:c>
      <x:c r="N159" s="29" t="n">
        <x:v>2</x:v>
      </x:c>
      <x:c r="O159" s="29" t="n">
        <x:v>0</x:v>
      </x:c>
      <x:c r="P159" s="29" t="n">
        <x:v>2</x:v>
      </x:c>
      <x:c r="Q159" s="29" t="n">
        <x:v>0</x:v>
      </x:c>
      <x:c r="R159" s="29" t="n">
        <x:f>SUM(N159:P159)</x:f>
        <x:v>4</x:v>
      </x:c>
      <x:c r="S159" s="30" t="str">
        <x:f>IF(AND(N159=2,P159=2,R159&gt;=5),"핵심사례",IF(R159&gt;=3,"보조사례","경계사례"))</x:f>
        <x:v>보조사례</x:v>
      </x:c>
    </x:row>
    <x:row r="160" ht="45" customHeight="1">
      <x:c r="A160" s="18" t="str">
        <x:v>KR-X003</x:v>
      </x:c>
      <x:c r="B160" s="18" t="str">
        <x:v>EV0071</x:v>
      </x:c>
      <x:c r="C160" s="18" t="str">
        <x:v>2023</x:v>
      </x:c>
      <x:c r="D160" s="18" t="str">
        <x:v>과학·테마</x:v>
      </x:c>
      <x:c r="E160" s="18" t="str">
        <x:v>LK-99 상온 초전도체 주장</x:v>
      </x:c>
      <x:c r="F160" s="18" t="str">
        <x:v>서남 (294630)</x:v>
      </x:c>
      <x:c r="G160" s="18" t="str">
        <x:v>KOSDAQ</x:v>
      </x:c>
      <x:c r="H160" s="30" t="str">
        <x:v>급등→급락</x:v>
      </x:c>
      <x:c r="I160" s="18" t="str">
        <x:v>이틀 연속 상한가 뒤 29.98% 급락</x:v>
      </x:c>
      <x:c r="J160" s="18" t="str">
        <x:v>간접·테마</x:v>
      </x:c>
      <x:c r="K160" s="18" t="str"/>
      <x:c r="L160" s="18" t="str">
        <x:v>직접 사업 수혜보다 온라인 테마 분류 영향이 큼</x:v>
      </x:c>
      <x:c r="M160" s="18" t="str">
        <x:v>S119;S120</x:v>
      </x:c>
      <x:c r="N160" s="18" t="n">
        <x:v>2</x:v>
      </x:c>
      <x:c r="O160" s="18" t="n">
        <x:v>0</x:v>
      </x:c>
      <x:c r="P160" s="18" t="n">
        <x:v>2</x:v>
      </x:c>
      <x:c r="Q160" s="18" t="n">
        <x:v>0</x:v>
      </x:c>
      <x:c r="R160" s="18" t="n">
        <x:f>SUM(N160:P160)</x:f>
        <x:v>4</x:v>
      </x:c>
      <x:c r="S160" s="30" t="str">
        <x:f>IF(AND(N160=2,P160=2,R160&gt;=5),"핵심사례",IF(R160&gt;=3,"보조사례","경계사례"))</x:f>
        <x:v>보조사례</x:v>
      </x:c>
    </x:row>
    <x:row r="161" ht="45" customHeight="1">
      <x:c r="A161" s="29" t="str">
        <x:v>KR-X004</x:v>
      </x:c>
      <x:c r="B161" s="29" t="str">
        <x:v>EV0071</x:v>
      </x:c>
      <x:c r="C161" s="29" t="str">
        <x:v>2023</x:v>
      </x:c>
      <x:c r="D161" s="29" t="str">
        <x:v>과학·테마</x:v>
      </x:c>
      <x:c r="E161" s="29" t="str">
        <x:v>LK-99 상온 초전도체 주장</x:v>
      </x:c>
      <x:c r="F161" s="29" t="str">
        <x:v>덕성 (004830)</x:v>
      </x:c>
      <x:c r="G161" s="29" t="str">
        <x:v>KOSPI</x:v>
      </x:c>
      <x:c r="H161" s="30" t="str">
        <x:v>급등→급락</x:v>
      </x:c>
      <x:c r="I161" s="29" t="str">
        <x:v>이틀 연속 상한가 뒤 29.41% 급락</x:v>
      </x:c>
      <x:c r="J161" s="29" t="str">
        <x:v>간접·테마</x:v>
      </x:c>
      <x:c r="K161" s="29" t="str"/>
      <x:c r="L161" s="29" t="str">
        <x:v>직접 사업 수혜보다 온라인 테마 분류 영향이 큼</x:v>
      </x:c>
      <x:c r="M161" s="29" t="str">
        <x:v>S119;S120</x:v>
      </x:c>
      <x:c r="N161" s="29" t="n">
        <x:v>2</x:v>
      </x:c>
      <x:c r="O161" s="29" t="n">
        <x:v>0</x:v>
      </x:c>
      <x:c r="P161" s="29" t="n">
        <x:v>2</x:v>
      </x:c>
      <x:c r="Q161" s="29" t="n">
        <x:v>0</x:v>
      </x:c>
      <x:c r="R161" s="29" t="n">
        <x:f>SUM(N161:P161)</x:f>
        <x:v>4</x:v>
      </x:c>
      <x:c r="S161" s="30" t="str">
        <x:f>IF(AND(N161=2,P161=2,R161&gt;=5),"핵심사례",IF(R161&gt;=3,"보조사례","경계사례"))</x:f>
        <x:v>보조사례</x:v>
      </x:c>
    </x:row>
    <x:row r="162" ht="45" customHeight="1">
      <x:c r="A162" s="18" t="str">
        <x:v>KR-X005</x:v>
      </x:c>
      <x:c r="B162" s="18" t="str">
        <x:v>EV0071</x:v>
      </x:c>
      <x:c r="C162" s="18" t="str">
        <x:v>2023</x:v>
      </x:c>
      <x:c r="D162" s="18" t="str">
        <x:v>과학·테마</x:v>
      </x:c>
      <x:c r="E162" s="18" t="str">
        <x:v>LK-99 상온 초전도체 주장</x:v>
      </x:c>
      <x:c r="F162" s="18" t="str">
        <x:v>모비스 (250060)</x:v>
      </x:c>
      <x:c r="G162" s="18" t="str">
        <x:v>KOSDAQ</x:v>
      </x:c>
      <x:c r="H162" s="30" t="str">
        <x:v>급등→급락</x:v>
      </x:c>
      <x:c r="I162" s="18" t="str">
        <x:v>반박 국면 25.63% 급락</x:v>
      </x:c>
      <x:c r="J162" s="18" t="str">
        <x:v>간접·테마</x:v>
      </x:c>
      <x:c r="K162" s="18" t="str"/>
      <x:c r="L162" s="18" t="str">
        <x:v>직접 사업 수혜보다 온라인 테마 분류 영향이 큼</x:v>
      </x:c>
      <x:c r="M162" s="18" t="str">
        <x:v>S120</x:v>
      </x:c>
      <x:c r="N162" s="18" t="n">
        <x:v>2</x:v>
      </x:c>
      <x:c r="O162" s="18" t="n">
        <x:v>0</x:v>
      </x:c>
      <x:c r="P162" s="18" t="n">
        <x:v>2</x:v>
      </x:c>
      <x:c r="Q162" s="18" t="n">
        <x:v>0</x:v>
      </x:c>
      <x:c r="R162" s="18" t="n">
        <x:f>SUM(N162:P162)</x:f>
        <x:v>4</x:v>
      </x:c>
      <x:c r="S162" s="30" t="str">
        <x:f>IF(AND(N162=2,P162=2,R162&gt;=5),"핵심사례",IF(R162&gt;=3,"보조사례","경계사례"))</x:f>
        <x:v>보조사례</x:v>
      </x:c>
    </x:row>
    <x:row r="163" ht="45" customHeight="1">
      <x:c r="A163" s="29" t="str">
        <x:v>KR-X006</x:v>
      </x:c>
      <x:c r="B163" s="29" t="str">
        <x:v>EV0071</x:v>
      </x:c>
      <x:c r="C163" s="29" t="str">
        <x:v>2023</x:v>
      </x:c>
      <x:c r="D163" s="29" t="str">
        <x:v>과학·테마</x:v>
      </x:c>
      <x:c r="E163" s="29" t="str">
        <x:v>LK-99 상온 초전도체 주장</x:v>
      </x:c>
      <x:c r="F163" s="29" t="str">
        <x:v>국일신동 (060480)</x:v>
      </x:c>
      <x:c r="G163" s="29" t="str">
        <x:v>KOSDAQ</x:v>
      </x:c>
      <x:c r="H163" s="30" t="str">
        <x:v>급등→급락</x:v>
      </x:c>
      <x:c r="I163" s="29" t="str">
        <x:v>반박 국면 19.11% 급락</x:v>
      </x:c>
      <x:c r="J163" s="29" t="str">
        <x:v>간접·테마</x:v>
      </x:c>
      <x:c r="K163" s="29" t="str"/>
      <x:c r="L163" s="29" t="str">
        <x:v>직접 사업 수혜보다 온라인 테마 분류 영향이 큼</x:v>
      </x:c>
      <x:c r="M163" s="29" t="str">
        <x:v>S120</x:v>
      </x:c>
      <x:c r="N163" s="29" t="n">
        <x:v>2</x:v>
      </x:c>
      <x:c r="O163" s="29" t="n">
        <x:v>0</x:v>
      </x:c>
      <x:c r="P163" s="29" t="n">
        <x:v>2</x:v>
      </x:c>
      <x:c r="Q163" s="29" t="n">
        <x:v>0</x:v>
      </x:c>
      <x:c r="R163" s="29" t="n">
        <x:f>SUM(N163:P163)</x:f>
        <x:v>4</x:v>
      </x:c>
      <x:c r="S163" s="30" t="str">
        <x:f>IF(AND(N163=2,P163=2,R163&gt;=5),"핵심사례",IF(R163&gt;=3,"보조사례","경계사례"))</x:f>
        <x:v>보조사례</x:v>
      </x:c>
    </x:row>
    <x:row r="164" ht="45" customHeight="1">
      <x:c r="A164" s="18" t="str">
        <x:v>KR-X007</x:v>
      </x:c>
      <x:c r="B164" s="18" t="str">
        <x:v>EV0071</x:v>
      </x:c>
      <x:c r="C164" s="18" t="str">
        <x:v>2023</x:v>
      </x:c>
      <x:c r="D164" s="18" t="str">
        <x:v>과학·테마</x:v>
      </x:c>
      <x:c r="E164" s="18" t="str">
        <x:v>LK-99 상온 초전도체 주장</x:v>
      </x:c>
      <x:c r="F164" s="18" t="str">
        <x:v>대창 (012800)</x:v>
      </x:c>
      <x:c r="G164" s="18" t="str">
        <x:v>KOSPI</x:v>
      </x:c>
      <x:c r="H164" s="30" t="str">
        <x:v>급등→급락</x:v>
      </x:c>
      <x:c r="I164" s="18" t="str">
        <x:v>반박 국면 18.05% 급락</x:v>
      </x:c>
      <x:c r="J164" s="18" t="str">
        <x:v>간접·테마</x:v>
      </x:c>
      <x:c r="K164" s="18" t="str"/>
      <x:c r="L164" s="18" t="str">
        <x:v>직접 사업 수혜보다 온라인 테마 분류 영향이 큼</x:v>
      </x:c>
      <x:c r="M164" s="18" t="str">
        <x:v>S120</x:v>
      </x:c>
      <x:c r="N164" s="18" t="n">
        <x:v>2</x:v>
      </x:c>
      <x:c r="O164" s="18" t="n">
        <x:v>0</x:v>
      </x:c>
      <x:c r="P164" s="18" t="n">
        <x:v>2</x:v>
      </x:c>
      <x:c r="Q164" s="18" t="n">
        <x:v>0</x:v>
      </x:c>
      <x:c r="R164" s="18" t="n">
        <x:f>SUM(N164:P164)</x:f>
        <x:v>4</x:v>
      </x:c>
      <x:c r="S164" s="30" t="str">
        <x:f>IF(AND(N164=2,P164=2,R164&gt;=5),"핵심사례",IF(R164&gt;=3,"보조사례","경계사례"))</x:f>
        <x:v>보조사례</x:v>
      </x:c>
    </x:row>
    <x:row r="165" ht="45" customHeight="1">
      <x:c r="A165" s="29" t="str">
        <x:v>KR-X008</x:v>
      </x:c>
      <x:c r="B165" s="29" t="str">
        <x:v>EV0071</x:v>
      </x:c>
      <x:c r="C165" s="29" t="str">
        <x:v>2023</x:v>
      </x:c>
      <x:c r="D165" s="29" t="str">
        <x:v>과학·테마</x:v>
      </x:c>
      <x:c r="E165" s="29" t="str">
        <x:v>LK-99 상온 초전도체 주장</x:v>
      </x:c>
      <x:c r="F165" s="29" t="str">
        <x:v>원익피앤이 (217820)</x:v>
      </x:c>
      <x:c r="G165" s="29" t="str">
        <x:v>KOSDAQ</x:v>
      </x:c>
      <x:c r="H165" s="30" t="str">
        <x:v>급등→급락</x:v>
      </x:c>
      <x:c r="I165" s="29" t="str">
        <x:v>반박 국면 14.15% 급락</x:v>
      </x:c>
      <x:c r="J165" s="29" t="str">
        <x:v>간접·테마</x:v>
      </x:c>
      <x:c r="K165" s="29" t="str"/>
      <x:c r="L165" s="29" t="str">
        <x:v>직접 사업 수혜보다 온라인 테마 분류 영향이 큼</x:v>
      </x:c>
      <x:c r="M165" s="29" t="str">
        <x:v>S120</x:v>
      </x:c>
      <x:c r="N165" s="29" t="n">
        <x:v>2</x:v>
      </x:c>
      <x:c r="O165" s="29" t="n">
        <x:v>0</x:v>
      </x:c>
      <x:c r="P165" s="29" t="n">
        <x:v>2</x:v>
      </x:c>
      <x:c r="Q165" s="29" t="n">
        <x:v>0</x:v>
      </x:c>
      <x:c r="R165" s="29" t="n">
        <x:f>SUM(N165:P165)</x:f>
        <x:v>4</x:v>
      </x:c>
      <x:c r="S165" s="30" t="str">
        <x:f>IF(AND(N165=2,P165=2,R165&gt;=5),"핵심사례",IF(R165&gt;=3,"보조사례","경계사례"))</x:f>
        <x:v>보조사례</x:v>
      </x:c>
    </x:row>
    <x:row r="166" ht="45" customHeight="1">
      <x:c r="A166" s="18" t="str">
        <x:v>KR-X009</x:v>
      </x:c>
      <x:c r="B166" s="18" t="str">
        <x:v>EV0061</x:v>
      </x:c>
      <x:c r="C166" s="18" t="str">
        <x:v>2023</x:v>
      </x:c>
      <x:c r="D166" s="18" t="str">
        <x:v>과학·테마</x:v>
      </x:c>
      <x:c r="E166" s="18" t="str">
        <x:v>맥신 상용화 기대</x:v>
      </x:c>
      <x:c r="F166" s="18" t="str">
        <x:v>태경산업 (015890)</x:v>
      </x:c>
      <x:c r="G166" s="18" t="str">
        <x:v>KOSPI</x:v>
      </x:c>
      <x:c r="H166" s="28" t="str">
        <x:v>상승</x:v>
      </x:c>
      <x:c r="I166" s="18" t="str">
        <x:v>당일 상한가</x:v>
      </x:c>
      <x:c r="J166" s="18" t="str">
        <x:v>간접·테마</x:v>
      </x:c>
      <x:c r="K166" s="18" t="str"/>
      <x:c r="L166" s="18" t="str">
        <x:v>연구·원료·계열 연결을 시장이 확장 해석</x:v>
      </x:c>
      <x:c r="M166" s="18" t="str">
        <x:v>S123</x:v>
      </x:c>
      <x:c r="N166" s="18" t="n">
        <x:v>2</x:v>
      </x:c>
      <x:c r="O166" s="18" t="n">
        <x:v>0</x:v>
      </x:c>
      <x:c r="P166" s="18" t="n">
        <x:v>2</x:v>
      </x:c>
      <x:c r="Q166" s="18" t="n">
        <x:v>0</x:v>
      </x:c>
      <x:c r="R166" s="18" t="n">
        <x:f>SUM(N166:P166)</x:f>
        <x:v>4</x:v>
      </x:c>
      <x:c r="S166" s="30" t="str">
        <x:f>IF(AND(N166=2,P166=2,R166&gt;=5),"핵심사례",IF(R166&gt;=3,"보조사례","경계사례"))</x:f>
        <x:v>보조사례</x:v>
      </x:c>
    </x:row>
    <x:row r="167" ht="45" customHeight="1">
      <x:c r="A167" s="29" t="str">
        <x:v>KR-X010</x:v>
      </x:c>
      <x:c r="B167" s="29" t="str">
        <x:v>EV0061</x:v>
      </x:c>
      <x:c r="C167" s="29" t="str">
        <x:v>2023</x:v>
      </x:c>
      <x:c r="D167" s="29" t="str">
        <x:v>과학·테마</x:v>
      </x:c>
      <x:c r="E167" s="29" t="str">
        <x:v>맥신 상용화 기대</x:v>
      </x:c>
      <x:c r="F167" s="29" t="str">
        <x:v>휴비스 (079980)</x:v>
      </x:c>
      <x:c r="G167" s="29" t="str">
        <x:v>KOSPI</x:v>
      </x:c>
      <x:c r="H167" s="28" t="str">
        <x:v>상승</x:v>
      </x:c>
      <x:c r="I167" s="29" t="str">
        <x:v>당일 상한가</x:v>
      </x:c>
      <x:c r="J167" s="29" t="str">
        <x:v>간접·테마</x:v>
      </x:c>
      <x:c r="K167" s="29" t="str"/>
      <x:c r="L167" s="29" t="str">
        <x:v>연구·원료·계열 연결을 시장이 확장 해석</x:v>
      </x:c>
      <x:c r="M167" s="29" t="str">
        <x:v>S123</x:v>
      </x:c>
      <x:c r="N167" s="29" t="n">
        <x:v>2</x:v>
      </x:c>
      <x:c r="O167" s="29" t="n">
        <x:v>0</x:v>
      </x:c>
      <x:c r="P167" s="29" t="n">
        <x:v>2</x:v>
      </x:c>
      <x:c r="Q167" s="29" t="n">
        <x:v>0</x:v>
      </x:c>
      <x:c r="R167" s="29" t="n">
        <x:f>SUM(N167:P167)</x:f>
        <x:v>4</x:v>
      </x:c>
      <x:c r="S167" s="30" t="str">
        <x:f>IF(AND(N167=2,P167=2,R167&gt;=5),"핵심사례",IF(R167&gt;=3,"보조사례","경계사례"))</x:f>
        <x:v>보조사례</x:v>
      </x:c>
    </x:row>
    <x:row r="168" ht="45" customHeight="1">
      <x:c r="A168" s="18" t="str">
        <x:v>KR-X011</x:v>
      </x:c>
      <x:c r="B168" s="18" t="str">
        <x:v>EV0061</x:v>
      </x:c>
      <x:c r="C168" s="18" t="str">
        <x:v>2023</x:v>
      </x:c>
      <x:c r="D168" s="18" t="str">
        <x:v>과학·테마</x:v>
      </x:c>
      <x:c r="E168" s="18" t="str">
        <x:v>맥신 상용화 기대</x:v>
      </x:c>
      <x:c r="F168" s="18" t="str">
        <x:v>경동인베스트 (012320)</x:v>
      </x:c>
      <x:c r="G168" s="18" t="str">
        <x:v>KOSPI</x:v>
      </x:c>
      <x:c r="H168" s="28" t="str">
        <x:v>상승</x:v>
      </x:c>
      <x:c r="I168" s="18" t="str">
        <x:v>당일 상한가</x:v>
      </x:c>
      <x:c r="J168" s="18" t="str">
        <x:v>간접·테마</x:v>
      </x:c>
      <x:c r="K168" s="18" t="str"/>
      <x:c r="L168" s="18" t="str">
        <x:v>연구·원료·계열 연결을 시장이 확장 해석</x:v>
      </x:c>
      <x:c r="M168" s="18" t="str">
        <x:v>S123</x:v>
      </x:c>
      <x:c r="N168" s="18" t="n">
        <x:v>2</x:v>
      </x:c>
      <x:c r="O168" s="18" t="n">
        <x:v>0</x:v>
      </x:c>
      <x:c r="P168" s="18" t="n">
        <x:v>2</x:v>
      </x:c>
      <x:c r="Q168" s="18" t="n">
        <x:v>0</x:v>
      </x:c>
      <x:c r="R168" s="18" t="n">
        <x:f>SUM(N168:P168)</x:f>
        <x:v>4</x:v>
      </x:c>
      <x:c r="S168" s="30" t="str">
        <x:f>IF(AND(N168=2,P168=2,R168&gt;=5),"핵심사례",IF(R168&gt;=3,"보조사례","경계사례"))</x:f>
        <x:v>보조사례</x:v>
      </x:c>
    </x:row>
    <x:row r="169" ht="45" customHeight="1">
      <x:c r="A169" s="29" t="str">
        <x:v>KR-X012</x:v>
      </x:c>
      <x:c r="B169" s="29" t="str">
        <x:v>EV0064</x:v>
      </x:c>
      <x:c r="C169" s="29" t="str">
        <x:v>2023</x:v>
      </x:c>
      <x:c r="D169" s="29" t="str">
        <x:v>생활·건강</x:v>
      </x:c>
      <x:c r="E169" s="29" t="str">
        <x:v>빈대 공포 확산</x:v>
      </x:c>
      <x:c r="F169" s="29" t="str">
        <x:v>경남제약 (053950)</x:v>
      </x:c>
      <x:c r="G169" s="29" t="str">
        <x:v>KOSDAQ</x:v>
      </x:c>
      <x:c r="H169" s="28" t="str">
        <x:v>상승</x:v>
      </x:c>
      <x:c r="I169" s="29" t="str">
        <x:v>한 주 39.2% 상승</x:v>
      </x:c>
      <x:c r="J169" s="29" t="str">
        <x:v>제품·판매</x:v>
      </x:c>
      <x:c r="K169" s="29" t="str"/>
      <x:c r="L169" s="29" t="str">
        <x:v>모기·진드기 기피제 판매 증가</x:v>
      </x:c>
      <x:c r="M169" s="29" t="str">
        <x:v>S124</x:v>
      </x:c>
      <x:c r="N169" s="29" t="n">
        <x:v>2</x:v>
      </x:c>
      <x:c r="O169" s="29" t="n">
        <x:v>2</x:v>
      </x:c>
      <x:c r="P169" s="29" t="n">
        <x:v>2</x:v>
      </x:c>
      <x:c r="Q169" s="29" t="n">
        <x:v>0</x:v>
      </x:c>
      <x:c r="R169" s="29" t="n">
        <x:f>SUM(N169:P169)</x:f>
        <x:v>6</x:v>
      </x:c>
      <x:c r="S169" s="28" t="str">
        <x:f>IF(AND(N169=2,P169=2,R169&gt;=5),"핵심사례",IF(R169&gt;=3,"보조사례","경계사례"))</x:f>
        <x:v>핵심사례</x:v>
      </x:c>
    </x:row>
    <x:row r="170" ht="45" customHeight="1">
      <x:c r="A170" s="18" t="str">
        <x:v>KR-X013</x:v>
      </x:c>
      <x:c r="B170" s="18" t="str">
        <x:v>EV0064</x:v>
      </x:c>
      <x:c r="C170" s="18" t="str">
        <x:v>2023</x:v>
      </x:c>
      <x:c r="D170" s="18" t="str">
        <x:v>생활·건강</x:v>
      </x:c>
      <x:c r="E170" s="18" t="str">
        <x:v>빈대 공포 확산</x:v>
      </x:c>
      <x:c r="F170" s="18" t="str">
        <x:v>동성제약 (002210)</x:v>
      </x:c>
      <x:c r="G170" s="18" t="str">
        <x:v>KOSPI</x:v>
      </x:c>
      <x:c r="H170" s="28" t="str">
        <x:v>상승</x:v>
      </x:c>
      <x:c r="I170" s="18" t="str">
        <x:v>한 주 16.2% 상승</x:v>
      </x:c>
      <x:c r="J170" s="18" t="str">
        <x:v>제품·판매</x:v>
      </x:c>
      <x:c r="K170" s="18" t="str"/>
      <x:c r="L170" s="18" t="str">
        <x:v>살충제 판매가 평시 대비 크게 증가</x:v>
      </x:c>
      <x:c r="M170" s="18" t="str">
        <x:v>S124</x:v>
      </x:c>
      <x:c r="N170" s="18" t="n">
        <x:v>2</x:v>
      </x:c>
      <x:c r="O170" s="18" t="n">
        <x:v>2</x:v>
      </x:c>
      <x:c r="P170" s="18" t="n">
        <x:v>2</x:v>
      </x:c>
      <x:c r="Q170" s="18" t="n">
        <x:v>0</x:v>
      </x:c>
      <x:c r="R170" s="18" t="n">
        <x:f>SUM(N170:P170)</x:f>
        <x:v>6</x:v>
      </x:c>
      <x:c r="S170" s="28" t="str">
        <x:f>IF(AND(N170=2,P170=2,R170&gt;=5),"핵심사례",IF(R170&gt;=3,"보조사례","경계사례"))</x:f>
        <x:v>핵심사례</x:v>
      </x:c>
    </x:row>
    <x:row r="171" ht="45" customHeight="1">
      <x:c r="A171" s="29" t="str">
        <x:v>KR-X014</x:v>
      </x:c>
      <x:c r="B171" s="29" t="str">
        <x:v>EV0032</x:v>
      </x:c>
      <x:c r="C171" s="29" t="str">
        <x:v>2020</x:v>
      </x:c>
      <x:c r="D171" s="29" t="str">
        <x:v>시장현상</x:v>
      </x:c>
      <x:c r="E171" s="29" t="str">
        <x:v>2020 우선주 광풍</x:v>
      </x:c>
      <x:c r="F171" s="29" t="str">
        <x:v>삼성중공업우</x:v>
      </x:c>
      <x:c r="G171" s="29" t="str">
        <x:v>KOSPI</x:v>
      </x:c>
      <x:c r="H171" s="28" t="str">
        <x:v>상승</x:v>
      </x:c>
      <x:c r="I171" s="29" t="str">
        <x:v>10연속 상한가·약 13.7배</x:v>
      </x:c>
      <x:c r="J171" s="29" t="str">
        <x:v>수급·테마</x:v>
      </x:c>
      <x:c r="K171" s="29" t="str"/>
      <x:c r="L171" s="29" t="str">
        <x:v>실적보다 저유통·추종매수 영향</x:v>
      </x:c>
      <x:c r="M171" s="29" t="str">
        <x:v>S125;S126</x:v>
      </x:c>
      <x:c r="N171" s="29" t="n">
        <x:v>2</x:v>
      </x:c>
      <x:c r="O171" s="29" t="n">
        <x:v>0</x:v>
      </x:c>
      <x:c r="P171" s="29" t="n">
        <x:v>2</x:v>
      </x:c>
      <x:c r="Q171" s="29" t="n">
        <x:v>0</x:v>
      </x:c>
      <x:c r="R171" s="29" t="n">
        <x:f>SUM(N171:P171)</x:f>
        <x:v>4</x:v>
      </x:c>
      <x:c r="S171" s="30" t="str">
        <x:f>IF(AND(N171=2,P171=2,R171&gt;=5),"핵심사례",IF(R171&gt;=3,"보조사례","경계사례"))</x:f>
        <x:v>보조사례</x:v>
      </x:c>
    </x:row>
    <x:row r="172" ht="45" customHeight="1">
      <x:c r="A172" s="18" t="str">
        <x:v>KR-X015</x:v>
      </x:c>
      <x:c r="B172" s="18" t="str">
        <x:v>EV0032</x:v>
      </x:c>
      <x:c r="C172" s="18" t="str">
        <x:v>2020</x:v>
      </x:c>
      <x:c r="D172" s="18" t="str">
        <x:v>시장현상</x:v>
      </x:c>
      <x:c r="E172" s="18" t="str">
        <x:v>2020 우선주 광풍</x:v>
      </x:c>
      <x:c r="F172" s="18" t="str">
        <x:v>한화우</x:v>
      </x:c>
      <x:c r="G172" s="18" t="str">
        <x:v>KOSPI</x:v>
      </x:c>
      <x:c r="H172" s="28" t="str">
        <x:v>상승</x:v>
      </x:c>
      <x:c r="I172" s="18" t="str">
        <x:v>상한가</x:v>
      </x:c>
      <x:c r="J172" s="18" t="str">
        <x:v>수급·테마</x:v>
      </x:c>
      <x:c r="K172" s="18" t="str"/>
      <x:c r="L172" s="18" t="str">
        <x:v>실적보다 저유통·추종매수 영향</x:v>
      </x:c>
      <x:c r="M172" s="18" t="str">
        <x:v>S125;S126</x:v>
      </x:c>
      <x:c r="N172" s="18" t="n">
        <x:v>2</x:v>
      </x:c>
      <x:c r="O172" s="18" t="n">
        <x:v>0</x:v>
      </x:c>
      <x:c r="P172" s="18" t="n">
        <x:v>2</x:v>
      </x:c>
      <x:c r="Q172" s="18" t="n">
        <x:v>0</x:v>
      </x:c>
      <x:c r="R172" s="18" t="n">
        <x:f>SUM(N172:P172)</x:f>
        <x:v>4</x:v>
      </x:c>
      <x:c r="S172" s="30" t="str">
        <x:f>IF(AND(N172=2,P172=2,R172&gt;=5),"핵심사례",IF(R172&gt;=3,"보조사례","경계사례"))</x:f>
        <x:v>보조사례</x:v>
      </x:c>
    </x:row>
    <x:row r="173" ht="45" customHeight="1">
      <x:c r="A173" s="29" t="str">
        <x:v>KR-X016</x:v>
      </x:c>
      <x:c r="B173" s="29" t="str">
        <x:v>EV0032</x:v>
      </x:c>
      <x:c r="C173" s="29" t="str">
        <x:v>2020</x:v>
      </x:c>
      <x:c r="D173" s="29" t="str">
        <x:v>시장현상</x:v>
      </x:c>
      <x:c r="E173" s="29" t="str">
        <x:v>2020 우선주 광풍</x:v>
      </x:c>
      <x:c r="F173" s="29" t="str">
        <x:v>한화투자증권우</x:v>
      </x:c>
      <x:c r="G173" s="29" t="str">
        <x:v>KOSPI</x:v>
      </x:c>
      <x:c r="H173" s="28" t="str">
        <x:v>상승</x:v>
      </x:c>
      <x:c r="I173" s="29" t="str">
        <x:v>상한가</x:v>
      </x:c>
      <x:c r="J173" s="29" t="str">
        <x:v>수급·테마</x:v>
      </x:c>
      <x:c r="K173" s="29" t="str"/>
      <x:c r="L173" s="29" t="str">
        <x:v>실적보다 저유통·추종매수 영향</x:v>
      </x:c>
      <x:c r="M173" s="29" t="str">
        <x:v>S125;S126</x:v>
      </x:c>
      <x:c r="N173" s="29" t="n">
        <x:v>2</x:v>
      </x:c>
      <x:c r="O173" s="29" t="n">
        <x:v>0</x:v>
      </x:c>
      <x:c r="P173" s="29" t="n">
        <x:v>2</x:v>
      </x:c>
      <x:c r="Q173" s="29" t="n">
        <x:v>0</x:v>
      </x:c>
      <x:c r="R173" s="29" t="n">
        <x:f>SUM(N173:P173)</x:f>
        <x:v>4</x:v>
      </x:c>
      <x:c r="S173" s="30" t="str">
        <x:f>IF(AND(N173=2,P173=2,R173&gt;=5),"핵심사례",IF(R173&gt;=3,"보조사례","경계사례"))</x:f>
        <x:v>보조사례</x:v>
      </x:c>
    </x:row>
    <x:row r="174" ht="45" customHeight="1">
      <x:c r="A174" s="18" t="str">
        <x:v>KR-X017</x:v>
      </x:c>
      <x:c r="B174" s="18" t="str">
        <x:v>EV0032</x:v>
      </x:c>
      <x:c r="C174" s="18" t="str">
        <x:v>2020</x:v>
      </x:c>
      <x:c r="D174" s="18" t="str">
        <x:v>시장현상</x:v>
      </x:c>
      <x:c r="E174" s="18" t="str">
        <x:v>2020 우선주 광풍</x:v>
      </x:c>
      <x:c r="F174" s="18" t="str">
        <x:v>일양약품우</x:v>
      </x:c>
      <x:c r="G174" s="18" t="str">
        <x:v>KOSPI</x:v>
      </x:c>
      <x:c r="H174" s="28" t="str">
        <x:v>상승</x:v>
      </x:c>
      <x:c r="I174" s="18" t="str">
        <x:v>상한가</x:v>
      </x:c>
      <x:c r="J174" s="18" t="str">
        <x:v>수급·테마</x:v>
      </x:c>
      <x:c r="K174" s="18" t="str"/>
      <x:c r="L174" s="18" t="str">
        <x:v>실적보다 저유통·추종매수 영향</x:v>
      </x:c>
      <x:c r="M174" s="18" t="str">
        <x:v>S125;S126</x:v>
      </x:c>
      <x:c r="N174" s="18" t="n">
        <x:v>2</x:v>
      </x:c>
      <x:c r="O174" s="18" t="n">
        <x:v>0</x:v>
      </x:c>
      <x:c r="P174" s="18" t="n">
        <x:v>2</x:v>
      </x:c>
      <x:c r="Q174" s="18" t="n">
        <x:v>0</x:v>
      </x:c>
      <x:c r="R174" s="18" t="n">
        <x:f>SUM(N174:P174)</x:f>
        <x:v>4</x:v>
      </x:c>
      <x:c r="S174" s="30" t="str">
        <x:f>IF(AND(N174=2,P174=2,R174&gt;=5),"핵심사례",IF(R174&gt;=3,"보조사례","경계사례"))</x:f>
        <x:v>보조사례</x:v>
      </x:c>
    </x:row>
    <x:row r="175" ht="45" customHeight="1">
      <x:c r="A175" s="29" t="str">
        <x:v>KR-X018</x:v>
      </x:c>
      <x:c r="B175" s="29" t="str">
        <x:v>EV0032</x:v>
      </x:c>
      <x:c r="C175" s="29" t="str">
        <x:v>2020</x:v>
      </x:c>
      <x:c r="D175" s="29" t="str">
        <x:v>시장현상</x:v>
      </x:c>
      <x:c r="E175" s="29" t="str">
        <x:v>2020 우선주 광풍</x:v>
      </x:c>
      <x:c r="F175" s="29" t="str">
        <x:v>두산2우B</x:v>
      </x:c>
      <x:c r="G175" s="29" t="str">
        <x:v>KOSPI</x:v>
      </x:c>
      <x:c r="H175" s="28" t="str">
        <x:v>상승</x:v>
      </x:c>
      <x:c r="I175" s="29" t="str">
        <x:v>상한가</x:v>
      </x:c>
      <x:c r="J175" s="29" t="str">
        <x:v>수급·테마</x:v>
      </x:c>
      <x:c r="K175" s="29" t="str"/>
      <x:c r="L175" s="29" t="str">
        <x:v>실적보다 저유통·추종매수 영향</x:v>
      </x:c>
      <x:c r="M175" s="29" t="str">
        <x:v>S125;S126</x:v>
      </x:c>
      <x:c r="N175" s="29" t="n">
        <x:v>2</x:v>
      </x:c>
      <x:c r="O175" s="29" t="n">
        <x:v>0</x:v>
      </x:c>
      <x:c r="P175" s="29" t="n">
        <x:v>2</x:v>
      </x:c>
      <x:c r="Q175" s="29" t="n">
        <x:v>0</x:v>
      </x:c>
      <x:c r="R175" s="29" t="n">
        <x:f>SUM(N175:P175)</x:f>
        <x:v>4</x:v>
      </x:c>
      <x:c r="S175" s="30" t="str">
        <x:f>IF(AND(N175=2,P175=2,R175&gt;=5),"핵심사례",IF(R175&gt;=3,"보조사례","경계사례"))</x:f>
        <x:v>보조사례</x:v>
      </x:c>
    </x:row>
    <x:row r="176" ht="45" customHeight="1">
      <x:c r="A176" s="18" t="str">
        <x:v>KR-X019</x:v>
      </x:c>
      <x:c r="B176" s="18" t="str">
        <x:v>EV0032</x:v>
      </x:c>
      <x:c r="C176" s="18" t="str">
        <x:v>2020</x:v>
      </x:c>
      <x:c r="D176" s="18" t="str">
        <x:v>시장현상</x:v>
      </x:c>
      <x:c r="E176" s="18" t="str">
        <x:v>2020 우선주 광풍</x:v>
      </x:c>
      <x:c r="F176" s="18" t="str">
        <x:v>넥센우</x:v>
      </x:c>
      <x:c r="G176" s="18" t="str">
        <x:v>KOSPI</x:v>
      </x:c>
      <x:c r="H176" s="28" t="str">
        <x:v>상승</x:v>
      </x:c>
      <x:c r="I176" s="18" t="str">
        <x:v>상한가</x:v>
      </x:c>
      <x:c r="J176" s="18" t="str">
        <x:v>수급·테마</x:v>
      </x:c>
      <x:c r="K176" s="18" t="str"/>
      <x:c r="L176" s="18" t="str">
        <x:v>실적보다 저유통·추종매수 영향</x:v>
      </x:c>
      <x:c r="M176" s="18" t="str">
        <x:v>S125;S126</x:v>
      </x:c>
      <x:c r="N176" s="18" t="n">
        <x:v>2</x:v>
      </x:c>
      <x:c r="O176" s="18" t="n">
        <x:v>0</x:v>
      </x:c>
      <x:c r="P176" s="18" t="n">
        <x:v>2</x:v>
      </x:c>
      <x:c r="Q176" s="18" t="n">
        <x:v>0</x:v>
      </x:c>
      <x:c r="R176" s="18" t="n">
        <x:f>SUM(N176:P176)</x:f>
        <x:v>4</x:v>
      </x:c>
      <x:c r="S176" s="30" t="str">
        <x:f>IF(AND(N176=2,P176=2,R176&gt;=5),"핵심사례",IF(R176&gt;=3,"보조사례","경계사례"))</x:f>
        <x:v>보조사례</x:v>
      </x:c>
    </x:row>
    <x:row r="177" ht="45" customHeight="1">
      <x:c r="A177" s="29" t="str">
        <x:v>KR-X020</x:v>
      </x:c>
      <x:c r="B177" s="29" t="str">
        <x:v>EV0032</x:v>
      </x:c>
      <x:c r="C177" s="29" t="str">
        <x:v>2020</x:v>
      </x:c>
      <x:c r="D177" s="29" t="str">
        <x:v>시장현상</x:v>
      </x:c>
      <x:c r="E177" s="29" t="str">
        <x:v>2020 우선주 광풍</x:v>
      </x:c>
      <x:c r="F177" s="29" t="str">
        <x:v>남양유업우</x:v>
      </x:c>
      <x:c r="G177" s="29" t="str">
        <x:v>KOSPI</x:v>
      </x:c>
      <x:c r="H177" s="28" t="str">
        <x:v>상승</x:v>
      </x:c>
      <x:c r="I177" s="29" t="str">
        <x:v>상한가</x:v>
      </x:c>
      <x:c r="J177" s="29" t="str">
        <x:v>수급·테마</x:v>
      </x:c>
      <x:c r="K177" s="29" t="str"/>
      <x:c r="L177" s="29" t="str">
        <x:v>실적보다 저유통·추종매수 영향</x:v>
      </x:c>
      <x:c r="M177" s="29" t="str">
        <x:v>S125;S126</x:v>
      </x:c>
      <x:c r="N177" s="29" t="n">
        <x:v>2</x:v>
      </x:c>
      <x:c r="O177" s="29" t="n">
        <x:v>0</x:v>
      </x:c>
      <x:c r="P177" s="29" t="n">
        <x:v>2</x:v>
      </x:c>
      <x:c r="Q177" s="29" t="n">
        <x:v>0</x:v>
      </x:c>
      <x:c r="R177" s="29" t="n">
        <x:f>SUM(N177:P177)</x:f>
        <x:v>4</x:v>
      </x:c>
      <x:c r="S177" s="30" t="str">
        <x:f>IF(AND(N177=2,P177=2,R177&gt;=5),"핵심사례",IF(R177&gt;=3,"보조사례","경계사례"))</x:f>
        <x:v>보조사례</x:v>
      </x:c>
    </x:row>
    <x:row r="178" ht="45" customHeight="1">
      <x:c r="A178" s="18" t="str">
        <x:v>KR-X021</x:v>
      </x:c>
      <x:c r="B178" s="18" t="str">
        <x:v>EV0070</x:v>
      </x:c>
      <x:c r="C178" s="18" t="str">
        <x:v>2023</x:v>
      </x:c>
      <x:c r="D178" s="18" t="str">
        <x:v>식품·소비</x:v>
      </x:c>
      <x:c r="E178" s="18" t="str">
        <x:v>후쿠시마 오염수·천일염 사재기</x:v>
      </x:c>
      <x:c r="F178" s="18" t="str">
        <x:v>인산가 (277410)</x:v>
      </x:c>
      <x:c r="G178" s="18" t="str">
        <x:v>KOSDAQ</x:v>
      </x:c>
      <x:c r="H178" s="30" t="str">
        <x:v>급등→급락</x:v>
      </x:c>
      <x:c r="I178" s="18" t="str">
        <x:v>방류 우려에 급등 뒤 급락</x:v>
      </x:c>
      <x:c r="J178" s="18" t="str">
        <x:v>제품·테마</x:v>
      </x:c>
      <x:c r="K178" s="18" t="str"/>
      <x:c r="L178" s="18" t="str">
        <x:v>죽염 사업은 연결되나 사재기 지속성은 별도 검증</x:v>
      </x:c>
      <x:c r="M178" s="18" t="str">
        <x:v>S127</x:v>
      </x:c>
      <x:c r="N178" s="18" t="n">
        <x:v>2</x:v>
      </x:c>
      <x:c r="O178" s="18" t="n">
        <x:v>1</x:v>
      </x:c>
      <x:c r="P178" s="18" t="n">
        <x:v>1</x:v>
      </x:c>
      <x:c r="Q178" s="18" t="n">
        <x:v>1</x:v>
      </x:c>
      <x:c r="R178" s="18" t="n">
        <x:f>SUM(N178:P178)</x:f>
        <x:v>4</x:v>
      </x:c>
      <x:c r="S178" s="30" t="str">
        <x:f>IF(AND(N178=2,P178=2,R178&gt;=5),"핵심사례",IF(R178&gt;=3,"보조사례","경계사례"))</x:f>
        <x:v>보조사례</x:v>
      </x:c>
    </x:row>
    <x:row r="179" ht="45" customHeight="1">
      <x:c r="A179" s="29" t="str">
        <x:v>KR-X022</x:v>
      </x:c>
      <x:c r="B179" s="29" t="str">
        <x:v>EV0070</x:v>
      </x:c>
      <x:c r="C179" s="29" t="str">
        <x:v>2023</x:v>
      </x:c>
      <x:c r="D179" s="29" t="str">
        <x:v>식품·소비</x:v>
      </x:c>
      <x:c r="E179" s="29" t="str">
        <x:v>후쿠시마 오염수·천일염 사재기</x:v>
      </x:c>
      <x:c r="F179" s="29" t="str">
        <x:v>신송홀딩스 (006880)</x:v>
      </x:c>
      <x:c r="G179" s="29" t="str">
        <x:v>KOSPI</x:v>
      </x:c>
      <x:c r="H179" s="30" t="str">
        <x:v>급등→급락</x:v>
      </x:c>
      <x:c r="I179" s="29" t="str">
        <x:v>소금 테마 급등 뒤 급락</x:v>
      </x:c>
      <x:c r="J179" s="29" t="str">
        <x:v>간접·테마</x:v>
      </x:c>
      <x:c r="K179" s="29" t="str"/>
      <x:c r="L179" s="29" t="str">
        <x:v>실제 소금 수혜 규모보다 테마 영향 큼</x:v>
      </x:c>
      <x:c r="M179" s="29" t="str">
        <x:v>S127</x:v>
      </x:c>
      <x:c r="N179" s="29" t="n">
        <x:v>2</x:v>
      </x:c>
      <x:c r="O179" s="29" t="n">
        <x:v>0</x:v>
      </x:c>
      <x:c r="P179" s="29" t="n">
        <x:v>1</x:v>
      </x:c>
      <x:c r="Q179" s="29" t="n">
        <x:v>1</x:v>
      </x:c>
      <x:c r="R179" s="29" t="n">
        <x:f>SUM(N179:P179)</x:f>
        <x:v>3</x:v>
      </x:c>
      <x:c r="S179" s="30" t="str">
        <x:f>IF(AND(N179=2,P179=2,R179&gt;=5),"핵심사례",IF(R179&gt;=3,"보조사례","경계사례"))</x:f>
        <x:v>보조사례</x:v>
      </x:c>
    </x:row>
    <x:row r="180" ht="45" customHeight="1">
      <x:c r="A180" s="18" t="str">
        <x:v>KR-X023</x:v>
      </x:c>
      <x:c r="B180" s="18" t="str">
        <x:v>EV0049</x:v>
      </x:c>
      <x:c r="C180" s="18" t="str">
        <x:v>2022</x:v>
      </x:c>
      <x:c r="D180" s="18" t="str">
        <x:v>게임·커뮤니티</x:v>
      </x:c>
      <x:c r="E180" s="18" t="str">
        <x:v>우마무스메 이용자 마차 시위</x:v>
      </x:c>
      <x:c r="F180" s="18" t="str">
        <x:v>카카오게임즈 (293490)</x:v>
      </x:c>
      <x:c r="G180" s="18" t="str">
        <x:v>KOSDAQ</x:v>
      </x:c>
      <x:c r="H180" s="31" t="str">
        <x:v>하락</x:v>
      </x:c>
      <x:c r="I180" s="18" t="str">
        <x:v>열흘 약 13% 하락·간담회 날 장중 5.97% 하락</x:v>
      </x:c>
      <x:c r="J180" s="18" t="str">
        <x:v>직접 서비스</x:v>
      </x:c>
      <x:c r="K180" s="18" t="str"/>
      <x:c r="L180" s="18" t="str">
        <x:v>이용자 신뢰·운영 리스크가 직접 연결</x:v>
      </x:c>
      <x:c r="M180" s="18" t="str">
        <x:v>S128;S129</x:v>
      </x:c>
      <x:c r="N180" s="18" t="n">
        <x:v>2</x:v>
      </x:c>
      <x:c r="O180" s="18" t="n">
        <x:v>2</x:v>
      </x:c>
      <x:c r="P180" s="18" t="n">
        <x:v>2</x:v>
      </x:c>
      <x:c r="Q180" s="18" t="n">
        <x:v>1</x:v>
      </x:c>
      <x:c r="R180" s="18" t="n">
        <x:f>SUM(N180:P180)</x:f>
        <x:v>6</x:v>
      </x:c>
      <x:c r="S180" s="28" t="str">
        <x:f>IF(AND(N180=2,P180=2,R180&gt;=5),"핵심사례",IF(R180&gt;=3,"보조사례","경계사례"))</x:f>
        <x:v>핵심사례</x:v>
      </x:c>
    </x:row>
    <x:row r="181" ht="45" customHeight="1">
      <x:c r="A181" s="29" t="str">
        <x:v>KR-X024</x:v>
      </x:c>
      <x:c r="B181" s="29" t="str">
        <x:v>EV0077</x:v>
      </x:c>
      <x:c r="C181" s="29" t="str">
        <x:v>2024</x:v>
      </x:c>
      <x:c r="D181" s="29" t="str">
        <x:v>콘텐츠·팬덤</x:v>
      </x:c>
      <x:c r="E181" s="29" t="str">
        <x:v>하이브-어도어·민희진 갈등</x:v>
      </x:c>
      <x:c r="F181" s="29" t="str">
        <x:v>하이브 (352820)</x:v>
      </x:c>
      <x:c r="G181" s="29" t="str">
        <x:v>KOSPI</x:v>
      </x:c>
      <x:c r="H181" s="30" t="str">
        <x:v>급락→반등</x:v>
      </x:c>
      <x:c r="I181" s="29" t="str">
        <x:v>감사 보도일 7.81% 하락·화해 제안 뒤 장중 반등</x:v>
      </x:c>
      <x:c r="J181" s="29" t="str">
        <x:v>직접 관계</x:v>
      </x:c>
      <x:c r="K181" s="29" t="str"/>
      <x:c r="L181" s="29" t="str">
        <x:v>자회사·핵심 아티스트 관련 갈등</x:v>
      </x:c>
      <x:c r="M181" s="29" t="str">
        <x:v>S130;S131</x:v>
      </x:c>
      <x:c r="N181" s="29" t="n">
        <x:v>2</x:v>
      </x:c>
      <x:c r="O181" s="29" t="n">
        <x:v>2</x:v>
      </x:c>
      <x:c r="P181" s="29" t="n">
        <x:v>2</x:v>
      </x:c>
      <x:c r="Q181" s="29" t="n">
        <x:v>1</x:v>
      </x:c>
      <x:c r="R181" s="29" t="n">
        <x:f>SUM(N181:P181)</x:f>
        <x:v>6</x:v>
      </x:c>
      <x:c r="S181" s="28" t="str">
        <x:f>IF(AND(N181=2,P181=2,R181&gt;=5),"핵심사례",IF(R181&gt;=3,"보조사례","경계사례"))</x:f>
        <x:v>핵심사례</x:v>
      </x:c>
    </x:row>
    <x:row r="182" ht="45" customHeight="1">
      <x:c r="A182" s="18" t="str">
        <x:v>KR-X025</x:v>
      </x:c>
      <x:c r="B182" s="18" t="str">
        <x:v>EV0048</x:v>
      </x:c>
      <x:c r="C182" s="18" t="str">
        <x:v>2021</x:v>
      </x:c>
      <x:c r="D182" s="18" t="str">
        <x:v>생활·유통</x:v>
      </x:c>
      <x:c r="E182" s="18" t="str">
        <x:v>GS25 손가락 포스터 논란</x:v>
      </x:c>
      <x:c r="F182" s="18" t="str">
        <x:v>GS리테일 (007070)</x:v>
      </x:c>
      <x:c r="G182" s="18" t="str">
        <x:v>KOSPI</x:v>
      </x:c>
      <x:c r="H182" s="31" t="str">
        <x:v>하락</x:v>
      </x:c>
      <x:c r="I182" s="18" t="str">
        <x:v>5거래일 연속 하락·당일 3.35% 하락</x:v>
      </x:c>
      <x:c r="J182" s="18" t="str">
        <x:v>직접 브랜드</x:v>
      </x:c>
      <x:c r="K182" s="18" t="str"/>
      <x:c r="L182" s="18" t="str">
        <x:v>GS25 브랜드 불매와 직접 연결</x:v>
      </x:c>
      <x:c r="M182" s="18" t="str">
        <x:v>S132;S133</x:v>
      </x:c>
      <x:c r="N182" s="18" t="n">
        <x:v>2</x:v>
      </x:c>
      <x:c r="O182" s="18" t="n">
        <x:v>2</x:v>
      </x:c>
      <x:c r="P182" s="18" t="n">
        <x:v>2</x:v>
      </x:c>
      <x:c r="Q182" s="18" t="n">
        <x:v>1</x:v>
      </x:c>
      <x:c r="R182" s="18" t="n">
        <x:f>SUM(N182:P182)</x:f>
        <x:v>6</x:v>
      </x:c>
      <x:c r="S182" s="28" t="str">
        <x:f>IF(AND(N182=2,P182=2,R182&gt;=5),"핵심사례",IF(R182&gt;=3,"보조사례","경계사례"))</x:f>
        <x:v>핵심사례</x:v>
      </x:c>
    </x:row>
    <x:row r="183" ht="45" customHeight="1">
      <x:c r="A183" s="29" t="str">
        <x:v>KR-X026</x:v>
      </x:c>
      <x:c r="B183" s="29" t="str">
        <x:v>EV0057</x:v>
      </x:c>
      <x:c r="C183" s="29" t="str">
        <x:v>2022</x:v>
      </x:c>
      <x:c r="D183" s="29" t="str">
        <x:v>식품·소비</x:v>
      </x:c>
      <x:c r="E183" s="29" t="str">
        <x:v>SPC 공장 사고 불매운동</x:v>
      </x:c>
      <x:c r="F183" s="29" t="str">
        <x:v>SPC삼립 (005610)</x:v>
      </x:c>
      <x:c r="G183" s="29" t="str">
        <x:v>KOSPI</x:v>
      </x:c>
      <x:c r="H183" s="31" t="str">
        <x:v>하락</x:v>
      </x:c>
      <x:c r="I183" s="29" t="str">
        <x:v>4.3% 하락</x:v>
      </x:c>
      <x:c r="J183" s="29" t="str">
        <x:v>그룹·브랜드</x:v>
      </x:c>
      <x:c r="K183" s="29" t="str"/>
      <x:c r="L183" s="29" t="str">
        <x:v>SPC 계열 브랜드 불매의 상장사 연결</x:v>
      </x:c>
      <x:c r="M183" s="29" t="str">
        <x:v>S134</x:v>
      </x:c>
      <x:c r="N183" s="29" t="n">
        <x:v>2</x:v>
      </x:c>
      <x:c r="O183" s="29" t="n">
        <x:v>2</x:v>
      </x:c>
      <x:c r="P183" s="29" t="n">
        <x:v>2</x:v>
      </x:c>
      <x:c r="Q183" s="29" t="n">
        <x:v>1</x:v>
      </x:c>
      <x:c r="R183" s="29" t="n">
        <x:f>SUM(N183:P183)</x:f>
        <x:v>6</x:v>
      </x:c>
      <x:c r="S183" s="28" t="str">
        <x:f>IF(AND(N183=2,P183=2,R183&gt;=5),"핵심사례",IF(R183&gt;=3,"보조사례","경계사례"))</x:f>
        <x:v>핵심사례</x:v>
      </x:c>
    </x:row>
    <x:row r="184" ht="45" customHeight="1">
      <x:c r="A184" s="18" t="str">
        <x:v>KR-X027</x:v>
      </x:c>
      <x:c r="B184" s="18" t="str">
        <x:v>EV0043</x:v>
      </x:c>
      <x:c r="C184" s="18" t="str">
        <x:v>2021</x:v>
      </x:c>
      <x:c r="D184" s="18" t="str">
        <x:v>식품·건강</x:v>
      </x:c>
      <x:c r="E184" s="18" t="str">
        <x:v>불가리스 코로나 억제 주장</x:v>
      </x:c>
      <x:c r="F184" s="18" t="str">
        <x:v>남양유업 (003920)</x:v>
      </x:c>
      <x:c r="G184" s="18" t="str">
        <x:v>KOSPI</x:v>
      </x:c>
      <x:c r="H184" s="30" t="str">
        <x:v>급등→급락</x:v>
      </x:c>
      <x:c r="I184" s="18" t="str">
        <x:v>장중 상한가 뒤 다음날 5%대 하락</x:v>
      </x:c>
      <x:c r="J184" s="18" t="str">
        <x:v>직접 제품</x:v>
      </x:c>
      <x:c r="K184" s="18" t="str"/>
      <x:c r="L184" s="18" t="str">
        <x:v>기업 발표 자체가 발화점이나 검증 실패</x:v>
      </x:c>
      <x:c r="M184" s="18" t="str">
        <x:v>S135;S136</x:v>
      </x:c>
      <x:c r="N184" s="18" t="n">
        <x:v>2</x:v>
      </x:c>
      <x:c r="O184" s="18" t="n">
        <x:v>2</x:v>
      </x:c>
      <x:c r="P184" s="18" t="n">
        <x:v>2</x:v>
      </x:c>
      <x:c r="Q184" s="18" t="n">
        <x:v>0</x:v>
      </x:c>
      <x:c r="R184" s="18" t="n">
        <x:f>SUM(N184:P184)</x:f>
        <x:v>6</x:v>
      </x:c>
      <x:c r="S184" s="28" t="str">
        <x:f>IF(AND(N184=2,P184=2,R184&gt;=5),"핵심사례",IF(R184&gt;=3,"보조사례","경계사례"))</x:f>
        <x:v>핵심사례</x:v>
      </x:c>
    </x:row>
    <x:row r="185" ht="45" customHeight="1">
      <x:c r="A185" s="29" t="str">
        <x:v>KR-X028</x:v>
      </x:c>
      <x:c r="B185" s="29" t="str">
        <x:v>EV0083</x:v>
      </x:c>
      <x:c r="C185" s="29" t="str">
        <x:v>2025</x:v>
      </x:c>
      <x:c r="D185" s="29" t="str">
        <x:v>식품·소비</x:v>
      </x:c>
      <x:c r="E185" s="29" t="str">
        <x:v>빽햄 가격 논란</x:v>
      </x:c>
      <x:c r="F185" s="29" t="str">
        <x:v>더본코리아 (475560)</x:v>
      </x:c>
      <x:c r="G185" s="29" t="str">
        <x:v>KOSPI</x:v>
      </x:c>
      <x:c r="H185" s="31" t="str">
        <x:v>하락</x:v>
      </x:c>
      <x:c r="I185" s="29" t="str">
        <x:v>논란·해명 과정에서 약세 보도</x:v>
      </x:c>
      <x:c r="J185" s="29" t="str">
        <x:v>직접 브랜드</x:v>
      </x:c>
      <x:c r="K185" s="29" t="str"/>
      <x:c r="L185" s="29" t="str">
        <x:v>정확한 이벤트 구간 수익률은 추가 보강 필요</x:v>
      </x:c>
      <x:c r="M185" s="29" t="str">
        <x:v>S137</x:v>
      </x:c>
      <x:c r="N185" s="29" t="n">
        <x:v>2</x:v>
      </x:c>
      <x:c r="O185" s="29" t="n">
        <x:v>2</x:v>
      </x:c>
      <x:c r="P185" s="29" t="n">
        <x:v>1</x:v>
      </x:c>
      <x:c r="Q185" s="29" t="n">
        <x:v>1</x:v>
      </x:c>
      <x:c r="R185" s="29" t="n">
        <x:f>SUM(N185:P185)</x:f>
        <x:v>5</x:v>
      </x:c>
      <x:c r="S185" s="30" t="str">
        <x:f>IF(AND(N185=2,P185=2,R185&gt;=5),"핵심사례",IF(R185&gt;=3,"보조사례","경계사례"))</x:f>
        <x:v>보조사례</x:v>
      </x:c>
    </x:row>
    <x:row r="186" ht="45" customHeight="1">
      <x:c r="A186" s="18" t="str">
        <x:v>KR-X029</x:v>
      </x:c>
      <x:c r="B186" s="18" t="str">
        <x:v>EV0055</x:v>
      </x:c>
      <x:c r="C186" s="18" t="str">
        <x:v>2022</x:v>
      </x:c>
      <x:c r="D186" s="18" t="str">
        <x:v>콘텐츠·팬덤</x:v>
      </x:c>
      <x:c r="E186" s="18" t="str">
        <x:v>BTS 단체활동 중단 발언</x:v>
      </x:c>
      <x:c r="F186" s="18" t="str">
        <x:v>하이브 (352820)</x:v>
      </x:c>
      <x:c r="G186" s="18" t="str">
        <x:v>KOSPI</x:v>
      </x:c>
      <x:c r="H186" s="31" t="str">
        <x:v>하락</x:v>
      </x:c>
      <x:c r="I186" s="18" t="str">
        <x:v>하루 21% 급락</x:v>
      </x:c>
      <x:c r="J186" s="18" t="str">
        <x:v>직접 아티스트</x:v>
      </x:c>
      <x:c r="K186" s="18" t="str"/>
      <x:c r="L186" s="18" t="str">
        <x:v>핵심 아티스트 활동 불확실성</x:v>
      </x:c>
      <x:c r="M186" s="18" t="str">
        <x:v>S138</x:v>
      </x:c>
      <x:c r="N186" s="18" t="n">
        <x:v>2</x:v>
      </x:c>
      <x:c r="O186" s="18" t="n">
        <x:v>2</x:v>
      </x:c>
      <x:c r="P186" s="18" t="n">
        <x:v>2</x:v>
      </x:c>
      <x:c r="Q186" s="18" t="n">
        <x:v>1</x:v>
      </x:c>
      <x:c r="R186" s="18" t="n">
        <x:f>SUM(N186:P186)</x:f>
        <x:v>6</x:v>
      </x:c>
      <x:c r="S186" s="28" t="str">
        <x:f>IF(AND(N186=2,P186=2,R186&gt;=5),"핵심사례",IF(R186&gt;=3,"보조사례","경계사례"))</x:f>
        <x:v>핵심사례</x:v>
      </x:c>
    </x:row>
    <x:row r="187" ht="45" customHeight="1">
      <x:c r="A187" s="29" t="str">
        <x:v>KR-X030</x:v>
      </x:c>
      <x:c r="B187" s="29" t="str">
        <x:v>EV0056</x:v>
      </x:c>
      <x:c r="C187" s="29" t="str">
        <x:v>2022</x:v>
      </x:c>
      <x:c r="D187" s="29" t="str">
        <x:v>콘텐츠·팬덤</x:v>
      </x:c>
      <x:c r="E187" s="29" t="str">
        <x:v>BTS 입대 발표·불확실성 완화</x:v>
      </x:c>
      <x:c r="F187" s="29" t="str">
        <x:v>하이브 (352820)</x:v>
      </x:c>
      <x:c r="G187" s="29" t="str">
        <x:v>KOSPI</x:v>
      </x:c>
      <x:c r="H187" s="28" t="str">
        <x:v>상승</x:v>
      </x:c>
      <x:c r="I187" s="29" t="str">
        <x:v>5.22% 상승</x:v>
      </x:c>
      <x:c r="J187" s="29" t="str">
        <x:v>직접 아티스트</x:v>
      </x:c>
      <x:c r="K187" s="29" t="str"/>
      <x:c r="L187" s="29" t="str">
        <x:v>장기 병역 불확실성 해소 해석</x:v>
      </x:c>
      <x:c r="M187" s="29" t="str">
        <x:v>S139</x:v>
      </x:c>
      <x:c r="N187" s="29" t="n">
        <x:v>2</x:v>
      </x:c>
      <x:c r="O187" s="29" t="n">
        <x:v>2</x:v>
      </x:c>
      <x:c r="P187" s="29" t="n">
        <x:v>2</x:v>
      </x:c>
      <x:c r="Q187" s="29" t="n">
        <x:v>1</x:v>
      </x:c>
      <x:c r="R187" s="29" t="n">
        <x:f>SUM(N187:P187)</x:f>
        <x:v>6</x:v>
      </x:c>
      <x:c r="S187" s="28" t="str">
        <x:f>IF(AND(N187=2,P187=2,R187&gt;=5),"핵심사례",IF(R187&gt;=3,"보조사례","경계사례"))</x:f>
        <x:v>핵심사례</x:v>
      </x:c>
    </x:row>
    <x:row r="188" ht="45" customHeight="1">
      <x:c r="A188" s="18" t="str">
        <x:v>KR-X031</x:v>
      </x:c>
      <x:c r="B188" s="18" t="str">
        <x:v>EV0028</x:v>
      </x:c>
      <x:c r="C188" s="18" t="str">
        <x:v>2019</x:v>
      </x:c>
      <x:c r="D188" s="18" t="str">
        <x:v>콘텐츠·팬덤</x:v>
      </x:c>
      <x:c r="E188" s="18" t="str">
        <x:v>버닝썬·승리 스캔들</x:v>
      </x:c>
      <x:c r="F188" s="18" t="str">
        <x:v>와이지엔터테인먼트 (122870)</x:v>
      </x:c>
      <x:c r="G188" s="18" t="str">
        <x:v>KOSDAQ</x:v>
      </x:c>
      <x:c r="H188" s="31" t="str">
        <x:v>하락</x:v>
      </x:c>
      <x:c r="I188" s="18" t="str">
        <x:v>하루 14%·한 달 19.38% 하락</x:v>
      </x:c>
      <x:c r="J188" s="18" t="str">
        <x:v>직접 아티스트</x:v>
      </x:c>
      <x:c r="K188" s="18" t="str"/>
      <x:c r="L188" s="18" t="str">
        <x:v>YG 외 종목은 직접 연결보다 투자심리 전염 성격</x:v>
      </x:c>
      <x:c r="M188" s="18" t="str">
        <x:v>S140</x:v>
      </x:c>
      <x:c r="N188" s="18" t="n">
        <x:v>2</x:v>
      </x:c>
      <x:c r="O188" s="18" t="n">
        <x:v>2</x:v>
      </x:c>
      <x:c r="P188" s="18" t="n">
        <x:v>2</x:v>
      </x:c>
      <x:c r="Q188" s="18" t="n">
        <x:v>1</x:v>
      </x:c>
      <x:c r="R188" s="18" t="n">
        <x:f>SUM(N188:P188)</x:f>
        <x:v>6</x:v>
      </x:c>
      <x:c r="S188" s="28" t="str">
        <x:f>IF(AND(N188=2,P188=2,R188&gt;=5),"핵심사례",IF(R188&gt;=3,"보조사례","경계사례"))</x:f>
        <x:v>핵심사례</x:v>
      </x:c>
    </x:row>
    <x:row r="189" ht="45" customHeight="1">
      <x:c r="A189" s="29" t="str">
        <x:v>KR-X032</x:v>
      </x:c>
      <x:c r="B189" s="29" t="str">
        <x:v>EV0028</x:v>
      </x:c>
      <x:c r="C189" s="29" t="str">
        <x:v>2019</x:v>
      </x:c>
      <x:c r="D189" s="29" t="str">
        <x:v>콘텐츠·팬덤</x:v>
      </x:c>
      <x:c r="E189" s="29" t="str">
        <x:v>버닝썬·승리 스캔들</x:v>
      </x:c>
      <x:c r="F189" s="29" t="str">
        <x:v>JYP Ent. (035900)</x:v>
      </x:c>
      <x:c r="G189" s="29" t="str">
        <x:v>KOSDAQ</x:v>
      </x:c>
      <x:c r="H189" s="31" t="str">
        <x:v>하락</x:v>
      </x:c>
      <x:c r="I189" s="29" t="str">
        <x:v>업종 전염 구간 5.54% 하락</x:v>
      </x:c>
      <x:c r="J189" s="29" t="str">
        <x:v>업종 전염</x:v>
      </x:c>
      <x:c r="K189" s="29" t="str"/>
      <x:c r="L189" s="29" t="str">
        <x:v>YG 외 종목은 직접 연결보다 투자심리 전염 성격</x:v>
      </x:c>
      <x:c r="M189" s="29" t="str">
        <x:v>S140</x:v>
      </x:c>
      <x:c r="N189" s="29" t="n">
        <x:v>2</x:v>
      </x:c>
      <x:c r="O189" s="29" t="n">
        <x:v>0</x:v>
      </x:c>
      <x:c r="P189" s="29" t="n">
        <x:v>2</x:v>
      </x:c>
      <x:c r="Q189" s="29" t="n">
        <x:v>1</x:v>
      </x:c>
      <x:c r="R189" s="29" t="n">
        <x:f>SUM(N189:P189)</x:f>
        <x:v>4</x:v>
      </x:c>
      <x:c r="S189" s="30" t="str">
        <x:f>IF(AND(N189=2,P189=2,R189&gt;=5),"핵심사례",IF(R189&gt;=3,"보조사례","경계사례"))</x:f>
        <x:v>보조사례</x:v>
      </x:c>
    </x:row>
    <x:row r="190" ht="45" customHeight="1">
      <x:c r="A190" s="18" t="str">
        <x:v>KR-X033</x:v>
      </x:c>
      <x:c r="B190" s="18" t="str">
        <x:v>EV0028</x:v>
      </x:c>
      <x:c r="C190" s="18" t="str">
        <x:v>2019</x:v>
      </x:c>
      <x:c r="D190" s="18" t="str">
        <x:v>콘텐츠·팬덤</x:v>
      </x:c>
      <x:c r="E190" s="18" t="str">
        <x:v>버닝썬·승리 스캔들</x:v>
      </x:c>
      <x:c r="F190" s="18" t="str">
        <x:v>에스엠 (041510)</x:v>
      </x:c>
      <x:c r="G190" s="18" t="str">
        <x:v>KOSDAQ</x:v>
      </x:c>
      <x:c r="H190" s="31" t="str">
        <x:v>하락</x:v>
      </x:c>
      <x:c r="I190" s="18" t="str">
        <x:v>업종 불신과 실적 요인이 겹쳐 하락</x:v>
      </x:c>
      <x:c r="J190" s="18" t="str">
        <x:v>업종 전염</x:v>
      </x:c>
      <x:c r="K190" s="18" t="str"/>
      <x:c r="L190" s="18" t="str">
        <x:v>YG 외 종목은 직접 연결보다 투자심리 전염 성격</x:v>
      </x:c>
      <x:c r="M190" s="18" t="str">
        <x:v>S140</x:v>
      </x:c>
      <x:c r="N190" s="18" t="n">
        <x:v>2</x:v>
      </x:c>
      <x:c r="O190" s="18" t="n">
        <x:v>0</x:v>
      </x:c>
      <x:c r="P190" s="18" t="n">
        <x:v>2</x:v>
      </x:c>
      <x:c r="Q190" s="18" t="n">
        <x:v>1</x:v>
      </x:c>
      <x:c r="R190" s="18" t="n">
        <x:f>SUM(N190:P190)</x:f>
        <x:v>4</x:v>
      </x:c>
      <x:c r="S190" s="30" t="str">
        <x:f>IF(AND(N190=2,P190=2,R190&gt;=5),"핵심사례",IF(R190&gt;=3,"보조사례","경계사례"))</x:f>
        <x:v>보조사례</x:v>
      </x:c>
    </x:row>
    <x:row r="191" ht="45" customHeight="1">
      <x:c r="A191" s="29" t="str">
        <x:v>KR-X034</x:v>
      </x:c>
      <x:c r="B191" s="29" t="str">
        <x:v>EV0028</x:v>
      </x:c>
      <x:c r="C191" s="29" t="str">
        <x:v>2019</x:v>
      </x:c>
      <x:c r="D191" s="29" t="str">
        <x:v>콘텐츠·팬덤</x:v>
      </x:c>
      <x:c r="E191" s="29" t="str">
        <x:v>버닝썬·승리 스캔들</x:v>
      </x:c>
      <x:c r="F191" s="29" t="str">
        <x:v>큐브엔터 (182360)</x:v>
      </x:c>
      <x:c r="G191" s="29" t="str">
        <x:v>KOSDAQ</x:v>
      </x:c>
      <x:c r="H191" s="31" t="str">
        <x:v>하락</x:v>
      </x:c>
      <x:c r="I191" s="29" t="str">
        <x:v>엔터 업종 동반 약세</x:v>
      </x:c>
      <x:c r="J191" s="29" t="str">
        <x:v>업종 전염</x:v>
      </x:c>
      <x:c r="K191" s="29" t="str"/>
      <x:c r="L191" s="29" t="str">
        <x:v>YG 외 종목은 직접 연결보다 투자심리 전염 성격</x:v>
      </x:c>
      <x:c r="M191" s="29" t="str">
        <x:v>S140</x:v>
      </x:c>
      <x:c r="N191" s="29" t="n">
        <x:v>2</x:v>
      </x:c>
      <x:c r="O191" s="29" t="n">
        <x:v>0</x:v>
      </x:c>
      <x:c r="P191" s="29" t="n">
        <x:v>1</x:v>
      </x:c>
      <x:c r="Q191" s="29" t="n">
        <x:v>1</x:v>
      </x:c>
      <x:c r="R191" s="29" t="n">
        <x:f>SUM(N191:P191)</x:f>
        <x:v>3</x:v>
      </x:c>
      <x:c r="S191" s="30" t="str">
        <x:f>IF(AND(N191=2,P191=2,R191&gt;=5),"핵심사례",IF(R191&gt;=3,"보조사례","경계사례"))</x:f>
        <x:v>보조사례</x:v>
      </x:c>
    </x:row>
    <x:row r="192" ht="45" customHeight="1">
      <x:c r="A192" s="18" t="str">
        <x:v>KR-X035</x:v>
      </x:c>
      <x:c r="B192" s="18" t="str">
        <x:v>EV0028</x:v>
      </x:c>
      <x:c r="C192" s="18" t="str">
        <x:v>2019</x:v>
      </x:c>
      <x:c r="D192" s="18" t="str">
        <x:v>콘텐츠·팬덤</x:v>
      </x:c>
      <x:c r="E192" s="18" t="str">
        <x:v>버닝썬·승리 스캔들</x:v>
      </x:c>
      <x:c r="F192" s="18" t="str">
        <x:v>FNC엔터 (173940)</x:v>
      </x:c>
      <x:c r="G192" s="18" t="str">
        <x:v>KOSDAQ</x:v>
      </x:c>
      <x:c r="H192" s="31" t="str">
        <x:v>하락</x:v>
      </x:c>
      <x:c r="I192" s="18" t="str">
        <x:v>엔터 업종 동반 약세</x:v>
      </x:c>
      <x:c r="J192" s="18" t="str">
        <x:v>업종 전염</x:v>
      </x:c>
      <x:c r="K192" s="18" t="str"/>
      <x:c r="L192" s="18" t="str">
        <x:v>YG 외 종목은 직접 연결보다 투자심리 전염 성격</x:v>
      </x:c>
      <x:c r="M192" s="18" t="str">
        <x:v>S140</x:v>
      </x:c>
      <x:c r="N192" s="18" t="n">
        <x:v>2</x:v>
      </x:c>
      <x:c r="O192" s="18" t="n">
        <x:v>0</x:v>
      </x:c>
      <x:c r="P192" s="18" t="n">
        <x:v>1</x:v>
      </x:c>
      <x:c r="Q192" s="18" t="n">
        <x:v>1</x:v>
      </x:c>
      <x:c r="R192" s="18" t="n">
        <x:f>SUM(N192:P192)</x:f>
        <x:v>3</x:v>
      </x:c>
      <x:c r="S192" s="30" t="str">
        <x:f>IF(AND(N192=2,P192=2,R192&gt;=5),"핵심사례",IF(R192&gt;=3,"보조사례","경계사례"))</x:f>
        <x:v>보조사례</x:v>
      </x:c>
    </x:row>
    <x:row r="193" ht="45" customHeight="1">
      <x:c r="A193" s="29" t="str">
        <x:v>KR-X036</x:v>
      </x:c>
      <x:c r="B193" s="29" t="str">
        <x:v>EV0063</x:v>
      </x:c>
      <x:c r="C193" s="29" t="str">
        <x:v>2023</x:v>
      </x:c>
      <x:c r="D193" s="29" t="str">
        <x:v>콘텐츠·팬덤</x:v>
      </x:c>
      <x:c r="E193" s="29" t="str">
        <x:v>블랙핑크 재계약 불확실성→확정</x:v>
      </x:c>
      <x:c r="F193" s="29" t="str">
        <x:v>와이지엔터테인먼트 (122870)</x:v>
      </x:c>
      <x:c r="G193" s="29" t="str">
        <x:v>KOSDAQ</x:v>
      </x:c>
      <x:c r="H193" s="30" t="str">
        <x:v>하락→상승</x:v>
      </x:c>
      <x:c r="I193" s="29" t="str">
        <x:v>한 달 24.28% 하락 뒤 확정일 장중 22% 상승</x:v>
      </x:c>
      <x:c r="J193" s="29" t="str">
        <x:v>직접 아티스트</x:v>
      </x:c>
      <x:c r="K193" s="29" t="str"/>
      <x:c r="L193" s="29" t="str">
        <x:v>핵심 IP 계약 여부와 직접 연결</x:v>
      </x:c>
      <x:c r="M193" s="29" t="str">
        <x:v>S141;S142</x:v>
      </x:c>
      <x:c r="N193" s="29" t="n">
        <x:v>2</x:v>
      </x:c>
      <x:c r="O193" s="29" t="n">
        <x:v>2</x:v>
      </x:c>
      <x:c r="P193" s="29" t="n">
        <x:v>2</x:v>
      </x:c>
      <x:c r="Q193" s="29" t="n">
        <x:v>1</x:v>
      </x:c>
      <x:c r="R193" s="29" t="n">
        <x:f>SUM(N193:P193)</x:f>
        <x:v>6</x:v>
      </x:c>
      <x:c r="S193" s="28" t="str">
        <x:f>IF(AND(N193=2,P193=2,R193&gt;=5),"핵심사례",IF(R193&gt;=3,"보조사례","경계사례"))</x:f>
        <x:v>핵심사례</x:v>
      </x:c>
    </x:row>
    <x:row r="194" ht="45" customHeight="1">
      <x:c r="A194" s="18" t="str">
        <x:v>KR-X037</x:v>
      </x:c>
      <x:c r="B194" s="18" t="str">
        <x:v>EV0074</x:v>
      </x:c>
      <x:c r="C194" s="18" t="str">
        <x:v>2024</x:v>
      </x:c>
      <x:c r="D194" s="18" t="str">
        <x:v>키즈·콘텐츠</x:v>
      </x:c>
      <x:c r="E194" s="18" t="str">
        <x:v>사랑의 하츄핑 신드롬</x:v>
      </x:c>
      <x:c r="F194" s="18" t="str">
        <x:v>SAMG엔터 (419530)</x:v>
      </x:c>
      <x:c r="G194" s="18" t="str">
        <x:v>KOSDAQ</x:v>
      </x:c>
      <x:c r="H194" s="28" t="str">
        <x:v>상승</x:v>
      </x:c>
      <x:c r="I194" s="18" t="str">
        <x:v>100만 관객 기대 구간 연일 급등</x:v>
      </x:c>
      <x:c r="J194" s="18" t="str">
        <x:v>직접 IP</x:v>
      </x:c>
      <x:c r="K194" s="18" t="str"/>
      <x:c r="L194" s="18" t="str">
        <x:v>제작사·IP 보유사 직접 연결</x:v>
      </x:c>
      <x:c r="M194" s="18" t="str">
        <x:v>S143</x:v>
      </x:c>
      <x:c r="N194" s="18" t="n">
        <x:v>2</x:v>
      </x:c>
      <x:c r="O194" s="18" t="n">
        <x:v>2</x:v>
      </x:c>
      <x:c r="P194" s="18" t="n">
        <x:v>1</x:v>
      </x:c>
      <x:c r="Q194" s="18" t="n">
        <x:v>1</x:v>
      </x:c>
      <x:c r="R194" s="18" t="n">
        <x:f>SUM(N194:P194)</x:f>
        <x:v>5</x:v>
      </x:c>
      <x:c r="S194" s="30" t="str">
        <x:f>IF(AND(N194=2,P194=2,R194&gt;=5),"핵심사례",IF(R194&gt;=3,"보조사례","경계사례"))</x:f>
        <x:v>보조사례</x:v>
      </x:c>
    </x:row>
    <x:row r="195" ht="45" customHeight="1">
      <x:c r="A195" s="29" t="str">
        <x:v>KR-X038</x:v>
      </x:c>
      <x:c r="B195" s="29" t="str">
        <x:v>EV0076</x:v>
      </x:c>
      <x:c r="C195" s="29" t="str">
        <x:v>2024</x:v>
      </x:c>
      <x:c r="D195" s="29" t="str">
        <x:v>영화·콘텐츠</x:v>
      </x:c>
      <x:c r="E195" s="29" t="str">
        <x:v>파묘 천만 흥행</x:v>
      </x:c>
      <x:c r="F195" s="29" t="str">
        <x:v>쇼박스 (086980)</x:v>
      </x:c>
      <x:c r="G195" s="29" t="str">
        <x:v>KOSDAQ</x:v>
      </x:c>
      <x:c r="H195" s="28" t="str">
        <x:v>상승</x:v>
      </x:c>
      <x:c r="I195" s="29" t="str">
        <x:v>개봉 1주일 만에 1년 신고가 4,545원</x:v>
      </x:c>
      <x:c r="J195" s="29" t="str">
        <x:v>배급·투자</x:v>
      </x:c>
      <x:c r="K195" s="29" t="str"/>
      <x:c r="L195" s="29" t="str">
        <x:v>배급사 직접 연결</x:v>
      </x:c>
      <x:c r="M195" s="29" t="str">
        <x:v>S144</x:v>
      </x:c>
      <x:c r="N195" s="29" t="n">
        <x:v>2</x:v>
      </x:c>
      <x:c r="O195" s="29" t="n">
        <x:v>2</x:v>
      </x:c>
      <x:c r="P195" s="29" t="n">
        <x:v>2</x:v>
      </x:c>
      <x:c r="Q195" s="29" t="n">
        <x:v>1</x:v>
      </x:c>
      <x:c r="R195" s="29" t="n">
        <x:f>SUM(N195:P195)</x:f>
        <x:v>6</x:v>
      </x:c>
      <x:c r="S195" s="28" t="str">
        <x:f>IF(AND(N195=2,P195=2,R195&gt;=5),"핵심사례",IF(R195&gt;=3,"보조사례","경계사례"))</x:f>
        <x:v>핵심사례</x:v>
      </x:c>
    </x:row>
    <x:row r="196" ht="45" customHeight="1">
      <x:c r="A196" s="18" t="str">
        <x:v>KR-X039</x:v>
      </x:c>
      <x:c r="B196" s="18" t="str">
        <x:v>EV0076</x:v>
      </x:c>
      <x:c r="C196" s="18" t="str">
        <x:v>2024</x:v>
      </x:c>
      <x:c r="D196" s="18" t="str">
        <x:v>영화·콘텐츠</x:v>
      </x:c>
      <x:c r="E196" s="18" t="str">
        <x:v>파묘 천만 흥행</x:v>
      </x:c>
      <x:c r="F196" s="18" t="str">
        <x:v>CJ CGV (079160)</x:v>
      </x:c>
      <x:c r="G196" s="18" t="str">
        <x:v>KOSPI</x:v>
      </x:c>
      <x:c r="H196" s="28" t="str">
        <x:v>상승</x:v>
      </x:c>
      <x:c r="I196" s="18" t="str">
        <x:v>극장주 동반 강세 보도</x:v>
      </x:c>
      <x:c r="J196" s="18" t="str">
        <x:v>상영·유통</x:v>
      </x:c>
      <x:c r="K196" s="18" t="str"/>
      <x:c r="L196" s="18" t="str">
        <x:v>전체 박스오피스 회복 요인과 중첩</x:v>
      </x:c>
      <x:c r="M196" s="18" t="str">
        <x:v>S144</x:v>
      </x:c>
      <x:c r="N196" s="18" t="n">
        <x:v>2</x:v>
      </x:c>
      <x:c r="O196" s="18" t="n">
        <x:v>1</x:v>
      </x:c>
      <x:c r="P196" s="18" t="n">
        <x:v>1</x:v>
      </x:c>
      <x:c r="Q196" s="18" t="n">
        <x:v>2</x:v>
      </x:c>
      <x:c r="R196" s="18" t="n">
        <x:f>SUM(N196:P196)</x:f>
        <x:v>4</x:v>
      </x:c>
      <x:c r="S196" s="30" t="str">
        <x:f>IF(AND(N196=2,P196=2,R196&gt;=5),"핵심사례",IF(R196&gt;=3,"보조사례","경계사례"))</x:f>
        <x:v>보조사례</x:v>
      </x:c>
    </x:row>
    <x:row r="197" ht="45" customHeight="1">
      <x:c r="A197" s="29" t="str">
        <x:v>KR-X040</x:v>
      </x:c>
      <x:c r="B197" s="29" t="str">
        <x:v>EV0022</x:v>
      </x:c>
      <x:c r="C197" s="29" t="str">
        <x:v>2016</x:v>
      </x:c>
      <x:c r="D197" s="29" t="str">
        <x:v>드라마·한류</x:v>
      </x:c>
      <x:c r="E197" s="29" t="str">
        <x:v>태양의 후예 신드롬</x:v>
      </x:c>
      <x:c r="F197" s="29" t="str">
        <x:v>NEW (160550)</x:v>
      </x:c>
      <x:c r="G197" s="29" t="str">
        <x:v>KOSDAQ</x:v>
      </x:c>
      <x:c r="H197" s="28" t="str">
        <x:v>상승</x:v>
      </x:c>
      <x:c r="I197" s="29" t="str">
        <x:v>첫 방송 뒤 48.34% 상승</x:v>
      </x:c>
      <x:c r="J197" s="29" t="str">
        <x:v>제작·투자</x:v>
      </x:c>
      <x:c r="K197" s="29" t="str"/>
      <x:c r="L197" s="29" t="str">
        <x:v>제작사 직접 연결</x:v>
      </x:c>
      <x:c r="M197" s="29" t="str">
        <x:v>S145</x:v>
      </x:c>
      <x:c r="N197" s="29" t="n">
        <x:v>2</x:v>
      </x:c>
      <x:c r="O197" s="29" t="n">
        <x:v>2</x:v>
      </x:c>
      <x:c r="P197" s="29" t="n">
        <x:v>2</x:v>
      </x:c>
      <x:c r="Q197" s="29" t="n">
        <x:v>1</x:v>
      </x:c>
      <x:c r="R197" s="29" t="n">
        <x:f>SUM(N197:P197)</x:f>
        <x:v>6</x:v>
      </x:c>
      <x:c r="S197" s="28" t="str">
        <x:f>IF(AND(N197=2,P197=2,R197&gt;=5),"핵심사례",IF(R197&gt;=3,"보조사례","경계사례"))</x:f>
        <x:v>핵심사례</x:v>
      </x:c>
    </x:row>
    <x:row r="198" ht="45" customHeight="1">
      <x:c r="A198" s="18" t="str">
        <x:v>KR-X041</x:v>
      </x:c>
      <x:c r="B198" s="18" t="str">
        <x:v>EV0018</x:v>
      </x:c>
      <x:c r="C198" s="18" t="str">
        <x:v>2015</x:v>
      </x:c>
      <x:c r="D198" s="18" t="str">
        <x:v>생활·건강</x:v>
      </x:c>
      <x:c r="E198" s="18" t="str">
        <x:v>메르스 공포·마스크 사재기</x:v>
      </x:c>
      <x:c r="F198" s="18" t="str">
        <x:v>케이엠 (083550)</x:v>
      </x:c>
      <x:c r="G198" s="18" t="str">
        <x:v>KOSDAQ</x:v>
      </x:c>
      <x:c r="H198" s="28" t="str">
        <x:v>상승</x:v>
      </x:c>
      <x:c r="I198" s="18" t="str">
        <x:v>발생 전 대비 48.53% 상승</x:v>
      </x:c>
      <x:c r="J198" s="18" t="str">
        <x:v>마스크</x:v>
      </x:c>
      <x:c r="K198" s="18" t="str"/>
      <x:c r="L198" s="18" t="str">
        <x:v>공포에 따른 소비·이동 변화와 직접 또는 인접 연결</x:v>
      </x:c>
      <x:c r="M198" s="18" t="str">
        <x:v>S146;S147</x:v>
      </x:c>
      <x:c r="N198" s="18" t="n">
        <x:v>2</x:v>
      </x:c>
      <x:c r="O198" s="18" t="n">
        <x:v>1</x:v>
      </x:c>
      <x:c r="P198" s="18" t="n">
        <x:v>2</x:v>
      </x:c>
      <x:c r="Q198" s="18" t="n">
        <x:v>1</x:v>
      </x:c>
      <x:c r="R198" s="18" t="n">
        <x:f>SUM(N198:P198)</x:f>
        <x:v>5</x:v>
      </x:c>
      <x:c r="S198" s="28" t="str">
        <x:f>IF(AND(N198=2,P198=2,R198&gt;=5),"핵심사례",IF(R198&gt;=3,"보조사례","경계사례"))</x:f>
        <x:v>핵심사례</x:v>
      </x:c>
    </x:row>
    <x:row r="199" ht="45" customHeight="1">
      <x:c r="A199" s="29" t="str">
        <x:v>KR-X042</x:v>
      </x:c>
      <x:c r="B199" s="29" t="str">
        <x:v>EV0018</x:v>
      </x:c>
      <x:c r="C199" s="29" t="str">
        <x:v>2015</x:v>
      </x:c>
      <x:c r="D199" s="29" t="str">
        <x:v>생활·건강</x:v>
      </x:c>
      <x:c r="E199" s="29" t="str">
        <x:v>메르스 공포·마스크 사재기</x:v>
      </x:c>
      <x:c r="F199" s="29" t="str">
        <x:v>오공 (045060)</x:v>
      </x:c>
      <x:c r="G199" s="29" t="str">
        <x:v>KOSDAQ</x:v>
      </x:c>
      <x:c r="H199" s="28" t="str">
        <x:v>상승</x:v>
      </x:c>
      <x:c r="I199" s="29" t="str">
        <x:v>43.65% 상승</x:v>
      </x:c>
      <x:c r="J199" s="29" t="str">
        <x:v>마스크·접착제</x:v>
      </x:c>
      <x:c r="K199" s="29" t="str"/>
      <x:c r="L199" s="29" t="str">
        <x:v>공포에 따른 소비·이동 변화와 직접 또는 인접 연결</x:v>
      </x:c>
      <x:c r="M199" s="29" t="str">
        <x:v>S146;S147</x:v>
      </x:c>
      <x:c r="N199" s="29" t="n">
        <x:v>2</x:v>
      </x:c>
      <x:c r="O199" s="29" t="n">
        <x:v>1</x:v>
      </x:c>
      <x:c r="P199" s="29" t="n">
        <x:v>2</x:v>
      </x:c>
      <x:c r="Q199" s="29" t="n">
        <x:v>1</x:v>
      </x:c>
      <x:c r="R199" s="29" t="n">
        <x:f>SUM(N199:P199)</x:f>
        <x:v>5</x:v>
      </x:c>
      <x:c r="S199" s="28" t="str">
        <x:f>IF(AND(N199=2,P199=2,R199&gt;=5),"핵심사례",IF(R199&gt;=3,"보조사례","경계사례"))</x:f>
        <x:v>핵심사례</x:v>
      </x:c>
    </x:row>
    <x:row r="200" ht="45" customHeight="1">
      <x:c r="A200" s="18" t="str">
        <x:v>KR-X043</x:v>
      </x:c>
      <x:c r="B200" s="18" t="str">
        <x:v>EV0018</x:v>
      </x:c>
      <x:c r="C200" s="18" t="str">
        <x:v>2015</x:v>
      </x:c>
      <x:c r="D200" s="18" t="str">
        <x:v>생활·건강</x:v>
      </x:c>
      <x:c r="E200" s="18" t="str">
        <x:v>메르스 공포·마스크 사재기</x:v>
      </x:c>
      <x:c r="F200" s="18" t="str">
        <x:v>파루 (043200)</x:v>
      </x:c>
      <x:c r="G200" s="18" t="str">
        <x:v>KOSDAQ</x:v>
      </x:c>
      <x:c r="H200" s="28" t="str">
        <x:v>상승</x:v>
      </x:c>
      <x:c r="I200" s="18" t="str">
        <x:v>27.29% 상승</x:v>
      </x:c>
      <x:c r="J200" s="18" t="str">
        <x:v>손세정·방역</x:v>
      </x:c>
      <x:c r="K200" s="18" t="str"/>
      <x:c r="L200" s="18" t="str">
        <x:v>공포에 따른 소비·이동 변화와 직접 또는 인접 연결</x:v>
      </x:c>
      <x:c r="M200" s="18" t="str">
        <x:v>S146;S147</x:v>
      </x:c>
      <x:c r="N200" s="18" t="n">
        <x:v>2</x:v>
      </x:c>
      <x:c r="O200" s="18" t="n">
        <x:v>1</x:v>
      </x:c>
      <x:c r="P200" s="18" t="n">
        <x:v>2</x:v>
      </x:c>
      <x:c r="Q200" s="18" t="n">
        <x:v>1</x:v>
      </x:c>
      <x:c r="R200" s="18" t="n">
        <x:f>SUM(N200:P200)</x:f>
        <x:v>5</x:v>
      </x:c>
      <x:c r="S200" s="28" t="str">
        <x:f>IF(AND(N200=2,P200=2,R200&gt;=5),"핵심사례",IF(R200&gt;=3,"보조사례","경계사례"))</x:f>
        <x:v>핵심사례</x:v>
      </x:c>
    </x:row>
    <x:row r="201" ht="45" customHeight="1">
      <x:c r="A201" s="29" t="str">
        <x:v>KR-X044</x:v>
      </x:c>
      <x:c r="B201" s="29" t="str">
        <x:v>EV0018</x:v>
      </x:c>
      <x:c r="C201" s="29" t="str">
        <x:v>2015</x:v>
      </x:c>
      <x:c r="D201" s="29" t="str">
        <x:v>생활·건강</x:v>
      </x:c>
      <x:c r="E201" s="29" t="str">
        <x:v>메르스 공포·마스크 사재기</x:v>
      </x:c>
      <x:c r="F201" s="29" t="str">
        <x:v>하나투어 (039130)</x:v>
      </x:c>
      <x:c r="G201" s="29" t="str">
        <x:v>KOSPI</x:v>
      </x:c>
      <x:c r="H201" s="31" t="str">
        <x:v>하락</x:v>
      </x:c>
      <x:c r="I201" s="29" t="str">
        <x:v>15.27% 하락</x:v>
      </x:c>
      <x:c r="J201" s="29" t="str">
        <x:v>여행</x:v>
      </x:c>
      <x:c r="K201" s="29" t="str"/>
      <x:c r="L201" s="29" t="str">
        <x:v>공포에 따른 소비·이동 변화와 직접 또는 인접 연결</x:v>
      </x:c>
      <x:c r="M201" s="29" t="str">
        <x:v>S146;S147</x:v>
      </x:c>
      <x:c r="N201" s="29" t="n">
        <x:v>2</x:v>
      </x:c>
      <x:c r="O201" s="29" t="n">
        <x:v>1</x:v>
      </x:c>
      <x:c r="P201" s="29" t="n">
        <x:v>2</x:v>
      </x:c>
      <x:c r="Q201" s="29" t="n">
        <x:v>1</x:v>
      </x:c>
      <x:c r="R201" s="29" t="n">
        <x:f>SUM(N201:P201)</x:f>
        <x:v>5</x:v>
      </x:c>
      <x:c r="S201" s="28" t="str">
        <x:f>IF(AND(N201=2,P201=2,R201&gt;=5),"핵심사례",IF(R201&gt;=3,"보조사례","경계사례"))</x:f>
        <x:v>핵심사례</x:v>
      </x:c>
    </x:row>
    <x:row r="202" ht="45" customHeight="1">
      <x:c r="A202" s="18" t="str">
        <x:v>KR-X045</x:v>
      </x:c>
      <x:c r="B202" s="18" t="str">
        <x:v>EV0018</x:v>
      </x:c>
      <x:c r="C202" s="18" t="str">
        <x:v>2015</x:v>
      </x:c>
      <x:c r="D202" s="18" t="str">
        <x:v>생활·건강</x:v>
      </x:c>
      <x:c r="E202" s="18" t="str">
        <x:v>메르스 공포·마스크 사재기</x:v>
      </x:c>
      <x:c r="F202" s="18" t="str">
        <x:v>모두투어 (080160)</x:v>
      </x:c>
      <x:c r="G202" s="18" t="str">
        <x:v>KOSDAQ</x:v>
      </x:c>
      <x:c r="H202" s="31" t="str">
        <x:v>하락</x:v>
      </x:c>
      <x:c r="I202" s="18" t="str">
        <x:v>10.31% 하락</x:v>
      </x:c>
      <x:c r="J202" s="18" t="str">
        <x:v>여행</x:v>
      </x:c>
      <x:c r="K202" s="18" t="str"/>
      <x:c r="L202" s="18" t="str">
        <x:v>공포에 따른 소비·이동 변화와 직접 또는 인접 연결</x:v>
      </x:c>
      <x:c r="M202" s="18" t="str">
        <x:v>S146;S147</x:v>
      </x:c>
      <x:c r="N202" s="18" t="n">
        <x:v>2</x:v>
      </x:c>
      <x:c r="O202" s="18" t="n">
        <x:v>1</x:v>
      </x:c>
      <x:c r="P202" s="18" t="n">
        <x:v>2</x:v>
      </x:c>
      <x:c r="Q202" s="18" t="n">
        <x:v>1</x:v>
      </x:c>
      <x:c r="R202" s="18" t="n">
        <x:f>SUM(N202:P202)</x:f>
        <x:v>5</x:v>
      </x:c>
      <x:c r="S202" s="28" t="str">
        <x:f>IF(AND(N202=2,P202=2,R202&gt;=5),"핵심사례",IF(R202&gt;=3,"보조사례","경계사례"))</x:f>
        <x:v>핵심사례</x:v>
      </x:c>
    </x:row>
    <x:row r="203" ht="45" customHeight="1">
      <x:c r="A203" s="29" t="str">
        <x:v>KR-X046</x:v>
      </x:c>
      <x:c r="B203" s="29" t="str">
        <x:v>EV0018</x:v>
      </x:c>
      <x:c r="C203" s="29" t="str">
        <x:v>2015</x:v>
      </x:c>
      <x:c r="D203" s="29" t="str">
        <x:v>생활·건강</x:v>
      </x:c>
      <x:c r="E203" s="29" t="str">
        <x:v>메르스 공포·마스크 사재기</x:v>
      </x:c>
      <x:c r="F203" s="29" t="str">
        <x:v>세중 (039310)</x:v>
      </x:c>
      <x:c r="G203" s="29" t="str">
        <x:v>KOSDAQ</x:v>
      </x:c>
      <x:c r="H203" s="31" t="str">
        <x:v>하락</x:v>
      </x:c>
      <x:c r="I203" s="29" t="str">
        <x:v>7.74% 하락</x:v>
      </x:c>
      <x:c r="J203" s="29" t="str">
        <x:v>여행</x:v>
      </x:c>
      <x:c r="K203" s="29" t="str"/>
      <x:c r="L203" s="29" t="str">
        <x:v>공포에 따른 소비·이동 변화와 직접 또는 인접 연결</x:v>
      </x:c>
      <x:c r="M203" s="29" t="str">
        <x:v>S146;S147</x:v>
      </x:c>
      <x:c r="N203" s="29" t="n">
        <x:v>2</x:v>
      </x:c>
      <x:c r="O203" s="29" t="n">
        <x:v>1</x:v>
      </x:c>
      <x:c r="P203" s="29" t="n">
        <x:v>2</x:v>
      </x:c>
      <x:c r="Q203" s="29" t="n">
        <x:v>1</x:v>
      </x:c>
      <x:c r="R203" s="29" t="n">
        <x:f>SUM(N203:P203)</x:f>
        <x:v>5</x:v>
      </x:c>
      <x:c r="S203" s="28" t="str">
        <x:f>IF(AND(N203=2,P203=2,R203&gt;=5),"핵심사례",IF(R203&gt;=3,"보조사례","경계사례"))</x:f>
        <x:v>핵심사례</x:v>
      </x:c>
    </x:row>
    <x:row r="204" ht="45" customHeight="1">
      <x:c r="A204" s="18" t="str">
        <x:v>KR-X047</x:v>
      </x:c>
      <x:c r="B204" s="18" t="str">
        <x:v>EV0018</x:v>
      </x:c>
      <x:c r="C204" s="18" t="str">
        <x:v>2015</x:v>
      </x:c>
      <x:c r="D204" s="18" t="str">
        <x:v>생활·건강</x:v>
      </x:c>
      <x:c r="E204" s="18" t="str">
        <x:v>메르스 공포·마스크 사재기</x:v>
      </x:c>
      <x:c r="F204" s="18" t="str">
        <x:v>레드캡투어 (038390)</x:v>
      </x:c>
      <x:c r="G204" s="18" t="str">
        <x:v>KOSDAQ</x:v>
      </x:c>
      <x:c r="H204" s="31" t="str">
        <x:v>하락</x:v>
      </x:c>
      <x:c r="I204" s="18" t="str">
        <x:v>5.96% 하락</x:v>
      </x:c>
      <x:c r="J204" s="18" t="str">
        <x:v>여행</x:v>
      </x:c>
      <x:c r="K204" s="18" t="str"/>
      <x:c r="L204" s="18" t="str">
        <x:v>공포에 따른 소비·이동 변화와 직접 또는 인접 연결</x:v>
      </x:c>
      <x:c r="M204" s="18" t="str">
        <x:v>S146;S147</x:v>
      </x:c>
      <x:c r="N204" s="18" t="n">
        <x:v>2</x:v>
      </x:c>
      <x:c r="O204" s="18" t="n">
        <x:v>1</x:v>
      </x:c>
      <x:c r="P204" s="18" t="n">
        <x:v>2</x:v>
      </x:c>
      <x:c r="Q204" s="18" t="n">
        <x:v>1</x:v>
      </x:c>
      <x:c r="R204" s="18" t="n">
        <x:f>SUM(N204:P204)</x:f>
        <x:v>5</x:v>
      </x:c>
      <x:c r="S204" s="28" t="str">
        <x:f>IF(AND(N204=2,P204=2,R204&gt;=5),"핵심사례",IF(R204&gt;=3,"보조사례","경계사례"))</x:f>
        <x:v>핵심사례</x:v>
      </x:c>
    </x:row>
    <x:row r="205" ht="45" customHeight="1">
      <x:c r="A205" s="29" t="str">
        <x:v>KR-X048</x:v>
      </x:c>
      <x:c r="B205" s="29" t="str">
        <x:v>EV0029</x:v>
      </x:c>
      <x:c r="C205" s="29" t="str">
        <x:v>2019</x:v>
      </x:c>
      <x:c r="D205" s="29" t="str">
        <x:v>식품·축산</x:v>
      </x:c>
      <x:c r="E205" s="29" t="str">
        <x:v>아프리카돼지열병 국내 발생</x:v>
      </x:c>
      <x:c r="F205" s="29" t="str">
        <x:v>하림 (136480)</x:v>
      </x:c>
      <x:c r="G205" s="29" t="str">
        <x:v>KOSDAQ</x:v>
      </x:c>
      <x:c r="H205" s="28" t="str">
        <x:v>상승</x:v>
      </x:c>
      <x:c r="I205" s="29" t="str">
        <x:v>당일 상한가</x:v>
      </x:c>
      <x:c r="J205" s="29" t="str">
        <x:v>대체소비</x:v>
      </x:c>
      <x:c r="K205" s="29" t="str"/>
      <x:c r="L205" s="29" t="str">
        <x:v>돼지고기 대체재 기대</x:v>
      </x:c>
      <x:c r="M205" s="29" t="str">
        <x:v>S148</x:v>
      </x:c>
      <x:c r="N205" s="29" t="n">
        <x:v>2</x:v>
      </x:c>
      <x:c r="O205" s="29" t="n">
        <x:v>1</x:v>
      </x:c>
      <x:c r="P205" s="29" t="n">
        <x:v>2</x:v>
      </x:c>
      <x:c r="Q205" s="29" t="n">
        <x:v>1</x:v>
      </x:c>
      <x:c r="R205" s="29" t="n">
        <x:f>SUM(N205:P205)</x:f>
        <x:v>5</x:v>
      </x:c>
      <x:c r="S205" s="28" t="str">
        <x:f>IF(AND(N205=2,P205=2,R205&gt;=5),"핵심사례",IF(R205&gt;=3,"보조사례","경계사례"))</x:f>
        <x:v>핵심사례</x:v>
      </x:c>
    </x:row>
    <x:row r="206" ht="45" customHeight="1">
      <x:c r="A206" s="18" t="str">
        <x:v>KR-X049</x:v>
      </x:c>
      <x:c r="B206" s="18" t="str">
        <x:v>EV0029</x:v>
      </x:c>
      <x:c r="C206" s="18" t="str">
        <x:v>2019</x:v>
      </x:c>
      <x:c r="D206" s="18" t="str">
        <x:v>식품·축산</x:v>
      </x:c>
      <x:c r="E206" s="18" t="str">
        <x:v>아프리카돼지열병 국내 발생</x:v>
      </x:c>
      <x:c r="F206" s="18" t="str">
        <x:v>마니커 (027740)</x:v>
      </x:c>
      <x:c r="G206" s="18" t="str">
        <x:v>KOSPI</x:v>
      </x:c>
      <x:c r="H206" s="28" t="str">
        <x:v>상승</x:v>
      </x:c>
      <x:c r="I206" s="18" t="str">
        <x:v>당일 상한가</x:v>
      </x:c>
      <x:c r="J206" s="18" t="str">
        <x:v>대체소비</x:v>
      </x:c>
      <x:c r="K206" s="18" t="str"/>
      <x:c r="L206" s="18" t="str">
        <x:v>돼지고기 대체재 기대</x:v>
      </x:c>
      <x:c r="M206" s="18" t="str">
        <x:v>S148</x:v>
      </x:c>
      <x:c r="N206" s="18" t="n">
        <x:v>2</x:v>
      </x:c>
      <x:c r="O206" s="18" t="n">
        <x:v>1</x:v>
      </x:c>
      <x:c r="P206" s="18" t="n">
        <x:v>2</x:v>
      </x:c>
      <x:c r="Q206" s="18" t="n">
        <x:v>1</x:v>
      </x:c>
      <x:c r="R206" s="18" t="n">
        <x:f>SUM(N206:P206)</x:f>
        <x:v>5</x:v>
      </x:c>
      <x:c r="S206" s="28" t="str">
        <x:f>IF(AND(N206=2,P206=2,R206&gt;=5),"핵심사례",IF(R206&gt;=3,"보조사례","경계사례"))</x:f>
        <x:v>핵심사례</x:v>
      </x:c>
    </x:row>
    <x:row r="207" ht="45" customHeight="1">
      <x:c r="A207" s="29" t="str">
        <x:v>KR-X050</x:v>
      </x:c>
      <x:c r="B207" s="29" t="str">
        <x:v>EV0044</x:v>
      </x:c>
      <x:c r="C207" s="29" t="str">
        <x:v>2021</x:v>
      </x:c>
      <x:c r="D207" s="29" t="str">
        <x:v>자동차·테크</x:v>
      </x:c>
      <x:c r="E207" s="29" t="str">
        <x:v>애플카-현대차 협력설→중단</x:v>
      </x:c>
      <x:c r="F207" s="29" t="str">
        <x:v>현대차 (005380)</x:v>
      </x:c>
      <x:c r="G207" s="29" t="str">
        <x:v>KOSPI</x:v>
      </x:c>
      <x:c r="H207" s="30" t="str">
        <x:v>급등→급락</x:v>
      </x:c>
      <x:c r="I207" s="29" t="str">
        <x:v>협력설 뒤 약 25% 상승·중단일 6% 하락</x:v>
      </x:c>
      <x:c r="J207" s="29" t="str">
        <x:v>계열·공급 기대</x:v>
      </x:c>
      <x:c r="K207" s="29" t="str"/>
      <x:c r="L207" s="29" t="str">
        <x:v>확정 계약 전 보도와 추정이 선반영</x:v>
      </x:c>
      <x:c r="M207" s="29" t="str">
        <x:v>S149;S150</x:v>
      </x:c>
      <x:c r="N207" s="29" t="n">
        <x:v>2</x:v>
      </x:c>
      <x:c r="O207" s="29" t="n">
        <x:v>1</x:v>
      </x:c>
      <x:c r="P207" s="29" t="n">
        <x:v>2</x:v>
      </x:c>
      <x:c r="Q207" s="29" t="n">
        <x:v>0</x:v>
      </x:c>
      <x:c r="R207" s="29" t="n">
        <x:f>SUM(N207:P207)</x:f>
        <x:v>5</x:v>
      </x:c>
      <x:c r="S207" s="28" t="str">
        <x:f>IF(AND(N207=2,P207=2,R207&gt;=5),"핵심사례",IF(R207&gt;=3,"보조사례","경계사례"))</x:f>
        <x:v>핵심사례</x:v>
      </x:c>
    </x:row>
    <x:row r="208" ht="45" customHeight="1">
      <x:c r="A208" s="18" t="str">
        <x:v>KR-X051</x:v>
      </x:c>
      <x:c r="B208" s="18" t="str">
        <x:v>EV0044</x:v>
      </x:c>
      <x:c r="C208" s="18" t="str">
        <x:v>2021</x:v>
      </x:c>
      <x:c r="D208" s="18" t="str">
        <x:v>자동차·테크</x:v>
      </x:c>
      <x:c r="E208" s="18" t="str">
        <x:v>애플카-현대차 협력설→중단</x:v>
      </x:c>
      <x:c r="F208" s="18" t="str">
        <x:v>기아 (000270)</x:v>
      </x:c>
      <x:c r="G208" s="18" t="str">
        <x:v>KOSPI</x:v>
      </x:c>
      <x:c r="H208" s="30" t="str">
        <x:v>급등→급락</x:v>
      </x:c>
      <x:c r="I208" s="18" t="str">
        <x:v>협력설 뒤 약 39% 상승·중단일 약 15% 하락</x:v>
      </x:c>
      <x:c r="J208" s="18" t="str">
        <x:v>계열·공급 기대</x:v>
      </x:c>
      <x:c r="K208" s="18" t="str"/>
      <x:c r="L208" s="18" t="str">
        <x:v>확정 계약 전 보도와 추정이 선반영</x:v>
      </x:c>
      <x:c r="M208" s="18" t="str">
        <x:v>S149;S150</x:v>
      </x:c>
      <x:c r="N208" s="18" t="n">
        <x:v>2</x:v>
      </x:c>
      <x:c r="O208" s="18" t="n">
        <x:v>1</x:v>
      </x:c>
      <x:c r="P208" s="18" t="n">
        <x:v>2</x:v>
      </x:c>
      <x:c r="Q208" s="18" t="n">
        <x:v>0</x:v>
      </x:c>
      <x:c r="R208" s="18" t="n">
        <x:f>SUM(N208:P208)</x:f>
        <x:v>5</x:v>
      </x:c>
      <x:c r="S208" s="28" t="str">
        <x:f>IF(AND(N208=2,P208=2,R208&gt;=5),"핵심사례",IF(R208&gt;=3,"보조사례","경계사례"))</x:f>
        <x:v>핵심사례</x:v>
      </x:c>
    </x:row>
    <x:row r="209" ht="45" customHeight="1">
      <x:c r="A209" s="29" t="str">
        <x:v>KR-X052</x:v>
      </x:c>
      <x:c r="B209" s="29" t="str">
        <x:v>EV0044</x:v>
      </x:c>
      <x:c r="C209" s="29" t="str">
        <x:v>2021</x:v>
      </x:c>
      <x:c r="D209" s="29" t="str">
        <x:v>자동차·테크</x:v>
      </x:c>
      <x:c r="E209" s="29" t="str">
        <x:v>애플카-현대차 협력설→중단</x:v>
      </x:c>
      <x:c r="F209" s="29" t="str">
        <x:v>현대모비스 (012330)</x:v>
      </x:c>
      <x:c r="G209" s="29" t="str">
        <x:v>KOSPI</x:v>
      </x:c>
      <x:c r="H209" s="30" t="str">
        <x:v>급등→급락</x:v>
      </x:c>
      <x:c r="I209" s="29" t="str">
        <x:v>협력 보도일 장중 18%대 상승·중단일 8% 하락</x:v>
      </x:c>
      <x:c r="J209" s="29" t="str">
        <x:v>계열·공급 기대</x:v>
      </x:c>
      <x:c r="K209" s="29" t="str"/>
      <x:c r="L209" s="29" t="str">
        <x:v>확정 계약 전 보도와 추정이 선반영</x:v>
      </x:c>
      <x:c r="M209" s="29" t="str">
        <x:v>S149;S150</x:v>
      </x:c>
      <x:c r="N209" s="29" t="n">
        <x:v>2</x:v>
      </x:c>
      <x:c r="O209" s="29" t="n">
        <x:v>1</x:v>
      </x:c>
      <x:c r="P209" s="29" t="n">
        <x:v>2</x:v>
      </x:c>
      <x:c r="Q209" s="29" t="n">
        <x:v>0</x:v>
      </x:c>
      <x:c r="R209" s="29" t="n">
        <x:f>SUM(N209:P209)</x:f>
        <x:v>5</x:v>
      </x:c>
      <x:c r="S209" s="28" t="str">
        <x:f>IF(AND(N209=2,P209=2,R209&gt;=5),"핵심사례",IF(R209&gt;=3,"보조사례","경계사례"))</x:f>
        <x:v>핵심사례</x:v>
      </x:c>
    </x:row>
    <x:row r="210" ht="45" customHeight="1">
      <x:c r="A210" s="18" t="str">
        <x:v>KR-X053</x:v>
      </x:c>
      <x:c r="B210" s="18" t="str">
        <x:v>EV0044</x:v>
      </x:c>
      <x:c r="C210" s="18" t="str">
        <x:v>2021</x:v>
      </x:c>
      <x:c r="D210" s="18" t="str">
        <x:v>자동차·테크</x:v>
      </x:c>
      <x:c r="E210" s="18" t="str">
        <x:v>애플카-현대차 협력설→중단</x:v>
      </x:c>
      <x:c r="F210" s="18" t="str">
        <x:v>현대위아 (011210)</x:v>
      </x:c>
      <x:c r="G210" s="18" t="str">
        <x:v>KOSPI</x:v>
      </x:c>
      <x:c r="H210" s="30" t="str">
        <x:v>급등→급락</x:v>
      </x:c>
      <x:c r="I210" s="18" t="str">
        <x:v>협력 보도일 장중 16%대 상승</x:v>
      </x:c>
      <x:c r="J210" s="18" t="str">
        <x:v>계열·공급 기대</x:v>
      </x:c>
      <x:c r="K210" s="18" t="str"/>
      <x:c r="L210" s="18" t="str">
        <x:v>확정 계약 전 보도와 추정이 선반영</x:v>
      </x:c>
      <x:c r="M210" s="18" t="str">
        <x:v>S149;S150</x:v>
      </x:c>
      <x:c r="N210" s="18" t="n">
        <x:v>2</x:v>
      </x:c>
      <x:c r="O210" s="18" t="n">
        <x:v>1</x:v>
      </x:c>
      <x:c r="P210" s="18" t="n">
        <x:v>2</x:v>
      </x:c>
      <x:c r="Q210" s="18" t="n">
        <x:v>0</x:v>
      </x:c>
      <x:c r="R210" s="18" t="n">
        <x:f>SUM(N210:P210)</x:f>
        <x:v>5</x:v>
      </x:c>
      <x:c r="S210" s="28" t="str">
        <x:f>IF(AND(N210=2,P210=2,R210&gt;=5),"핵심사례",IF(R210&gt;=3,"보조사례","경계사례"))</x:f>
        <x:v>핵심사례</x:v>
      </x:c>
    </x:row>
    <x:row r="211" ht="45" customHeight="1">
      <x:c r="A211" s="29" t="str">
        <x:v>KR-X054</x:v>
      </x:c>
      <x:c r="B211" s="29" t="str">
        <x:v>EV0044</x:v>
      </x:c>
      <x:c r="C211" s="29" t="str">
        <x:v>2021</x:v>
      </x:c>
      <x:c r="D211" s="29" t="str">
        <x:v>자동차·테크</x:v>
      </x:c>
      <x:c r="E211" s="29" t="str">
        <x:v>애플카-현대차 협력설→중단</x:v>
      </x:c>
      <x:c r="F211" s="29" t="str">
        <x:v>HL만도 (204320)</x:v>
      </x:c>
      <x:c r="G211" s="29" t="str">
        <x:v>KOSPI</x:v>
      </x:c>
      <x:c r="H211" s="30" t="str">
        <x:v>급등→급락</x:v>
      </x:c>
      <x:c r="I211" s="29" t="str">
        <x:v>협력 보도일 장중 12%대 상승</x:v>
      </x:c>
      <x:c r="J211" s="29" t="str">
        <x:v>계열·공급 기대</x:v>
      </x:c>
      <x:c r="K211" s="29" t="str"/>
      <x:c r="L211" s="29" t="str">
        <x:v>확정 계약 전 보도와 추정이 선반영</x:v>
      </x:c>
      <x:c r="M211" s="29" t="str">
        <x:v>S149;S150</x:v>
      </x:c>
      <x:c r="N211" s="29" t="n">
        <x:v>2</x:v>
      </x:c>
      <x:c r="O211" s="29" t="n">
        <x:v>1</x:v>
      </x:c>
      <x:c r="P211" s="29" t="n">
        <x:v>2</x:v>
      </x:c>
      <x:c r="Q211" s="29" t="n">
        <x:v>0</x:v>
      </x:c>
      <x:c r="R211" s="29" t="n">
        <x:f>SUM(N211:P211)</x:f>
        <x:v>5</x:v>
      </x:c>
      <x:c r="S211" s="28" t="str">
        <x:f>IF(AND(N211=2,P211=2,R211&gt;=5),"핵심사례",IF(R211&gt;=3,"보조사례","경계사례"))</x:f>
        <x:v>핵심사례</x:v>
      </x:c>
    </x:row>
    <x:row r="212" ht="45" customHeight="1">
      <x:c r="A212" s="18" t="str">
        <x:v>KR-X055</x:v>
      </x:c>
      <x:c r="B212" s="18" t="str">
        <x:v>EV0040</x:v>
      </x:c>
      <x:c r="C212" s="18" t="str">
        <x:v>2021</x:v>
      </x:c>
      <x:c r="D212" s="18" t="str">
        <x:v>가상자산·금융</x:v>
      </x:c>
      <x:c r="E212" s="18" t="str">
        <x:v>두나무 미국 상장설</x:v>
      </x:c>
      <x:c r="F212" s="18" t="str">
        <x:v>에이티넘인베스트 (021080)</x:v>
      </x:c>
      <x:c r="G212" s="18" t="str">
        <x:v>KOSDAQ</x:v>
      </x:c>
      <x:c r="H212" s="28" t="str">
        <x:v>상승</x:v>
      </x:c>
      <x:c r="I212" s="18" t="str">
        <x:v>상한가</x:v>
      </x:c>
      <x:c r="J212" s="18" t="str">
        <x:v>지분 연결</x:v>
      </x:c>
      <x:c r="K212" s="18" t="str"/>
      <x:c r="L212" s="18" t="str">
        <x:v>상장 계획은 당시 확정되지 않음</x:v>
      </x:c>
      <x:c r="M212" s="18" t="str">
        <x:v>S151;S152</x:v>
      </x:c>
      <x:c r="N212" s="18" t="n">
        <x:v>2</x:v>
      </x:c>
      <x:c r="O212" s="18" t="n">
        <x:v>1</x:v>
      </x:c>
      <x:c r="P212" s="18" t="n">
        <x:v>2</x:v>
      </x:c>
      <x:c r="Q212" s="18" t="n">
        <x:v>1</x:v>
      </x:c>
      <x:c r="R212" s="18" t="n">
        <x:f>SUM(N212:P212)</x:f>
        <x:v>5</x:v>
      </x:c>
      <x:c r="S212" s="28" t="str">
        <x:f>IF(AND(N212=2,P212=2,R212&gt;=5),"핵심사례",IF(R212&gt;=3,"보조사례","경계사례"))</x:f>
        <x:v>핵심사례</x:v>
      </x:c>
    </x:row>
    <x:row r="213" ht="45" customHeight="1">
      <x:c r="A213" s="29" t="str">
        <x:v>KR-X056</x:v>
      </x:c>
      <x:c r="B213" s="29" t="str">
        <x:v>EV0040</x:v>
      </x:c>
      <x:c r="C213" s="29" t="str">
        <x:v>2021</x:v>
      </x:c>
      <x:c r="D213" s="29" t="str">
        <x:v>가상자산·금융</x:v>
      </x:c>
      <x:c r="E213" s="29" t="str">
        <x:v>두나무 미국 상장설</x:v>
      </x:c>
      <x:c r="F213" s="29" t="str">
        <x:v>우리기술투자 (041190)</x:v>
      </x:c>
      <x:c r="G213" s="29" t="str">
        <x:v>KOSDAQ</x:v>
      </x:c>
      <x:c r="H213" s="28" t="str">
        <x:v>상승</x:v>
      </x:c>
      <x:c r="I213" s="29" t="str">
        <x:v>상한가·급등</x:v>
      </x:c>
      <x:c r="J213" s="29" t="str">
        <x:v>지분 연결</x:v>
      </x:c>
      <x:c r="K213" s="29" t="str"/>
      <x:c r="L213" s="29" t="str">
        <x:v>상장 계획은 당시 확정되지 않음</x:v>
      </x:c>
      <x:c r="M213" s="29" t="str">
        <x:v>S151;S152</x:v>
      </x:c>
      <x:c r="N213" s="29" t="n">
        <x:v>2</x:v>
      </x:c>
      <x:c r="O213" s="29" t="n">
        <x:v>1</x:v>
      </x:c>
      <x:c r="P213" s="29" t="n">
        <x:v>2</x:v>
      </x:c>
      <x:c r="Q213" s="29" t="n">
        <x:v>1</x:v>
      </x:c>
      <x:c r="R213" s="29" t="n">
        <x:f>SUM(N213:P213)</x:f>
        <x:v>5</x:v>
      </x:c>
      <x:c r="S213" s="28" t="str">
        <x:f>IF(AND(N213=2,P213=2,R213&gt;=5),"핵심사례",IF(R213&gt;=3,"보조사례","경계사례"))</x:f>
        <x:v>핵심사례</x:v>
      </x:c>
    </x:row>
    <x:row r="214" ht="45" customHeight="1">
      <x:c r="A214" s="18" t="str">
        <x:v>KR-X057</x:v>
      </x:c>
      <x:c r="B214" s="18" t="str">
        <x:v>EV0040</x:v>
      </x:c>
      <x:c r="C214" s="18" t="str">
        <x:v>2021</x:v>
      </x:c>
      <x:c r="D214" s="18" t="str">
        <x:v>가상자산·금융</x:v>
      </x:c>
      <x:c r="E214" s="18" t="str">
        <x:v>두나무 미국 상장설</x:v>
      </x:c>
      <x:c r="F214" s="18" t="str">
        <x:v>한화투자증권 (003530)</x:v>
      </x:c>
      <x:c r="G214" s="18" t="str">
        <x:v>KOSPI</x:v>
      </x:c>
      <x:c r="H214" s="28" t="str">
        <x:v>상승</x:v>
      </x:c>
      <x:c r="I214" s="18" t="str">
        <x:v>두나무 지분 기대 급등</x:v>
      </x:c>
      <x:c r="J214" s="18" t="str">
        <x:v>지분 연결</x:v>
      </x:c>
      <x:c r="K214" s="18" t="str"/>
      <x:c r="L214" s="18" t="str">
        <x:v>상장 계획은 당시 확정되지 않음</x:v>
      </x:c>
      <x:c r="M214" s="18" t="str">
        <x:v>S151;S152</x:v>
      </x:c>
      <x:c r="N214" s="18" t="n">
        <x:v>2</x:v>
      </x:c>
      <x:c r="O214" s="18" t="n">
        <x:v>1</x:v>
      </x:c>
      <x:c r="P214" s="18" t="n">
        <x:v>1</x:v>
      </x:c>
      <x:c r="Q214" s="18" t="n">
        <x:v>1</x:v>
      </x:c>
      <x:c r="R214" s="18" t="n">
        <x:f>SUM(N214:P214)</x:f>
        <x:v>4</x:v>
      </x:c>
      <x:c r="S214" s="30" t="str">
        <x:f>IF(AND(N214=2,P214=2,R214&gt;=5),"핵심사례",IF(R214&gt;=3,"보조사례","경계사례"))</x:f>
        <x:v>보조사례</x:v>
      </x:c>
    </x:row>
    <x:row r="215" ht="45" customHeight="1">
      <x:c r="A215" s="29" t="str">
        <x:v>KR-X058</x:v>
      </x:c>
      <x:c r="B215" s="29" t="str">
        <x:v>EV0040</x:v>
      </x:c>
      <x:c r="C215" s="29" t="str">
        <x:v>2021</x:v>
      </x:c>
      <x:c r="D215" s="29" t="str">
        <x:v>가상자산·금융</x:v>
      </x:c>
      <x:c r="E215" s="29" t="str">
        <x:v>두나무 미국 상장설</x:v>
      </x:c>
      <x:c r="F215" s="29" t="str">
        <x:v>카카오 (035720)</x:v>
      </x:c>
      <x:c r="G215" s="29" t="str">
        <x:v>KOSPI</x:v>
      </x:c>
      <x:c r="H215" s="28" t="str">
        <x:v>상승</x:v>
      </x:c>
      <x:c r="I215" s="29" t="str">
        <x:v>지분 보유사로 동반 관심</x:v>
      </x:c>
      <x:c r="J215" s="29" t="str">
        <x:v>지분 연결</x:v>
      </x:c>
      <x:c r="K215" s="29" t="str"/>
      <x:c r="L215" s="29" t="str">
        <x:v>상장 계획은 당시 확정되지 않음</x:v>
      </x:c>
      <x:c r="M215" s="29" t="str">
        <x:v>S151;S152</x:v>
      </x:c>
      <x:c r="N215" s="29" t="n">
        <x:v>2</x:v>
      </x:c>
      <x:c r="O215" s="29" t="n">
        <x:v>1</x:v>
      </x:c>
      <x:c r="P215" s="29" t="n">
        <x:v>1</x:v>
      </x:c>
      <x:c r="Q215" s="29" t="n">
        <x:v>1</x:v>
      </x:c>
      <x:c r="R215" s="29" t="n">
        <x:f>SUM(N215:P215)</x:f>
        <x:v>4</x:v>
      </x:c>
      <x:c r="S215" s="30" t="str">
        <x:f>IF(AND(N215=2,P215=2,R215&gt;=5),"핵심사례",IF(R215&gt;=3,"보조사례","경계사례"))</x:f>
        <x:v>보조사례</x:v>
      </x:c>
    </x:row>
    <x:row r="216" ht="45" customHeight="1">
      <x:c r="A216" s="18" t="str">
        <x:v>KR-X059</x:v>
      </x:c>
      <x:c r="B216" s="18" t="str">
        <x:v>EV0075</x:v>
      </x:c>
      <x:c r="C216" s="18" t="str">
        <x:v>2024</x:v>
      </x:c>
      <x:c r="D216" s="18" t="str">
        <x:v>드라마·팬덤</x:v>
      </x:c>
      <x:c r="E216" s="18" t="str">
        <x:v>선재 업고 튀어 신드롬</x:v>
      </x:c>
      <x:c r="F216" s="18" t="str">
        <x:v>CJ ENM (035760)</x:v>
      </x:c>
      <x:c r="G216" s="18" t="str">
        <x:v>KOSDAQ</x:v>
      </x:c>
      <x:c r="H216" s="28" t="str">
        <x:v>상승</x:v>
      </x:c>
      <x:c r="I216" s="18" t="str">
        <x:v>저점 대비 약 70% 반등 구간에 흥행 모멘텀</x:v>
      </x:c>
      <x:c r="J216" s="18" t="str">
        <x:v>편성·유통</x:v>
      </x:c>
      <x:c r="K216" s="18" t="str"/>
      <x:c r="L216" s="18" t="str">
        <x:v>실적 흑자전환 등 동시 재료 존재</x:v>
      </x:c>
      <x:c r="M216" s="18" t="str">
        <x:v>S153</x:v>
      </x:c>
      <x:c r="N216" s="18" t="n">
        <x:v>2</x:v>
      </x:c>
      <x:c r="O216" s="18" t="n">
        <x:v>2</x:v>
      </x:c>
      <x:c r="P216" s="18" t="n">
        <x:v>1</x:v>
      </x:c>
      <x:c r="Q216" s="18" t="n">
        <x:v>2</x:v>
      </x:c>
      <x:c r="R216" s="18" t="n">
        <x:f>SUM(N216:P216)</x:f>
        <x:v>5</x:v>
      </x:c>
      <x:c r="S216" s="30" t="str">
        <x:f>IF(AND(N216=2,P216=2,R216&gt;=5),"핵심사례",IF(R216&gt;=3,"보조사례","경계사례"))</x:f>
        <x:v>보조사례</x:v>
      </x:c>
    </x:row>
    <x:row r="217" ht="45" customHeight="1">
      <x:c r="A217" s="29" t="str">
        <x:v>KR-X060</x:v>
      </x:c>
      <x:c r="B217" s="29" t="str">
        <x:v>EV0059</x:v>
      </x:c>
      <x:c r="C217" s="29" t="str">
        <x:v>2023</x:v>
      </x:c>
      <x:c r="D217" s="29" t="str">
        <x:v>드라마·콘텐츠</x:v>
      </x:c>
      <x:c r="E217" s="29" t="str">
        <x:v>더 글로리 글로벌 흥행</x:v>
      </x:c>
      <x:c r="F217" s="29" t="str">
        <x:v>스튜디오드래곤 (253450)</x:v>
      </x:c>
      <x:c r="G217" s="29" t="str">
        <x:v>KOSDAQ</x:v>
      </x:c>
      <x:c r="H217" s="30" t="str">
        <x:v>급등락</x:v>
      </x:c>
      <x:c r="I217" s="29" t="str">
        <x:v>시즌1 공개 직후 급등락</x:v>
      </x:c>
      <x:c r="J217" s="29" t="str">
        <x:v>제작사 지분</x:v>
      </x:c>
      <x:c r="K217" s="29" t="str"/>
      <x:c r="L217" s="29" t="str">
        <x:v>흥행에도 주가 지속 상승은 확인되지 않아 경계</x:v>
      </x:c>
      <x:c r="M217" s="29" t="str">
        <x:v>S154</x:v>
      </x:c>
      <x:c r="N217" s="29" t="n">
        <x:v>2</x:v>
      </x:c>
      <x:c r="O217" s="29" t="n">
        <x:v>2</x:v>
      </x:c>
      <x:c r="P217" s="29" t="n">
        <x:v>1</x:v>
      </x:c>
      <x:c r="Q217" s="29" t="n">
        <x:v>2</x:v>
      </x:c>
      <x:c r="R217" s="29" t="n">
        <x:f>SUM(N217:P217)</x:f>
        <x:v>5</x:v>
      </x:c>
      <x:c r="S217" s="30" t="str">
        <x:f>IF(AND(N217=2,P217=2,R217&gt;=5),"핵심사례",IF(R217&gt;=3,"보조사례","경계사례"))</x:f>
        <x:v>보조사례</x:v>
      </x:c>
    </x:row>
    <x:row r="218" ht="45" customHeight="1">
      <x:c r="A218" s="18" t="str">
        <x:v>KR-X061</x:v>
      </x:c>
      <x:c r="B218" s="18" t="str">
        <x:v>EV0047</x:v>
      </x:c>
      <x:c r="C218" s="18" t="str">
        <x:v>2021</x:v>
      </x:c>
      <x:c r="D218" s="18" t="str">
        <x:v>드라마·사회논란</x:v>
      </x:c>
      <x:c r="E218" s="18" t="str">
        <x:v>조선구마사 역사왜곡 논란</x:v>
      </x:c>
      <x:c r="F218" s="18" t="str">
        <x:v>와이지엔터테인먼트 (122870)</x:v>
      </x:c>
      <x:c r="G218" s="18" t="str">
        <x:v>KOSDAQ</x:v>
      </x:c>
      <x:c r="H218" s="31" t="str">
        <x:v>하락</x:v>
      </x:c>
      <x:c r="I218" s="18" t="str">
        <x:v>5.63% 하락</x:v>
      </x:c>
      <x:c r="J218" s="18" t="str">
        <x:v>제작·방송 연결</x:v>
      </x:c>
      <x:c r="K218" s="18" t="str"/>
      <x:c r="L218" s="18" t="str">
        <x:v>온라인 광고주 압박과 폐지 영향</x:v>
      </x:c>
      <x:c r="M218" s="18" t="str">
        <x:v>S155</x:v>
      </x:c>
      <x:c r="N218" s="18" t="n">
        <x:v>2</x:v>
      </x:c>
      <x:c r="O218" s="18" t="n">
        <x:v>1</x:v>
      </x:c>
      <x:c r="P218" s="18" t="n">
        <x:v>2</x:v>
      </x:c>
      <x:c r="Q218" s="18" t="n">
        <x:v>1</x:v>
      </x:c>
      <x:c r="R218" s="18" t="n">
        <x:f>SUM(N218:P218)</x:f>
        <x:v>5</x:v>
      </x:c>
      <x:c r="S218" s="28" t="str">
        <x:f>IF(AND(N218=2,P218=2,R218&gt;=5),"핵심사례",IF(R218&gt;=3,"보조사례","경계사례"))</x:f>
        <x:v>핵심사례</x:v>
      </x:c>
    </x:row>
    <x:row r="219" ht="45" customHeight="1">
      <x:c r="A219" s="29" t="str">
        <x:v>KR-X062</x:v>
      </x:c>
      <x:c r="B219" s="29" t="str">
        <x:v>EV0047</x:v>
      </x:c>
      <x:c r="C219" s="29" t="str">
        <x:v>2021</x:v>
      </x:c>
      <x:c r="D219" s="29" t="str">
        <x:v>드라마·사회논란</x:v>
      </x:c>
      <x:c r="E219" s="29" t="str">
        <x:v>조선구마사 역사왜곡 논란</x:v>
      </x:c>
      <x:c r="F219" s="29" t="str">
        <x:v>SBS (034120)</x:v>
      </x:c>
      <x:c r="G219" s="29" t="str">
        <x:v>KOSPI</x:v>
      </x:c>
      <x:c r="H219" s="31" t="str">
        <x:v>하락</x:v>
      </x:c>
      <x:c r="I219" s="29" t="str">
        <x:v>5.24% 하락</x:v>
      </x:c>
      <x:c r="J219" s="29" t="str">
        <x:v>제작·방송 연결</x:v>
      </x:c>
      <x:c r="K219" s="29" t="str"/>
      <x:c r="L219" s="29" t="str">
        <x:v>온라인 광고주 압박과 폐지 영향</x:v>
      </x:c>
      <x:c r="M219" s="29" t="str">
        <x:v>S155</x:v>
      </x:c>
      <x:c r="N219" s="29" t="n">
        <x:v>2</x:v>
      </x:c>
      <x:c r="O219" s="29" t="n">
        <x:v>1</x:v>
      </x:c>
      <x:c r="P219" s="29" t="n">
        <x:v>2</x:v>
      </x:c>
      <x:c r="Q219" s="29" t="n">
        <x:v>1</x:v>
      </x:c>
      <x:c r="R219" s="29" t="n">
        <x:f>SUM(N219:P219)</x:f>
        <x:v>5</x:v>
      </x:c>
      <x:c r="S219" s="28" t="str">
        <x:f>IF(AND(N219=2,P219=2,R219&gt;=5),"핵심사례",IF(R219&gt;=3,"보조사례","경계사례"))</x:f>
        <x:v>핵심사례</x:v>
      </x:c>
    </x:row>
    <x:row r="220" ht="45" customHeight="1">
      <x:c r="A220" s="18" t="str">
        <x:v>KR-X063</x:v>
      </x:c>
      <x:c r="B220" s="18" t="str">
        <x:v>EV0047</x:v>
      </x:c>
      <x:c r="C220" s="18" t="str">
        <x:v>2021</x:v>
      </x:c>
      <x:c r="D220" s="18" t="str">
        <x:v>드라마·사회논란</x:v>
      </x:c>
      <x:c r="E220" s="18" t="str">
        <x:v>조선구마사 역사왜곡 논란</x:v>
      </x:c>
      <x:c r="F220" s="18" t="str">
        <x:v>YG PLUS (037270)</x:v>
      </x:c>
      <x:c r="G220" s="18" t="str">
        <x:v>KOSPI</x:v>
      </x:c>
      <x:c r="H220" s="31" t="str">
        <x:v>하락</x:v>
      </x:c>
      <x:c r="I220" s="18" t="str">
        <x:v>2.64% 하락</x:v>
      </x:c>
      <x:c r="J220" s="18" t="str">
        <x:v>제작·방송 연결</x:v>
      </x:c>
      <x:c r="K220" s="18" t="str"/>
      <x:c r="L220" s="18" t="str">
        <x:v>온라인 광고주 압박과 폐지 영향</x:v>
      </x:c>
      <x:c r="M220" s="18" t="str">
        <x:v>S155</x:v>
      </x:c>
      <x:c r="N220" s="18" t="n">
        <x:v>2</x:v>
      </x:c>
      <x:c r="O220" s="18" t="n">
        <x:v>1</x:v>
      </x:c>
      <x:c r="P220" s="18" t="n">
        <x:v>2</x:v>
      </x:c>
      <x:c r="Q220" s="18" t="n">
        <x:v>1</x:v>
      </x:c>
      <x:c r="R220" s="18" t="n">
        <x:f>SUM(N220:P220)</x:f>
        <x:v>5</x:v>
      </x:c>
      <x:c r="S220" s="28" t="str">
        <x:f>IF(AND(N220=2,P220=2,R220&gt;=5),"핵심사례",IF(R220&gt;=3,"보조사례","경계사례"))</x:f>
        <x:v>핵심사례</x:v>
      </x:c>
    </x:row>
    <x:row r="221" ht="45" customHeight="1">
      <x:c r="A221" s="29" t="str">
        <x:v>KR-X064</x:v>
      </x:c>
      <x:c r="B221" s="29" t="str">
        <x:v>EV0010</x:v>
      </x:c>
      <x:c r="C221" s="29" t="str">
        <x:v>2011</x:v>
      </x:c>
      <x:c r="D221" s="29" t="str">
        <x:v>생활·건강</x:v>
      </x:c>
      <x:c r="E221" s="29" t="str">
        <x:v>후쿠시마 방사능 공포</x:v>
      </x:c>
      <x:c r="F221" s="29" t="str">
        <x:v>웰크론 (065950)</x:v>
      </x:c>
      <x:c r="G221" s="29" t="str">
        <x:v>KOSDAQ</x:v>
      </x:c>
      <x:c r="H221" s="28" t="str">
        <x:v>상승</x:v>
      </x:c>
      <x:c r="I221" s="29" t="str">
        <x:v>5%대 상승</x:v>
      </x:c>
      <x:c r="J221" s="29" t="str">
        <x:v>제품·테마</x:v>
      </x:c>
      <x:c r="K221" s="29" t="str"/>
      <x:c r="L221" s="29" t="str">
        <x:v>실제 방사능 차단 효과와 시장 테마는 분리 필요</x:v>
      </x:c>
      <x:c r="M221" s="29" t="str">
        <x:v>S156</x:v>
      </x:c>
      <x:c r="N221" s="29" t="n">
        <x:v>2</x:v>
      </x:c>
      <x:c r="O221" s="29" t="n">
        <x:v>0</x:v>
      </x:c>
      <x:c r="P221" s="29" t="n">
        <x:v>2</x:v>
      </x:c>
      <x:c r="Q221" s="29" t="n">
        <x:v>0</x:v>
      </x:c>
      <x:c r="R221" s="29" t="n">
        <x:f>SUM(N221:P221)</x:f>
        <x:v>4</x:v>
      </x:c>
      <x:c r="S221" s="30" t="str">
        <x:f>IF(AND(N221=2,P221=2,R221&gt;=5),"핵심사례",IF(R221&gt;=3,"보조사례","경계사례"))</x:f>
        <x:v>보조사례</x:v>
      </x:c>
    </x:row>
    <x:row r="222" ht="45" customHeight="1">
      <x:c r="A222" s="18" t="str">
        <x:v>KR-X065</x:v>
      </x:c>
      <x:c r="B222" s="18" t="str">
        <x:v>EV0010</x:v>
      </x:c>
      <x:c r="C222" s="18" t="str">
        <x:v>2011</x:v>
      </x:c>
      <x:c r="D222" s="18" t="str">
        <x:v>생활·건강</x:v>
      </x:c>
      <x:c r="E222" s="18" t="str">
        <x:v>후쿠시마 방사능 공포</x:v>
      </x:c>
      <x:c r="F222" s="18" t="str">
        <x:v>한국유나이티드제약 (033270)</x:v>
      </x:c>
      <x:c r="G222" s="18" t="str">
        <x:v>KOSPI</x:v>
      </x:c>
      <x:c r="H222" s="28" t="str">
        <x:v>상승</x:v>
      </x:c>
      <x:c r="I222" s="18" t="str">
        <x:v>4~7%대 상승</x:v>
      </x:c>
      <x:c r="J222" s="18" t="str">
        <x:v>제품·테마</x:v>
      </x:c>
      <x:c r="K222" s="18" t="str"/>
      <x:c r="L222" s="18" t="str">
        <x:v>실제 방사능 차단 효과와 시장 테마는 분리 필요</x:v>
      </x:c>
      <x:c r="M222" s="18" t="str">
        <x:v>S156</x:v>
      </x:c>
      <x:c r="N222" s="18" t="n">
        <x:v>2</x:v>
      </x:c>
      <x:c r="O222" s="18" t="n">
        <x:v>0</x:v>
      </x:c>
      <x:c r="P222" s="18" t="n">
        <x:v>2</x:v>
      </x:c>
      <x:c r="Q222" s="18" t="n">
        <x:v>0</x:v>
      </x:c>
      <x:c r="R222" s="18" t="n">
        <x:f>SUM(N222:P222)</x:f>
        <x:v>4</x:v>
      </x:c>
      <x:c r="S222" s="30" t="str">
        <x:f>IF(AND(N222=2,P222=2,R222&gt;=5),"핵심사례",IF(R222&gt;=3,"보조사례","경계사례"))</x:f>
        <x:v>보조사례</x:v>
      </x:c>
    </x:row>
    <x:row r="223" ht="45" customHeight="1">
      <x:c r="A223" s="29" t="str">
        <x:v>KR-X066</x:v>
      </x:c>
      <x:c r="B223" s="29" t="str">
        <x:v>EV0010</x:v>
      </x:c>
      <x:c r="C223" s="29" t="str">
        <x:v>2011</x:v>
      </x:c>
      <x:c r="D223" s="29" t="str">
        <x:v>생활·건강</x:v>
      </x:c>
      <x:c r="E223" s="29" t="str">
        <x:v>후쿠시마 방사능 공포</x:v>
      </x:c>
      <x:c r="F223" s="29" t="str">
        <x:v>대정화금 (120240)</x:v>
      </x:c>
      <x:c r="G223" s="29" t="str">
        <x:v>KOSDAQ</x:v>
      </x:c>
      <x:c r="H223" s="28" t="str">
        <x:v>상승</x:v>
      </x:c>
      <x:c r="I223" s="29" t="str">
        <x:v>4~7%대 상승</x:v>
      </x:c>
      <x:c r="J223" s="29" t="str">
        <x:v>제품·테마</x:v>
      </x:c>
      <x:c r="K223" s="29" t="str"/>
      <x:c r="L223" s="29" t="str">
        <x:v>실제 방사능 차단 효과와 시장 테마는 분리 필요</x:v>
      </x:c>
      <x:c r="M223" s="29" t="str">
        <x:v>S156</x:v>
      </x:c>
      <x:c r="N223" s="29" t="n">
        <x:v>2</x:v>
      </x:c>
      <x:c r="O223" s="29" t="n">
        <x:v>0</x:v>
      </x:c>
      <x:c r="P223" s="29" t="n">
        <x:v>2</x:v>
      </x:c>
      <x:c r="Q223" s="29" t="n">
        <x:v>0</x:v>
      </x:c>
      <x:c r="R223" s="29" t="n">
        <x:f>SUM(N223:P223)</x:f>
        <x:v>4</x:v>
      </x:c>
      <x:c r="S223" s="30" t="str">
        <x:f>IF(AND(N223=2,P223=2,R223&gt;=5),"핵심사례",IF(R223&gt;=3,"보조사례","경계사례"))</x:f>
        <x:v>보조사례</x:v>
      </x:c>
    </x:row>
    <x:row r="224" ht="45" customHeight="1">
      <x:c r="A224" s="18" t="str">
        <x:v>KR-X067</x:v>
      </x:c>
      <x:c r="B224" s="18" t="str">
        <x:v>EV0010</x:v>
      </x:c>
      <x:c r="C224" s="18" t="str">
        <x:v>2011</x:v>
      </x:c>
      <x:c r="D224" s="18" t="str">
        <x:v>생활·건강</x:v>
      </x:c>
      <x:c r="E224" s="18" t="str">
        <x:v>후쿠시마 방사능 공포</x:v>
      </x:c>
      <x:c r="F224" s="18" t="str">
        <x:v>크린앤사이언스 (045520)</x:v>
      </x:c>
      <x:c r="G224" s="18" t="str">
        <x:v>KOSDAQ</x:v>
      </x:c>
      <x:c r="H224" s="28" t="str">
        <x:v>상승</x:v>
      </x:c>
      <x:c r="I224" s="18" t="str">
        <x:v>방사능 차단 테마 급등</x:v>
      </x:c>
      <x:c r="J224" s="18" t="str">
        <x:v>제품·테마</x:v>
      </x:c>
      <x:c r="K224" s="18" t="str"/>
      <x:c r="L224" s="18" t="str">
        <x:v>실제 방사능 차단 효과와 시장 테마는 분리 필요</x:v>
      </x:c>
      <x:c r="M224" s="18" t="str">
        <x:v>S156</x:v>
      </x:c>
      <x:c r="N224" s="18" t="n">
        <x:v>2</x:v>
      </x:c>
      <x:c r="O224" s="18" t="n">
        <x:v>0</x:v>
      </x:c>
      <x:c r="P224" s="18" t="n">
        <x:v>2</x:v>
      </x:c>
      <x:c r="Q224" s="18" t="n">
        <x:v>0</x:v>
      </x:c>
      <x:c r="R224" s="18" t="n">
        <x:f>SUM(N224:P224)</x:f>
        <x:v>4</x:v>
      </x:c>
      <x:c r="S224" s="30" t="str">
        <x:f>IF(AND(N224=2,P224=2,R224&gt;=5),"핵심사례",IF(R224&gt;=3,"보조사례","경계사례"))</x:f>
        <x:v>보조사례</x:v>
      </x:c>
    </x:row>
    <x:row r="225" ht="45" customHeight="1">
      <x:c r="A225" s="29" t="str">
        <x:v>KR-X068</x:v>
      </x:c>
      <x:c r="B225" s="29" t="str">
        <x:v>EV0015</x:v>
      </x:c>
      <x:c r="C225" s="29" t="str">
        <x:v>2014</x:v>
      </x:c>
      <x:c r="D225" s="29" t="str">
        <x:v>생활·건강</x:v>
      </x:c>
      <x:c r="E225" s="29" t="str">
        <x:v>에볼라 공포·백신 기대</x:v>
      </x:c>
      <x:c r="F225" s="29" t="str">
        <x:v>진원생명과학 (011000)</x:v>
      </x:c>
      <x:c r="G225" s="29" t="str">
        <x:v>KOSPI</x:v>
      </x:c>
      <x:c r="H225" s="28" t="str">
        <x:v>상승</x:v>
      </x:c>
      <x:c r="I225" s="29" t="str">
        <x:v>이틀째 급등·당일 11.53%</x:v>
      </x:c>
      <x:c r="J225" s="29" t="str">
        <x:v>백신 생산</x:v>
      </x:c>
      <x:c r="K225" s="29" t="str"/>
      <x:c r="L225" s="29" t="str">
        <x:v>실제 공급계약과 공포 테마가 함께 작용</x:v>
      </x:c>
      <x:c r="M225" s="29" t="str">
        <x:v>S157</x:v>
      </x:c>
      <x:c r="N225" s="29" t="n">
        <x:v>2</x:v>
      </x:c>
      <x:c r="O225" s="29" t="n">
        <x:v>2</x:v>
      </x:c>
      <x:c r="P225" s="29" t="n">
        <x:v>2</x:v>
      </x:c>
      <x:c r="Q225" s="29" t="n">
        <x:v>1</x:v>
      </x:c>
      <x:c r="R225" s="29" t="n">
        <x:f>SUM(N225:P225)</x:f>
        <x:v>6</x:v>
      </x:c>
      <x:c r="S225" s="28" t="str">
        <x:f>IF(AND(N225=2,P225=2,R225&gt;=5),"핵심사례",IF(R225&gt;=3,"보조사례","경계사례"))</x:f>
        <x:v>핵심사례</x:v>
      </x:c>
    </x:row>
    <x:row r="226" ht="45" customHeight="1">
      <x:c r="A226" s="18" t="str">
        <x:v>KR-X069</x:v>
      </x:c>
      <x:c r="B226" s="18" t="str">
        <x:v>EV0073</x:v>
      </x:c>
      <x:c r="C226" s="18" t="str">
        <x:v>2024</x:v>
      </x:c>
      <x:c r="D226" s="18" t="str">
        <x:v>음악·팬덤</x:v>
      </x:c>
      <x:c r="E226" s="18" t="str">
        <x:v>로제 APT. 글로벌 밈</x:v>
      </x:c>
      <x:c r="F226" s="18" t="str">
        <x:v>YG PLUS (037270)</x:v>
      </x:c>
      <x:c r="G226" s="18" t="str">
        <x:v>KOSPI</x:v>
      </x:c>
      <x:c r="H226" s="30" t="str">
        <x:v>급등→급락</x:v>
      </x:c>
      <x:c r="I226" s="18" t="str">
        <x:v>6거래일 157.84% 상승 뒤 이틀 급락</x:v>
      </x:c>
      <x:c r="J226" s="18" t="str">
        <x:v>음원 유통</x:v>
      </x:c>
      <x:c r="K226" s="18" t="str"/>
      <x:c r="L226" s="18" t="str">
        <x:v>음원 유통 계약 직접 연결</x:v>
      </x:c>
      <x:c r="M226" s="18" t="str">
        <x:v>S158;S159</x:v>
      </x:c>
      <x:c r="N226" s="18" t="n">
        <x:v>2</x:v>
      </x:c>
      <x:c r="O226" s="18" t="n">
        <x:v>2</x:v>
      </x:c>
      <x:c r="P226" s="18" t="n">
        <x:v>2</x:v>
      </x:c>
      <x:c r="Q226" s="18" t="n">
        <x:v>0</x:v>
      </x:c>
      <x:c r="R226" s="18" t="n">
        <x:f>SUM(N226:P226)</x:f>
        <x:v>6</x:v>
      </x:c>
      <x:c r="S226" s="28" t="str">
        <x:f>IF(AND(N226=2,P226=2,R226&gt;=5),"핵심사례",IF(R226&gt;=3,"보조사례","경계사례"))</x:f>
        <x:v>핵심사례</x:v>
      </x:c>
    </x:row>
    <x:row r="227" ht="45" customHeight="1">
      <x:c r="A227" s="29" t="str">
        <x:v>KR-X070</x:v>
      </x:c>
      <x:c r="B227" s="29" t="str">
        <x:v>EV0073</x:v>
      </x:c>
      <x:c r="C227" s="29" t="str">
        <x:v>2024</x:v>
      </x:c>
      <x:c r="D227" s="29" t="str">
        <x:v>음악·팬덤</x:v>
      </x:c>
      <x:c r="E227" s="29" t="str">
        <x:v>로제 APT. 글로벌 밈</x:v>
      </x:c>
      <x:c r="F227" s="29" t="str">
        <x:v>와이지엔터테인먼트 (122870)</x:v>
      </x:c>
      <x:c r="G227" s="29" t="str">
        <x:v>KOSDAQ</x:v>
      </x:c>
      <x:c r="H227" s="28" t="str">
        <x:v>상승</x:v>
      </x:c>
      <x:c r="I227" s="29" t="str">
        <x:v>흥행 구간 동반 강세</x:v>
      </x:c>
      <x:c r="J227" s="29" t="str">
        <x:v>그룹 연결</x:v>
      </x:c>
      <x:c r="K227" s="29" t="str"/>
      <x:c r="L227" s="29" t="str">
        <x:v>로제 개인 활동 계약은 YG가 아니므로 연결 경계</x:v>
      </x:c>
      <x:c r="M227" s="29" t="str">
        <x:v>S158</x:v>
      </x:c>
      <x:c r="N227" s="29" t="n">
        <x:v>2</x:v>
      </x:c>
      <x:c r="O227" s="29" t="n">
        <x:v>0</x:v>
      </x:c>
      <x:c r="P227" s="29" t="n">
        <x:v>1</x:v>
      </x:c>
      <x:c r="Q227" s="29" t="n">
        <x:v>1</x:v>
      </x:c>
      <x:c r="R227" s="29" t="n">
        <x:f>SUM(N227:P227)</x:f>
        <x:v>3</x:v>
      </x:c>
      <x:c r="S227" s="30" t="str">
        <x:f>IF(AND(N227=2,P227=2,R227&gt;=5),"핵심사례",IF(R227&gt;=3,"보조사례","경계사례"))</x:f>
        <x:v>보조사례</x:v>
      </x:c>
    </x:row>
    <x:row r="228" ht="45" customHeight="1">
      <x:c r="A228" s="18" t="str">
        <x:v>KR-X071</x:v>
      </x:c>
      <x:c r="B228" s="18" t="str">
        <x:v>EV0065</x:v>
      </x:c>
      <x:c r="C228" s="18" t="str">
        <x:v>2023</x:v>
      </x:c>
      <x:c r="D228" s="18" t="str">
        <x:v>영화·콘텐츠</x:v>
      </x:c>
      <x:c r="E228" s="18" t="str">
        <x:v>서울의 봄 천만 흥행</x:v>
      </x:c>
      <x:c r="F228" s="18" t="str">
        <x:v>콘텐트리중앙 (036420)</x:v>
      </x:c>
      <x:c r="G228" s="18" t="str">
        <x:v>KOSDAQ</x:v>
      </x:c>
      <x:c r="H228" s="28" t="str">
        <x:v>상승</x:v>
      </x:c>
      <x:c r="I228" s="18" t="str">
        <x:v>흥행 초기 주가 동반 상승</x:v>
      </x:c>
      <x:c r="J228" s="18" t="str">
        <x:v>배급사 지분</x:v>
      </x:c>
      <x:c r="K228" s="18" t="str"/>
      <x:c r="L228" s="18" t="str">
        <x:v>플러스엠 지분 연결</x:v>
      </x:c>
      <x:c r="M228" s="18" t="str">
        <x:v>S160</x:v>
      </x:c>
      <x:c r="N228" s="18" t="n">
        <x:v>2</x:v>
      </x:c>
      <x:c r="O228" s="18" t="n">
        <x:v>2</x:v>
      </x:c>
      <x:c r="P228" s="18" t="n">
        <x:v>1</x:v>
      </x:c>
      <x:c r="Q228" s="18" t="n">
        <x:v>1</x:v>
      </x:c>
      <x:c r="R228" s="18" t="n">
        <x:f>SUM(N228:P228)</x:f>
        <x:v>5</x:v>
      </x:c>
      <x:c r="S228" s="30" t="str">
        <x:f>IF(AND(N228=2,P228=2,R228&gt;=5),"핵심사례",IF(R228&gt;=3,"보조사례","경계사례"))</x:f>
        <x:v>보조사례</x:v>
      </x:c>
    </x:row>
    <x:row r="229" ht="45" customHeight="1">
      <x:c r="A229" s="29" t="str">
        <x:v>KR-X072</x:v>
      </x:c>
      <x:c r="B229" s="29" t="str">
        <x:v>EV0025</x:v>
      </x:c>
      <x:c r="C229" s="29" t="str">
        <x:v>2019</x:v>
      </x:c>
      <x:c r="D229" s="29" t="str">
        <x:v>영화·콘텐츠</x:v>
      </x:c>
      <x:c r="E229" s="29" t="str">
        <x:v>극한직업 천만 흥행</x:v>
      </x:c>
      <x:c r="F229" s="29" t="str">
        <x:v>CJ ENM (035760)</x:v>
      </x:c>
      <x:c r="G229" s="29" t="str">
        <x:v>KOSDAQ</x:v>
      </x:c>
      <x:c r="H229" s="28" t="str">
        <x:v>상승</x:v>
      </x:c>
      <x:c r="I229" s="29" t="str">
        <x:v>흥행 기간 주가 강세</x:v>
      </x:c>
      <x:c r="J229" s="29" t="str">
        <x:v>투자·배급</x:v>
      </x:c>
      <x:c r="K229" s="29" t="str"/>
      <x:c r="L229" s="29" t="str">
        <x:v>자회사 매각 등 동시 재료 존재</x:v>
      </x:c>
      <x:c r="M229" s="29" t="str">
        <x:v>S161</x:v>
      </x:c>
      <x:c r="N229" s="29" t="n">
        <x:v>2</x:v>
      </x:c>
      <x:c r="O229" s="29" t="n">
        <x:v>2</x:v>
      </x:c>
      <x:c r="P229" s="29" t="n">
        <x:v>1</x:v>
      </x:c>
      <x:c r="Q229" s="29" t="n">
        <x:v>2</x:v>
      </x:c>
      <x:c r="R229" s="29" t="n">
        <x:f>SUM(N229:P229)</x:f>
        <x:v>5</x:v>
      </x:c>
      <x:c r="S229" s="30" t="str">
        <x:f>IF(AND(N229=2,P229=2,R229&gt;=5),"핵심사례",IF(R229&gt;=3,"보조사례","경계사례"))</x:f>
        <x:v>보조사례</x:v>
      </x:c>
    </x:row>
    <x:row r="230" ht="45" customHeight="1">
      <x:c r="A230" s="18" t="str">
        <x:v>KR-X073</x:v>
      </x:c>
      <x:c r="B230" s="18" t="str">
        <x:v>EV0021</x:v>
      </x:c>
      <x:c r="C230" s="18" t="str">
        <x:v>2016</x:v>
      </x:c>
      <x:c r="D230" s="18" t="str">
        <x:v>시장현상</x:v>
      </x:c>
      <x:c r="E230" s="18" t="str">
        <x:v>코데즈컴바인 품절주 광풍</x:v>
      </x:c>
      <x:c r="F230" s="18" t="str">
        <x:v>코데즈컴바인 (047770)</x:v>
      </x:c>
      <x:c r="G230" s="18" t="str">
        <x:v>KOSDAQ</x:v>
      </x:c>
      <x:c r="H230" s="30" t="str">
        <x:v>급등→급락</x:v>
      </x:c>
      <x:c r="I230" s="18" t="str">
        <x:v>2만5천원대→15만1천원 약 6배 뒤 급락</x:v>
      </x:c>
      <x:c r="J230" s="18" t="str">
        <x:v>저유통 수급</x:v>
      </x:c>
      <x:c r="K230" s="18" t="str"/>
      <x:c r="L230" s="18" t="str">
        <x:v>기업가치보다 0.7% 유통주식·호기심 추종 영향</x:v>
      </x:c>
      <x:c r="M230" s="18" t="str">
        <x:v>S162;S163</x:v>
      </x:c>
      <x:c r="N230" s="18" t="n">
        <x:v>2</x:v>
      </x:c>
      <x:c r="O230" s="18" t="n">
        <x:v>0</x:v>
      </x:c>
      <x:c r="P230" s="18" t="n">
        <x:v>2</x:v>
      </x:c>
      <x:c r="Q230" s="18" t="n">
        <x:v>0</x:v>
      </x:c>
      <x:c r="R230" s="18" t="n">
        <x:f>SUM(N230:P230)</x:f>
        <x:v>4</x:v>
      </x:c>
      <x:c r="S230" s="30" t="str">
        <x:f>IF(AND(N230=2,P230=2,R230&gt;=5),"핵심사례",IF(R230&gt;=3,"보조사례","경계사례"))</x:f>
        <x:v>보조사례</x:v>
      </x:c>
    </x:row>
  </x:sheetData>
  <x:mergeCells>
    <x:mergeCell ref="A1:S1"/>
    <x:mergeCell ref="A2:S2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1" hidden="0" customWidth="1"/>
    <x:col min="2" max="2" width="19" hidden="0" customWidth="1"/>
    <x:col min="3" max="3" width="48" hidden="0" customWidth="1"/>
    <x:col min="4" max="4" width="14" hidden="0" customWidth="1"/>
    <x:col min="5" max="5" width="72" hidden="0" customWidth="1"/>
    <x:col min="6" max="6" width="17" hidden="0" customWidth="1"/>
  </x:cols>
  <x:sheetData>
    <x:row r="1" ht="34" customHeight="1">
      <x:c r="A1" s="3" t="str">
        <x:v>03 출처 — 기사·공시·리서치 원문</x:v>
      </x:c>
      <x:c r="B1" s="3" t="str">
        <x:v>03 출처 — 기사·공시·리서치 원문</x:v>
      </x:c>
      <x:c r="C1" s="3" t="str">
        <x:v>03 출처 — 기사·공시·리서치 원문</x:v>
      </x:c>
      <x:c r="D1" s="3" t="str">
        <x:v>03 출처 — 기사·공시·리서치 원문</x:v>
      </x:c>
      <x:c r="E1" s="3" t="str">
        <x:v>03 출처 — 기사·공시·리서치 원문</x:v>
      </x:c>
      <x:c r="F1" s="3" t="str">
        <x:v>03 출처 — 기사·공시·리서치 원문</x:v>
      </x:c>
    </x:row>
    <x:row r="2" ht="28" customHeight="1">
      <x:c r="A2" s="6" t="str">
        <x:v>01·02 시트의 출처ID를 검색하세요. URL은 원문 접근용이며, 발행일과 사건 시점을 함께 확인해야 합니다.</x:v>
      </x:c>
      <x:c r="B2" s="6" t="str">
        <x:v>01·02 시트의 출처ID를 검색하세요. URL은 원문 접근용이며, 발행일과 사건 시점을 함께 확인해야 합니다.</x:v>
      </x:c>
      <x:c r="C2" s="6" t="str">
        <x:v>01·02 시트의 출처ID를 검색하세요. URL은 원문 접근용이며, 발행일과 사건 시점을 함께 확인해야 합니다.</x:v>
      </x:c>
      <x:c r="D2" s="6" t="str">
        <x:v>01·02 시트의 출처ID를 검색하세요. URL은 원문 접근용이며, 발행일과 사건 시점을 함께 확인해야 합니다.</x:v>
      </x:c>
      <x:c r="E2" s="6" t="str">
        <x:v>01·02 시트의 출처ID를 검색하세요. URL은 원문 접근용이며, 발행일과 사건 시점을 함께 확인해야 합니다.</x:v>
      </x:c>
      <x:c r="F2" s="6" t="str">
        <x:v>01·02 시트의 출처ID를 검색하세요. URL은 원문 접근용이며, 발행일과 사건 시점을 함께 확인해야 합니다.</x:v>
      </x:c>
    </x:row>
    <x:row r="4" ht="30" customHeight="1">
      <x:c r="A4" s="16" t="str">
        <x:v>출처ID</x:v>
      </x:c>
      <x:c r="B4" s="16" t="str">
        <x:v>발행처</x:v>
      </x:c>
      <x:c r="C4" s="16" t="str">
        <x:v>제목·활용 내용</x:v>
      </x:c>
      <x:c r="D4" s="16" t="str">
        <x:v>발행일</x:v>
      </x:c>
      <x:c r="E4" s="16" t="str">
        <x:v>URL</x:v>
      </x:c>
      <x:c r="F4" s="16" t="str">
        <x:v>유형</x:v>
      </x:c>
    </x:row>
    <x:row r="5" ht="38" customHeight="1">
      <x:c r="A5" s="18" t="str">
        <x:v>S04</x:v>
      </x:c>
      <x:c r="B5" s="18" t="str">
        <x:v>동아일보</x:v>
      </x:c>
      <x:c r="C5" s="18" t="str">
        <x:v>NE능률: 파평 윤씨 이유와 회사의 무관 공시</x:v>
      </x:c>
      <x:c r="D5" s="18" t="str">
        <x:v>2021-06-29</x:v>
      </x:c>
      <x:c r="E5" s="18" t="str">
        <x:v>https://www.donga.com/news/Economy/article/all/20210629/107705633/1</x:v>
      </x:c>
      <x:c r="F5" s="18" t="str">
        <x:v>회사 해명 포함</x:v>
      </x:c>
    </x:row>
    <x:row r="6" ht="38" customHeight="1">
      <x:c r="A6" s="29" t="str">
        <x:v>S05</x:v>
      </x:c>
      <x:c r="B6" s="29" t="str">
        <x:v>뉴스웨이</x:v>
      </x:c>
      <x:c r="C6" s="29" t="str">
        <x:v>NE능률 150% 급등 및 회사 무관 해명</x:v>
      </x:c>
      <x:c r="D6" s="29" t="str">
        <x:v>2021-03-16</x:v>
      </x:c>
      <x:c r="E6" s="29" t="str">
        <x:v>https://www.newsway.co.kr/news/view?ud=2021031607441400760</x:v>
      </x:c>
      <x:c r="F6" s="29" t="str">
        <x:v>가격 반응</x:v>
      </x:c>
    </x:row>
    <x:row r="7" ht="38" customHeight="1">
      <x:c r="A7" s="18" t="str">
        <x:v>S06</x:v>
      </x:c>
      <x:c r="B7" s="18" t="str">
        <x:v>뉴시스</x:v>
      </x:c>
      <x:c r="C7" s="18" t="str">
        <x:v>윤석열 테마주 서연·서연탑메탈·NE능률·덕성 동반 강세</x:v>
      </x:c>
      <x:c r="D7" s="18" t="str">
        <x:v>2021-11-06</x:v>
      </x:c>
      <x:c r="E7" s="18" t="str">
        <x:v>https://www.newsis.com/view/NISX20211105_0001641242</x:v>
      </x:c>
      <x:c r="F7" s="18" t="str">
        <x:v>그룹 사례</x:v>
      </x:c>
    </x:row>
    <x:row r="8" ht="38" customHeight="1">
      <x:c r="A8" s="29" t="str">
        <x:v>S07</x:v>
      </x:c>
      <x:c r="B8" s="29" t="str">
        <x:v>대한경제</x:v>
      </x:c>
      <x:c r="C8" s="29" t="str">
        <x:v>이재명 테마주 연결 사유와 일중 등락</x:v>
      </x:c>
      <x:c r="D8" s="29" t="str">
        <x:v>2025-03-27</x:v>
      </x:c>
      <x:c r="E8" s="29" t="str">
        <x:v>https://www.dnews.co.kr/uhtml/view.jsp?idxno=202503271619299530061</x:v>
      </x:c>
      <x:c r="F8" s="29" t="str">
        <x:v>그룹 사례</x:v>
      </x:c>
    </x:row>
    <x:row r="9" ht="38" customHeight="1">
      <x:c r="A9" s="18" t="str">
        <x:v>S08</x:v>
      </x:c>
      <x:c r="B9" s="18" t="str">
        <x:v>한국경제</x:v>
      </x:c>
      <x:c r="C9" s="18" t="str">
        <x:v>오리엔트정공 급등과 오리엔탈정공 이름 혼동</x:v>
      </x:c>
      <x:c r="D9" s="18" t="str">
        <x:v>2024-11-26</x:v>
      </x:c>
      <x:c r="E9" s="18" t="str">
        <x:v>https://www.hankyung.com/article/202411265384i</x:v>
      </x:c>
      <x:c r="F9" s="18" t="str">
        <x:v>착오 매수 사례</x:v>
      </x:c>
    </x:row>
    <x:row r="10" ht="38" customHeight="1">
      <x:c r="A10" s="29" t="str">
        <x:v>S09</x:v>
      </x:c>
      <x:c r="B10" s="29" t="str">
        <x:v>뉴스핌</x:v>
      </x:c>
      <x:c r="C10" s="29" t="str">
        <x:v>이재명 테마주 동반 급락과 종목군</x:v>
      </x:c>
      <x:c r="D10" s="29" t="str">
        <x:v>2025-05-02</x:v>
      </x:c>
      <x:c r="E10" s="29" t="str">
        <x:v>https://www.newspim.com/news/view/20250502000148</x:v>
      </x:c>
      <x:c r="F10" s="29" t="str">
        <x:v>반전 반응</x:v>
      </x:c>
    </x:row>
    <x:row r="11" ht="38" customHeight="1">
      <x:c r="A11" s="18" t="str">
        <x:v>S10</x:v>
      </x:c>
      <x:c r="B11" s="18" t="str">
        <x:v>서울경제</x:v>
      </x:c>
      <x:c r="C11" s="18" t="str">
        <x:v>2016 정치테마주 14종목·실적과 무관한 상승</x:v>
      </x:c>
      <x:c r="D11" s="18" t="str">
        <x:v>2016-12-19</x:v>
      </x:c>
      <x:c r="E11" s="18" t="str">
        <x:v>https://www.sedaily.com/NewsView/1L5CH932I1</x:v>
      </x:c>
      <x:c r="F11" s="18" t="str">
        <x:v>그룹 목록</x:v>
      </x:c>
    </x:row>
    <x:row r="12" ht="38" customHeight="1">
      <x:c r="A12" s="29" t="str">
        <x:v>S11</x:v>
      </x:c>
      <x:c r="B12" s="29" t="str">
        <x:v>서울신문</x:v>
      </x:c>
      <x:c r="C12" s="29" t="str">
        <x:v>총선 뒤 문재인·반기문 테마주 가격 반응</x:v>
      </x:c>
      <x:c r="D12" s="29" t="str">
        <x:v>2016-05-15</x:v>
      </x:c>
      <x:c r="E12" s="29" t="str">
        <x:v>https://www.seoul.co.kr/news/economy/2016/05/15/20160515800019</x:v>
      </x:c>
      <x:c r="F12" s="29" t="str">
        <x:v>가격 반응</x:v>
      </x:c>
    </x:row>
    <x:row r="13" ht="38" customHeight="1">
      <x:c r="A13" s="18" t="str">
        <x:v>S12</x:v>
      </x:c>
      <x:c r="B13" s="18" t="str">
        <x:v>이투데이</x:v>
      </x:c>
      <x:c r="C13" s="18" t="str">
        <x:v>2016년 고려산업·우리들 계열 연간 급등률</x:v>
      </x:c>
      <x:c r="D13" s="18" t="str">
        <x:v>2016-12-30</x:v>
      </x:c>
      <x:c r="E13" s="18" t="str">
        <x:v>https://www.etoday.co.kr/news/view/1434676</x:v>
      </x:c>
      <x:c r="F13" s="18" t="str">
        <x:v>연간 수익률</x:v>
      </x:c>
    </x:row>
    <x:row r="14" ht="38" customHeight="1">
      <x:c r="A14" s="29" t="str">
        <x:v>S13</x:v>
      </x:c>
      <x:c r="B14" s="29" t="str">
        <x:v>한국경제</x:v>
      </x:c>
      <x:c r="C14" s="29" t="str">
        <x:v>써니전자: 전 대표 안랩 경력만으로 안철수 테마</x:v>
      </x:c>
      <x:c r="D14" s="29" t="str">
        <x:v>2020-01-07</x:v>
      </x:c>
      <x:c r="E14" s="29" t="str">
        <x:v>https://www.hankyung.com/article/202001078101i</x:v>
      </x:c>
      <x:c r="F14" s="29" t="str">
        <x:v>연결 사유</x:v>
      </x:c>
    </x:row>
    <x:row r="15" ht="38" customHeight="1">
      <x:c r="A15" s="18" t="str">
        <x:v>S14</x:v>
      </x:c>
      <x:c r="B15" s="18" t="str">
        <x:v>한국경제</x:v>
      </x:c>
      <x:c r="C15" s="18" t="str">
        <x:v>안철수 사퇴 뒤 안랩·미래산업·써니전자·오픈베이스 급락</x:v>
      </x:c>
      <x:c r="D15" s="18" t="str">
        <x:v>2012-11-25</x:v>
      </x:c>
      <x:c r="E15" s="18" t="str">
        <x:v>https://www.hankyung.com/article/2012112570961</x:v>
      </x:c>
      <x:c r="F15" s="18" t="str">
        <x:v>테마 소멸</x:v>
      </x:c>
    </x:row>
    <x:row r="16" ht="38" customHeight="1">
      <x:c r="A16" s="29" t="str">
        <x:v>S15</x:v>
      </x:c>
      <x:c r="B16" s="29" t="str">
        <x:v>한국경제</x:v>
      </x:c>
      <x:c r="C16" s="29" t="str">
        <x:v>한동훈·이정재 사진 뒤 대상홀딩스우 7연속 상한가</x:v>
      </x:c>
      <x:c r="D16" s="29" t="str">
        <x:v>2023-12-06</x:v>
      </x:c>
      <x:c r="E16" s="29" t="str">
        <x:v>https://plus.hankyung.com/apps/newsinside.view?aid=2023120672275&amp;category=&amp;sns=y</x:v>
      </x:c>
      <x:c r="F16" s="29" t="str">
        <x:v>사진 밈</x:v>
      </x:c>
    </x:row>
    <x:row r="17" ht="38" customHeight="1">
      <x:c r="A17" s="18" t="str">
        <x:v>S16</x:v>
      </x:c>
      <x:c r="B17" s="18" t="str">
        <x:v>이데일리</x:v>
      </x:c>
      <x:c r="C17" s="18" t="str">
        <x:v>대상홀딩스우 사진 한 장·우선주 과열 분석</x:v>
      </x:c>
      <x:c r="D17" s="18" t="str">
        <x:v>2023-12-07</x:v>
      </x:c>
      <x:c r="E17" s="18" t="str">
        <x:v>https://www.edaily.co.kr/News/Read?mediaCodeNo=257&amp;newsId=01252966635834256</x:v>
      </x:c>
      <x:c r="F17" s="18" t="str">
        <x:v>펀더멘털 무관</x:v>
      </x:c>
    </x:row>
    <x:row r="18" ht="38" customHeight="1">
      <x:c r="A18" s="29" t="str">
        <x:v>S17</x:v>
      </x:c>
      <x:c r="B18" s="29" t="str">
        <x:v>이데일리</x:v>
      </x:c>
      <x:c r="C18" s="29" t="str">
        <x:v>디티앤씨알오: 동문 이유·별도 호재 없이 120% 급등</x:v>
      </x:c>
      <x:c r="D18" s="29" t="str">
        <x:v>2023-11-27</x:v>
      </x:c>
      <x:c r="E18" s="29" t="str">
        <x:v>https://www.edaily.co.kr/news/read?newsId=01125046635809984</x:v>
      </x:c>
      <x:c r="F18" s="29" t="str">
        <x:v>가격·무재료</x:v>
      </x:c>
    </x:row>
    <x:row r="19" ht="38" customHeight="1">
      <x:c r="A19" s="18" t="str">
        <x:v>S18</x:v>
      </x:c>
      <x:c r="B19" s="18" t="str">
        <x:v>한국경제</x:v>
      </x:c>
      <x:c r="C19" s="18" t="str">
        <x:v>화천기계 조국 테마와 조국 측 무관 입장</x:v>
      </x:c>
      <x:c r="D19" s="18" t="str">
        <x:v>2024-03-27</x:v>
      </x:c>
      <x:c r="E19" s="18" t="str">
        <x:v>https://www.hankyung.com/article/2024032790396</x:v>
      </x:c>
      <x:c r="F19" s="18" t="str">
        <x:v>당사자 반박</x:v>
      </x:c>
    </x:row>
    <x:row r="20" ht="38" customHeight="1">
      <x:c r="A20" s="29" t="str">
        <x:v>S19</x:v>
      </x:c>
      <x:c r="B20" s="29" t="str">
        <x:v>이데일리TV</x:v>
      </x:c>
      <x:c r="C20" s="29" t="str">
        <x:v>김문수 테마 평화홀딩스·본질가치 무관 정치테마 정의</x:v>
      </x:c>
      <x:c r="D20" s="29" t="str">
        <x:v>2025-03-10</x:v>
      </x:c>
      <x:c r="E20" s="29" t="str">
        <x:v>https://tvm.edaily.co.kr/News/NewsRead?Kind=&amp;NewsId=01804006642101680</x:v>
      </x:c>
      <x:c r="F20" s="29" t="str">
        <x:v>연결 사유</x:v>
      </x:c>
    </x:row>
    <x:row r="21" ht="38" customHeight="1">
      <x:c r="A21" s="18" t="str">
        <x:v>S20</x:v>
      </x:c>
      <x:c r="B21" s="18" t="str">
        <x:v>이데일리</x:v>
      </x:c>
      <x:c r="C21" s="18" t="str">
        <x:v>평화홀딩스·형지글로벌 2025년 수익률</x:v>
      </x:c>
      <x:c r="D21" s="18" t="str">
        <x:v>2025-04-06</x:v>
      </x:c>
      <x:c r="E21" s="18" t="str">
        <x:v>https://www.edaily.co.kr/News/Read?mediaCodeNo=257&amp;newsId=01384166642133496</x:v>
      </x:c>
      <x:c r="F21" s="18" t="str">
        <x:v>가격 반응</x:v>
      </x:c>
    </x:row>
    <x:row r="22" ht="38" customHeight="1">
      <x:c r="A22" s="29" t="str">
        <x:v>S23</x:v>
      </x:c>
      <x:c r="B22" s="29" t="str">
        <x:v>한국경제</x:v>
      </x:c>
      <x:c r="C22" s="29" t="str">
        <x:v>남북경협 기대에 좋은사람들·남해화학·철도주 급등</x:v>
      </x:c>
      <x:c r="D22" s="29" t="str">
        <x:v>2018-04-18</x:v>
      </x:c>
      <x:c r="E22" s="29" t="str">
        <x:v>https://www.hankyung.com/article/2018041836011</x:v>
      </x:c>
      <x:c r="F22" s="29" t="str">
        <x:v>정책 기대</x:v>
      </x:c>
    </x:row>
    <x:row r="23" ht="38" customHeight="1">
      <x:c r="A23" s="18" t="str">
        <x:v>S24</x:v>
      </x:c>
      <x:c r="B23" s="18" t="str">
        <x:v>아주경제</x:v>
      </x:c>
      <x:c r="C23" s="18" t="str">
        <x:v>남북경협주 대호에이엘·대아티아이 누적 상승률</x:v>
      </x:c>
      <x:c r="D23" s="18" t="str">
        <x:v>2018-04-17</x:v>
      </x:c>
      <x:c r="E23" s="18" t="str">
        <x:v>https://www.ajunews.com/view/20180417160416981</x:v>
      </x:c>
      <x:c r="F23" s="18" t="str">
        <x:v>가격 반응</x:v>
      </x:c>
    </x:row>
    <x:row r="24" ht="38" customHeight="1">
      <x:c r="A24" s="29" t="str">
        <x:v>S25</x:v>
      </x:c>
      <x:c r="B24" s="29" t="str">
        <x:v>뉴스토마토</x:v>
      </x:c>
      <x:c r="C24" s="29" t="str">
        <x:v>가덕도 신공항 정책테마 급등 뒤 법 통과 후 급락</x:v>
      </x:c>
      <x:c r="D24" s="29" t="str">
        <x:v>2021-03-15</x:v>
      </x:c>
      <x:c r="E24" s="29" t="str">
        <x:v>https://www.newstomato.com/ReadNews.aspx?no=1030362</x:v>
      </x:c>
      <x:c r="F24" s="29" t="str">
        <x:v>정책 소멸</x:v>
      </x:c>
    </x:row>
    <x:row r="25" ht="38" customHeight="1">
      <x:c r="A25" s="18" t="str">
        <x:v>S26</x:v>
      </x:c>
      <x:c r="B25" s="18" t="str">
        <x:v>증권플러스</x:v>
      </x:c>
      <x:c r="C25" s="18" t="str">
        <x:v>세종시 테마 유라테크·프럼파스트 상승과 연결 사유</x:v>
      </x:c>
      <x:c r="D25" s="18" t="str">
        <x:v>2025-03-20</x:v>
      </x:c>
      <x:c r="E25" s="18" t="str">
        <x:v>https://robonews.stockplus.com/articles/809122</x:v>
      </x:c>
      <x:c r="F25" s="18" t="str">
        <x:v>정책 테마</x:v>
      </x:c>
    </x:row>
    <x:row r="26" ht="38" customHeight="1">
      <x:c r="A26" s="29" t="str">
        <x:v>S27</x:v>
      </x:c>
      <x:c r="B26" s="29" t="str">
        <x:v>한겨레</x:v>
      </x:c>
      <x:c r="C26" s="29" t="str">
        <x:v>동해 유전 발표 당일 대왕고래 관련주 무더기 상한가</x:v>
      </x:c>
      <x:c r="D26" s="29" t="str">
        <x:v>2024-06-03</x:v>
      </x:c>
      <x:c r="E26" s="29" t="str">
        <x:v>https://www.hani.co.kr/arti/economy/finance/1143176.html</x:v>
      </x:c>
      <x:c r="F26" s="29" t="str">
        <x:v>정책 발표</x:v>
      </x:c>
    </x:row>
    <x:row r="27" ht="38" customHeight="1">
      <x:c r="A27" s="18" t="str">
        <x:v>S28</x:v>
      </x:c>
      <x:c r="B27" s="18" t="str">
        <x:v>대신증권</x:v>
      </x:c>
      <x:c r="C27" s="18" t="str">
        <x:v>한국가스공사 6월 3일 발표 뒤 38% 상승·가치 추정은 시추 이후</x:v>
      </x:c>
      <x:c r="D27" s="18" t="str">
        <x:v>2024-06-10</x:v>
      </x:c>
      <x:c r="E27" s="18" t="str">
        <x:v>https://money2.daishin.com/PDF/Out/intranet_data/product/researchcenter/report/2024/06/50232_kogas_200610.pdf</x:v>
      </x:c>
      <x:c r="F27" s="18" t="str">
        <x:v>증권사 리서치</x:v>
      </x:c>
    </x:row>
    <x:row r="28" ht="38" customHeight="1">
      <x:c r="A28" s="29" t="str">
        <x:v>S29</x:v>
      </x:c>
      <x:c r="B28" s="29" t="str">
        <x:v>파이낸셜뉴스</x:v>
      </x:c>
      <x:c r="C28" s="29" t="str">
        <x:v>동양철관 2연속 상한가 뒤 3일째 +21.53%</x:v>
      </x:c>
      <x:c r="D28" s="29" t="str">
        <x:v>2024-06-05</x:v>
      </x:c>
      <x:c r="E28" s="29" t="str">
        <x:v>https://www.fnnews.com/news/202406051020300287</x:v>
      </x:c>
      <x:c r="F28" s="29" t="str">
        <x:v>가격 반응</x:v>
      </x:c>
    </x:row>
    <x:row r="29" ht="38" customHeight="1">
      <x:c r="A29" s="18" t="str">
        <x:v>S30</x:v>
      </x:c>
      <x:c r="B29" s="18" t="str">
        <x:v>한국경제</x:v>
      </x:c>
      <x:c r="C29" s="18" t="str">
        <x:v>대왕고래 경제성 없음 결론 뒤 관련주 급락</x:v>
      </x:c>
      <x:c r="D29" s="18" t="str">
        <x:v>2025-02-07</x:v>
      </x:c>
      <x:c r="E29" s="18" t="str">
        <x:v>https://www.hankyung.com/article/2025020711271</x:v>
      </x:c>
      <x:c r="F29" s="18" t="str">
        <x:v>테마 소멸</x:v>
      </x:c>
    </x:row>
    <x:row r="30" ht="38" customHeight="1">
      <x:c r="A30" s="29" t="str">
        <x:v>S31</x:v>
      </x:c>
      <x:c r="B30" s="29" t="str">
        <x:v>한국경제</x:v>
      </x:c>
      <x:c r="C30" s="29" t="str">
        <x:v>싸이 강남스타일 열풍에 디아이 급등·싸이 지분 없음</x:v>
      </x:c>
      <x:c r="D30" s="29" t="str">
        <x:v>2012-08-14</x:v>
      </x:c>
      <x:c r="E30" s="29" t="str">
        <x:v>https://www.hankyung.com/article/2012081486426</x:v>
      </x:c>
      <x:c r="F30" s="29" t="str">
        <x:v>문화 밈</x:v>
      </x:c>
    </x:row>
    <x:row r="31" ht="38" customHeight="1">
      <x:c r="A31" s="18" t="str">
        <x:v>S32</x:v>
      </x:c>
      <x:c r="B31" s="18" t="str">
        <x:v>머니투데이</x:v>
      </x:c>
      <x:c r="C31" s="18" t="str">
        <x:v>디아이 강남스타일 발표 뒤 시총 급증·4일 연속 상한가</x:v>
      </x:c>
      <x:c r="D31" s="18" t="str">
        <x:v>2012-10-10</x:v>
      </x:c>
      <x:c r="E31" s="18" t="str">
        <x:v>https://news.mt.co.kr/mtview.php?no=2012101015501655096</x:v>
      </x:c>
      <x:c r="F31" s="18" t="str">
        <x:v>가격 반응</x:v>
      </x:c>
    </x:row>
    <x:row r="32" ht="38" customHeight="1">
      <x:c r="A32" s="29" t="str">
        <x:v>S33</x:v>
      </x:c>
      <x:c r="B32" s="29" t="str">
        <x:v>더벨</x:v>
      </x:c>
      <x:c r="C32" s="29" t="str">
        <x:v>오징어게임 흥행 뒤 버킷스튜디오 연속 상한가·간접 지분</x:v>
      </x:c>
      <x:c r="D32" s="29" t="str">
        <x:v>2021-09-28</x:v>
      </x:c>
      <x:c r="E32" s="29" t="str">
        <x:v>https://www.thebell.co.kr/front/newsview.asp?code=00&amp;key=202109281446039240101152</x:v>
      </x:c>
      <x:c r="F32" s="29" t="str">
        <x:v>간접 연결</x:v>
      </x:c>
    </x:row>
    <x:row r="33" ht="38" customHeight="1">
      <x:c r="A33" s="18" t="str">
        <x:v>S34</x:v>
      </x:c>
      <x:c r="B33" s="18" t="str">
        <x:v>대한경제</x:v>
      </x:c>
      <x:c r="C33" s="18" t="str">
        <x:v>오징어게임 흥행에 버킷스튜디오·쇼박스 급등</x:v>
      </x:c>
      <x:c r="D33" s="18" t="str">
        <x:v>2021-09-23</x:v>
      </x:c>
      <x:c r="E33" s="18" t="str">
        <x:v>https://www.dnews.co.kr/m_home/view.jsp?idxno=202109231456413960423</x:v>
      </x:c>
      <x:c r="F33" s="18" t="str">
        <x:v>콘텐츠 테마</x:v>
      </x:c>
    </x:row>
    <x:row r="34" ht="38" customHeight="1">
      <x:c r="A34" s="29" t="str">
        <x:v>S35</x:v>
      </x:c>
      <x:c r="B34" s="29" t="str">
        <x:v>이데일리</x:v>
      </x:c>
      <x:c r="C34" s="29" t="str">
        <x:v>기생충 아카데미 4관왕 뒤 바른손 상한가</x:v>
      </x:c>
      <x:c r="D34" s="29" t="str">
        <x:v>2020-02-10</x:v>
      </x:c>
      <x:c r="E34" s="29" t="str">
        <x:v>https://www.edaily.co.kr/News/Read?mediaCodeNo=257&amp;newsId=04142646625669208</x:v>
      </x:c>
      <x:c r="F34" s="29" t="str">
        <x:v>직접 제작 연결</x:v>
      </x:c>
    </x:row>
    <x:row r="35" ht="38" customHeight="1">
      <x:c r="A35" s="18" t="str">
        <x:v>S49</x:v>
      </x:c>
      <x:c r="B35" s="18" t="str">
        <x:v>대한경제</x:v>
      </x:c>
      <x:c r="C35" s="18" t="str">
        <x:v>정치테마주 60종목 중 72% 고점 대비 30% 이상 하락</x:v>
      </x:c>
      <x:c r="D35" s="18" t="str">
        <x:v>2025-05-14</x:v>
      </x:c>
      <x:c r="E35" s="18" t="str">
        <x:v>https://www.dnews.co.kr/uhtml/view.jsp?idxno=202505141555350560163</x:v>
      </x:c>
      <x:c r="F35" s="18" t="str">
        <x:v>금감원·거래소 인용</x:v>
      </x:c>
    </x:row>
    <x:row r="36" ht="38" customHeight="1">
      <x:c r="A36" s="29" t="str">
        <x:v>S50</x:v>
      </x:c>
      <x:c r="B36" s="29" t="str">
        <x:v>뉴스웨이</x:v>
      </x:c>
      <x:c r="C36" s="29" t="str">
        <x:v>두쫀쿠 열풍에 흥국에프엔비 주가 상한가·원재료 공급 확대</x:v>
      </x:c>
      <x:c r="D36" s="29" t="str">
        <x:v>2026-01-30</x:v>
      </x:c>
      <x:c r="E36" s="29" t="str">
        <x:v>https://www.newsway.co.kr/news/view?ud=2026013014505673668</x:v>
      </x:c>
      <x:c r="F36" s="29" t="str">
        <x:v>가격·공급망</x:v>
      </x:c>
    </x:row>
    <x:row r="37" ht="38" customHeight="1">
      <x:c r="A37" s="18" t="str">
        <x:v>S51</x:v>
      </x:c>
      <x:c r="B37" s="18" t="str">
        <x:v>매일경제/다음</x:v>
      </x:c>
      <x:c r="C37" s="18" t="str">
        <x:v>두쫀쿠에 달달해진 편의점·원재료주: 흥국 상한가·BGF 목표가 상향</x:v>
      </x:c>
      <x:c r="D37" s="18" t="str">
        <x:v>2026-02-16</x:v>
      </x:c>
      <x:c r="E37" s="18" t="str">
        <x:v>https://v.daum.net/v/20260216170225596</x:v>
      </x:c>
      <x:c r="F37" s="18" t="str">
        <x:v>가격·리서치</x:v>
      </x:c>
    </x:row>
    <x:row r="38" ht="38" customHeight="1">
      <x:c r="A38" s="29" t="str">
        <x:v>S52</x:v>
      </x:c>
      <x:c r="B38" s="29" t="str">
        <x:v>ZDNet Korea</x:v>
      </x:c>
      <x:c r="C38" s="29" t="str">
        <x:v>신세계푸드 두바이 디저트 오픈런·완판과 판매 확대</x:v>
      </x:c>
      <x:c r="D38" s="29" t="str">
        <x:v>2026-02-04</x:v>
      </x:c>
      <x:c r="E38" s="29" t="str">
        <x:v>https://zdnet.co.kr/view/?no=20260204091035</x:v>
      </x:c>
      <x:c r="F38" s="29" t="str">
        <x:v>판매·브랜드</x:v>
      </x:c>
    </x:row>
    <x:row r="39" ht="38" customHeight="1">
      <x:c r="A39" s="18" t="str">
        <x:v>S53</x:v>
      </x:c>
      <x:c r="B39" s="18" t="str">
        <x:v>한국경제</x:v>
      </x:c>
      <x:c r="C39" s="18" t="str">
        <x:v>불닭 SNS 확산과 삼양식품 주가·수출 성장</x:v>
      </x:c>
      <x:c r="D39" s="18" t="str">
        <x:v>2024-05-26</x:v>
      </x:c>
      <x:c r="E39" s="18" t="str">
        <x:v>https://www.hankyung.com/article/2024052637231</x:v>
      </x:c>
      <x:c r="F39" s="18" t="str">
        <x:v>SNS·가격</x:v>
      </x:c>
    </x:row>
    <x:row r="40" ht="38" customHeight="1">
      <x:c r="A40" s="29" t="str">
        <x:v>S54</x:v>
      </x:c>
      <x:c r="B40" s="29" t="str">
        <x:v>한국경제</x:v>
      </x:c>
      <x:c r="C40" s="29" t="str">
        <x:v>포켓몬빵 인기와 SPC삼립 주가 급등</x:v>
      </x:c>
      <x:c r="D40" s="29" t="str">
        <x:v>2022-03-10</x:v>
      </x:c>
      <x:c r="E40" s="29" t="str">
        <x:v>https://www.hankyung.com/article/2022031072561</x:v>
      </x:c>
      <x:c r="F40" s="29" t="str">
        <x:v>가격·판매</x:v>
      </x:c>
    </x:row>
    <x:row r="41" ht="38" customHeight="1">
      <x:c r="A41" s="18" t="str">
        <x:v>S55</x:v>
      </x:c>
      <x:c r="B41" s="18" t="str">
        <x:v>한국경제</x:v>
      </x:c>
      <x:c r="C41" s="18" t="str">
        <x:v>크보빵 판매 호조로 SPC삼립 8% 급등</x:v>
      </x:c>
      <x:c r="D41" s="18" t="str">
        <x:v>2025-03-25</x:v>
      </x:c>
      <x:c r="E41" s="18" t="str">
        <x:v>https://www.hankyung.com/article/202503257174L</x:v>
      </x:c>
      <x:c r="F41" s="18" t="str">
        <x:v>가격·판매</x:v>
      </x:c>
    </x:row>
    <x:row r="42" ht="38" customHeight="1">
      <x:c r="A42" s="29" t="str">
        <x:v>S56</x:v>
      </x:c>
      <x:c r="B42" s="29" t="str">
        <x:v>머니투데이</x:v>
      </x:c>
      <x:c r="C42" s="29" t="str">
        <x:v>일본 리들샷 수요 폭증과 브이티 주가 3배</x:v>
      </x:c>
      <x:c r="D42" s="29" t="str">
        <x:v>2023-09-19</x:v>
      </x:c>
      <x:c r="E42" s="29" t="str">
        <x:v>https://www.mt.co.kr/stock/2023/09/19/2023091809273513453</x:v>
      </x:c>
      <x:c r="F42" s="29" t="str">
        <x:v>가격·판매</x:v>
      </x:c>
    </x:row>
    <x:row r="43" ht="38" customHeight="1">
      <x:c r="A43" s="18" t="str">
        <x:v>S57</x:v>
      </x:c>
      <x:c r="B43" s="18" t="str">
        <x:v>매일경제</x:v>
      </x:c>
      <x:c r="C43" s="18" t="str">
        <x:v>미국 SNS K푸드 열풍과 우양 냉동김밥 수혜 논리</x:v>
      </x:c>
      <x:c r="D43" s="18" t="str">
        <x:v>2024-02-22</x:v>
      </x:c>
      <x:c r="E43" s="18" t="str">
        <x:v>https://www.mk.co.kr/en/stock/10948440</x:v>
      </x:c>
      <x:c r="F43" s="18" t="str">
        <x:v>리서치·SNS</x:v>
      </x:c>
    </x:row>
    <x:row r="44" ht="38" customHeight="1">
      <x:c r="A44" s="29" t="str">
        <x:v>S58</x:v>
      </x:c>
      <x:c r="B44" s="29" t="str">
        <x:v>아시아경제</x:v>
      </x:c>
      <x:c r="C44" s="29" t="str">
        <x:v>케이팝 데몬 헌터스·김밥 인기에 우양 상승</x:v>
      </x:c>
      <x:c r="D44" s="29" t="str">
        <x:v>2025-08-22</x:v>
      </x:c>
      <x:c r="E44" s="29" t="str">
        <x:v>https://www.asiae.co.kr/en/article/2025082214344404232</x:v>
      </x:c>
      <x:c r="F44" s="29" t="str">
        <x:v>가격·콘텐츠</x:v>
      </x:c>
    </x:row>
    <x:row r="45" ht="38" customHeight="1">
      <x:c r="A45" s="18" t="str">
        <x:v>S59</x:v>
      </x:c>
      <x:c r="B45" s="18" t="str">
        <x:v>미래에셋증권</x:v>
      </x:c>
      <x:c r="C45" s="18" t="str">
        <x:v>삼성출판사: 아기상어 유튜브 조회수 글로벌 1위 소식에 상승</x:v>
      </x:c>
      <x:c r="D45" s="18" t="str">
        <x:v>2020-11</x:v>
      </x:c>
      <x:c r="E45" s="18" t="str">
        <x:v>https://securities.miraeasset.com/bbs/download/2079218.pdf?attachmentId=2079218</x:v>
      </x:c>
      <x:c r="F45" s="18" t="str">
        <x:v>가격·콘텐츠</x:v>
      </x:c>
    </x:row>
    <x:row r="46" ht="38" customHeight="1">
      <x:c r="A46" s="29" t="str">
        <x:v>S60</x:v>
      </x:c>
      <x:c r="B46" s="29" t="str">
        <x:v>Signal Report</x:v>
      </x:c>
      <x:c r="C46" s="29" t="str">
        <x:v>더핑크퐁컴퍼니 상장 추진 보도에 삼성출판사 상한가</x:v>
      </x:c>
      <x:c r="D46" s="29" t="str">
        <x:v>2023-09-06</x:v>
      </x:c>
      <x:c r="E46" s="29" t="str">
        <x:v>https://files-scs.pstatic.net/2023/09/06/wxc6Edf0J8/230906%28%EC%88%98%29%20Signal%20Report.pdf</x:v>
      </x:c>
      <x:c r="F46" s="29" t="str">
        <x:v>가격·IPO</x:v>
      </x:c>
    </x:row>
    <x:row r="47" ht="38" customHeight="1">
      <x:c r="A47" s="18" t="str">
        <x:v>S61</x:v>
      </x:c>
      <x:c r="B47" s="18" t="str">
        <x:v>한국경제</x:v>
      </x:c>
      <x:c r="C47" s="18" t="str">
        <x:v>기생충 짜파구리 판매 확산과 농심 주가 급등</x:v>
      </x:c>
      <x:c r="D47" s="18" t="str">
        <x:v>2020-02-13</x:v>
      </x:c>
      <x:c r="E47" s="18" t="str">
        <x:v>https://www.hankyung.com/article/202002132639Y</x:v>
      </x:c>
      <x:c r="F47" s="18" t="str">
        <x:v>가격·판매</x:v>
      </x:c>
    </x:row>
    <x:row r="48" ht="38" customHeight="1">
      <x:c r="A48" s="29" t="str">
        <x:v>S62</x:v>
      </x:c>
      <x:c r="B48" s="29" t="str">
        <x:v>이투데이</x:v>
      </x:c>
      <x:c r="C48" s="29" t="str">
        <x:v>허니버터칩 열풍과 크라운제과 2014-11-21 가격 반응</x:v>
      </x:c>
      <x:c r="D48" s="29" t="str">
        <x:v>2014-12-30</x:v>
      </x:c>
      <x:c r="E48" s="29" t="str">
        <x:v>https://pdf.etoday.co.kr/daily/pdf/detoday01058.pdf</x:v>
      </x:c>
      <x:c r="F48" s="29" t="str">
        <x:v>가격·역사</x:v>
      </x:c>
    </x:row>
    <x:row r="49" ht="38" customHeight="1">
      <x:c r="A49" s="18" t="str">
        <x:v>S63</x:v>
      </x:c>
      <x:c r="B49" s="18" t="str">
        <x:v>연합뉴스</x:v>
      </x:c>
      <x:c r="C49" s="18" t="str">
        <x:v>허니버터칩 후광 해태제과 상장 후 7일 만에 공모가 4.5배</x:v>
      </x:c>
      <x:c r="D49" s="18" t="str">
        <x:v>2016-10-18</x:v>
      </x:c>
      <x:c r="E49" s="18" t="str">
        <x:v>https://www.yna.co.kr/view/AKR20161018175251030</x:v>
      </x:c>
      <x:c r="F49" s="18" t="str">
        <x:v>가격·IPO</x:v>
      </x:c>
    </x:row>
    <x:row r="50" ht="38" customHeight="1">
      <x:c r="A50" s="29" t="str">
        <x:v>S64</x:v>
      </x:c>
      <x:c r="B50" s="29" t="str">
        <x:v>한국경제</x:v>
      </x:c>
      <x:c r="C50" s="29" t="str">
        <x:v>메디큐브 해외 인기와 에이피알 연초 대비 80.04% 상승</x:v>
      </x:c>
      <x:c r="D50" s="29" t="str">
        <x:v>2026-04-19</x:v>
      </x:c>
      <x:c r="E50" s="29" t="str">
        <x:v>https://www.hankyung.com/article/2026041910781</x:v>
      </x:c>
      <x:c r="F50" s="29" t="str">
        <x:v>가격·뷰티</x:v>
      </x:c>
    </x:row>
    <x:row r="51" ht="38" customHeight="1">
      <x:c r="A51" s="18" t="str">
        <x:v>S65</x:v>
      </x:c>
      <x:c r="B51" s="18" t="str">
        <x:v>뉴스톱</x:v>
      </x:c>
      <x:c r="C51" s="18" t="str">
        <x:v>SNS 인플루언서 유통 성장과 실리콘투 주가 5배</x:v>
      </x:c>
      <x:c r="D51" s="18" t="str">
        <x:v>2024-06</x:v>
      </x:c>
      <x:c r="E51" s="18" t="str">
        <x:v>https://www.newstof.com/news/articleView.html?idxno=23122</x:v>
      </x:c>
      <x:c r="F51" s="18" t="str">
        <x:v>가격·유통</x:v>
      </x:c>
    </x:row>
    <x:row r="52" ht="38" customHeight="1">
      <x:c r="A52" s="29" t="str">
        <x:v>S80</x:v>
      </x:c>
      <x:c r="B52" s="29" t="str">
        <x:v>연합뉴스</x:v>
      </x:c>
      <x:c r="C52" s="29" t="str">
        <x:v>KT 아이폰 국내 공식 출시·예약 6만명</x:v>
      </x:c>
      <x:c r="D52" s="29" t="str">
        <x:v>2009-11-28</x:v>
      </x:c>
      <x:c r="E52" s="29" t="str">
        <x:v>https://www.yna.co.kr/view/AKR20091128034700017</x:v>
      </x:c>
      <x:c r="F52" s="29" t="str">
        <x:v>동시대 통신</x:v>
      </x:c>
    </x:row>
    <x:row r="53" ht="38" customHeight="1">
      <x:c r="A53" s="18" t="str">
        <x:v>S92</x:v>
      </x:c>
      <x:c r="B53" s="18" t="str">
        <x:v>한국경제</x:v>
      </x:c>
      <x:c r="C53" s="18" t="str">
        <x:v>4대강 착공 기대: 특수건설·동신건설 등 7개 종목 당일 등락률</x:v>
      </x:c>
      <x:c r="D53" s="18" t="str">
        <x:v>2009-11-09</x:v>
      </x:c>
      <x:c r="E53" s="18" t="str">
        <x:v>https://www.hankyung.com/article/2009110944476</x:v>
      </x:c>
      <x:c r="F53" s="18" t="str">
        <x:v>동시대 시세 기사</x:v>
      </x:c>
    </x:row>
    <x:row r="54" ht="38" customHeight="1">
      <x:c r="A54" s="29" t="str">
        <x:v>S93</x:v>
      </x:c>
      <x:c r="B54" s="29" t="str">
        <x:v>연합뉴스</x:v>
      </x:c>
      <x:c r="C54" s="29" t="str">
        <x:v>대통령 녹색성장·자전거도로 연설 후 자전거·4대강주 당일 등락률</x:v>
      </x:c>
      <x:c r="D54" s="29" t="str">
        <x:v>2009-04-20</x:v>
      </x:c>
      <x:c r="E54" s="29" t="str">
        <x:v>https://www.yna.co.kr/amp/view/AKR20090420147100008</x:v>
      </x:c>
      <x:c r="F54" s="29" t="str">
        <x:v>동시대 시세 기사</x:v>
      </x:c>
    </x:row>
    <x:row r="55" ht="38" customHeight="1">
      <x:c r="A55" s="18" t="str">
        <x:v>S94</x:v>
      </x:c>
      <x:c r="B55" s="18" t="str">
        <x:v>한국경제</x:v>
      </x:c>
      <x:c r="C55" s="18" t="str">
        <x:v>정부 자전거산업 대책 후 삼천리자전거·참좋은레져 상한가</x:v>
      </x:c>
      <x:c r="D55" s="18" t="str">
        <x:v>2009-05-04</x:v>
      </x:c>
      <x:c r="E55" s="18" t="str">
        <x:v>https://www.hankyung.com/article/2009050436866</x:v>
      </x:c>
      <x:c r="F55" s="18" t="str">
        <x:v>동시대 시세 기사</x:v>
      </x:c>
    </x:row>
    <x:row r="56" ht="38" customHeight="1">
      <x:c r="A56" s="29" t="str">
        <x:v>S95</x:v>
      </x:c>
      <x:c r="B56" s="29" t="str">
        <x:v>아시아경제</x:v>
      </x:c>
      <x:c r="C56" s="29" t="str">
        <x:v>자전거 대책 후 삼천리자전거·참좋은레져·에이모션 상한가</x:v>
      </x:c>
      <x:c r="D56" s="29" t="str">
        <x:v>2009-05-04</x:v>
      </x:c>
      <x:c r="E56" s="29" t="str">
        <x:v>https://www.asiae.co.kr/article/2009050409100200723</x:v>
      </x:c>
      <x:c r="F56" s="29" t="str">
        <x:v>동시대 시세 기사</x:v>
      </x:c>
    </x:row>
    <x:row r="57" ht="38" customHeight="1">
      <x:c r="A57" s="18" t="str">
        <x:v>S96</x:v>
      </x:c>
      <x:c r="B57" s="18" t="str">
        <x:v>이투데이</x:v>
      </x:c>
      <x:c r="C57" s="18" t="str">
        <x:v>아바타 3D 열풍·아이폰 출시 후 3D/스마트폰 테마주 점검</x:v>
      </x:c>
      <x:c r="D57" s="18" t="str">
        <x:v>2010-01-20</x:v>
      </x:c>
      <x:c r="E57" s="18" t="str">
        <x:v>https://www.etoday.co.kr/news/view/283529</x:v>
      </x:c>
      <x:c r="F57" s="18" t="str">
        <x:v>동시대 테마 기사</x:v>
      </x:c>
    </x:row>
    <x:row r="58" ht="38" customHeight="1">
      <x:c r="A58" s="29" t="str">
        <x:v>S100</x:v>
      </x:c>
      <x:c r="B58" s="29" t="str">
        <x:v>한국경제</x:v>
      </x:c>
      <x:c r="C58" s="29" t="str">
        <x:v>2009 신종플루 확산에 백신·의약 관련주 무더기 상한가</x:v>
      </x:c>
      <x:c r="D58" s="29" t="str">
        <x:v>2009-08-21</x:v>
      </x:c>
      <x:c r="E58" s="29" t="str">
        <x:v>https://www.hankyung.com/article/2009082156686</x:v>
      </x:c>
      <x:c r="F58" s="29" t="str">
        <x:v>동시대 시세</x:v>
      </x:c>
    </x:row>
    <x:row r="59" ht="38" customHeight="1">
      <x:c r="A59" s="18" t="str">
        <x:v>S101</x:v>
      </x:c>
      <x:c r="B59" s="18" t="str">
        <x:v>연합뉴스</x:v>
      </x:c>
      <x:c r="C59" s="18" t="str">
        <x:v>2009 신종플루 사망자 발생 후 관련주 9종목 상한가</x:v>
      </x:c>
      <x:c r="D59" s="18" t="str">
        <x:v>2009-08-17</x:v>
      </x:c>
      <x:c r="E59" s="18" t="str">
        <x:v>https://cb.yna.co.kr/gate/big5/cn.yna.co.kr/view/AKR20090817168100008</x:v>
      </x:c>
      <x:c r="F59" s="18" t="str">
        <x:v>동시대 시세</x:v>
      </x:c>
    </x:row>
    <x:row r="60" ht="38" customHeight="1">
      <x:c r="A60" s="29" t="str">
        <x:v>S102</x:v>
      </x:c>
      <x:c r="B60" s="29" t="str">
        <x:v>한국경제</x:v>
      </x:c>
      <x:c r="C60" s="29" t="str">
        <x:v>2010 막걸리 시장 성장과 국순당 신고가 행진</x:v>
      </x:c>
      <x:c r="D60" s="29" t="str">
        <x:v>2010-05-04</x:v>
      </x:c>
      <x:c r="E60" s="29" t="str">
        <x:v>https://www.hankyung.com/article/2010050445286</x:v>
      </x:c>
      <x:c r="F60" s="29" t="str">
        <x:v>동시대 시세</x:v>
      </x:c>
    </x:row>
    <x:row r="61" ht="38" customHeight="1">
      <x:c r="A61" s="18" t="str">
        <x:v>S103</x:v>
      </x:c>
      <x:c r="B61" s="18" t="str">
        <x:v>한국상장회사협의회 자료</x:v>
      </x:c>
      <x:c r="C61" s="18" t="str">
        <x:v>2010 남아공월드컵 기대에 하림·동우 상승 후 테마 소멸</x:v>
      </x:c>
      <x:c r="D61" s="18" t="str">
        <x:v>2010</x:v>
      </x:c>
      <x:c r="E61" s="18" t="str">
        <x:v>https://www.klca.or.kr/KLCADownload/eBook/P7013.pdf?Mode=PC</x:v>
      </x:c>
      <x:c r="F61" s="18" t="str">
        <x:v>시장 회고</x:v>
      </x:c>
    </x:row>
    <x:row r="62" ht="38" customHeight="1">
      <x:c r="A62" s="29" t="str">
        <x:v>S104</x:v>
      </x:c>
      <x:c r="B62" s="29" t="str">
        <x:v>한국경제</x:v>
      </x:c>
      <x:c r="C62" s="29" t="str">
        <x:v>남양유업 갑질·불매운동 직후 1주일 15% 하락</x:v>
      </x:c>
      <x:c r="D62" s="29" t="str">
        <x:v>2016-06-08</x:v>
      </x:c>
      <x:c r="E62" s="29" t="str">
        <x:v>https://www.hankyung.com/article/2016060867496</x:v>
      </x:c>
      <x:c r="F62" s="29" t="str">
        <x:v>사후 검증</x:v>
      </x:c>
    </x:row>
    <x:row r="63" ht="38" customHeight="1">
      <x:c r="A63" s="18" t="str">
        <x:v>S105</x:v>
      </x:c>
      <x:c r="B63" s="18" t="str">
        <x:v>한국경제</x:v>
      </x:c>
      <x:c r="C63" s="18" t="str">
        <x:v>가짜 백수오 파동 이후 내츄럴엔도텍 주가 급락</x:v>
      </x:c>
      <x:c r="D63" s="18" t="str">
        <x:v>2015-05-24</x:v>
      </x:c>
      <x:c r="E63" s="18" t="str">
        <x:v>https://www.hankyung.com/article/2015052481557</x:v>
      </x:c>
      <x:c r="F63" s="18" t="str">
        <x:v>사건 분석</x:v>
      </x:c>
    </x:row>
    <x:row r="64" ht="38" customHeight="1">
      <x:c r="A64" s="29" t="str">
        <x:v>S106</x:v>
      </x:c>
      <x:c r="B64" s="29" t="str">
        <x:v>뉴시스</x:v>
      </x:c>
      <x:c r="C64" s="29" t="str">
        <x:v>2019 미세먼지 관련주 연초 평균 급등 및 종목별 수익률</x:v>
      </x:c>
      <x:c r="D64" s="29" t="str">
        <x:v>2019-03-20</x:v>
      </x:c>
      <x:c r="E64" s="29" t="str">
        <x:v>https://www.newsis.com/view/NISX20190320_0000593330</x:v>
      </x:c>
      <x:c r="F64" s="29" t="str">
        <x:v>테마 시세</x:v>
      </x:c>
    </x:row>
    <x:row r="65" ht="38" customHeight="1">
      <x:c r="A65" s="18" t="str">
        <x:v>S107</x:v>
      </x:c>
      <x:c r="B65" s="18" t="str">
        <x:v>한국경제</x:v>
      </x:c>
      <x:c r="C65" s="18" t="str">
        <x:v>2019 일본 불매운동 수혜주 모나미·신성통상·쌍방울 수익률</x:v>
      </x:c>
      <x:c r="D65" s="18" t="str">
        <x:v>2019-08-22</x:v>
      </x:c>
      <x:c r="E65" s="18" t="str">
        <x:v>https://www.hankyung.com/article/201908229653g</x:v>
      </x:c>
      <x:c r="F65" s="18" t="str">
        <x:v>소비자행동·시세</x:v>
      </x:c>
    </x:row>
    <x:row r="66" ht="38" customHeight="1">
      <x:c r="A66" s="29" t="str">
        <x:v>S108</x:v>
      </x:c>
      <x:c r="B66" s="29" t="str">
        <x:v>미래에셋증권</x:v>
      </x:c>
      <x:c r="C66" s="29" t="str">
        <x:v>2020 상반기 코로나 의료기기·진단키트 종목 주가 상승률</x:v>
      </x:c>
      <x:c r="D66" s="29" t="str">
        <x:v>2020</x:v>
      </x:c>
      <x:c r="E66" s="29" t="str">
        <x:v>https://securities.miraeasset.com/bbs/download/2075991.pdf?attachmentId=2075991</x:v>
      </x:c>
      <x:c r="F66" s="29" t="str">
        <x:v>증권사 리서치</x:v>
      </x:c>
    </x:row>
    <x:row r="67" ht="38" customHeight="1">
      <x:c r="A67" s="18" t="str">
        <x:v>S109</x:v>
      </x:c>
      <x:c r="B67" s="18" t="str">
        <x:v>한국경제</x:v>
      </x:c>
      <x:c r="C67" s="18" t="str">
        <x:v>2020 코로나 재확산에 재택근무·온라인교육주 당일 상승률</x:v>
      </x:c>
      <x:c r="D67" s="18" t="str">
        <x:v>2020-12-14</x:v>
      </x:c>
      <x:c r="E67" s="18" t="str">
        <x:v>https://www.hankyung.com/article/2020121476891</x:v>
      </x:c>
      <x:c r="F67" s="18" t="str">
        <x:v>동시대 시세</x:v>
      </x:c>
    </x:row>
    <x:row r="68" ht="38" customHeight="1">
      <x:c r="A68" s="29" t="str">
        <x:v>S110</x:v>
      </x:c>
      <x:c r="B68" s="29" t="str">
        <x:v>한국경제</x:v>
      </x:c>
      <x:c r="C68" s="29" t="str">
        <x:v>2021 메타버스 열풍과 맥스트·자이언트스텝 급등</x:v>
      </x:c>
      <x:c r="D68" s="29" t="str">
        <x:v>2021-08-04</x:v>
      </x:c>
      <x:c r="E68" s="29" t="str">
        <x:v>https://www.hankyung.com/article/2021080497931</x:v>
      </x:c>
      <x:c r="F68" s="29" t="str">
        <x:v>테마 분석</x:v>
      </x:c>
    </x:row>
    <x:row r="69" ht="38" customHeight="1">
      <x:c r="A69" s="18" t="str">
        <x:v>S111</x:v>
      </x:c>
      <x:c r="B69" s="18" t="str">
        <x:v>한국경제</x:v>
      </x:c>
      <x:c r="C69" s="18" t="str">
        <x:v>2021 메타버스 ETF·테마 확산: 덱스터 18.98%, 자이언트스텝 12.96%</x:v>
      </x:c>
      <x:c r="D69" s="18" t="str">
        <x:v>2021-10-18</x:v>
      </x:c>
      <x:c r="E69" s="18" t="str">
        <x:v>https://www.hankyung.com/article/2021101834006</x:v>
      </x:c>
      <x:c r="F69" s="18" t="str">
        <x:v>동시대 시세</x:v>
      </x:c>
    </x:row>
    <x:row r="70" ht="38" customHeight="1">
      <x:c r="A70" s="29" t="str">
        <x:v>S112</x:v>
      </x:c>
      <x:c r="B70" s="29" t="str">
        <x:v>동아일보</x:v>
      </x:c>
      <x:c r="C70" s="29" t="str">
        <x:v>우영우 신드롬으로 에이스토리 11거래일 89.5% 상승</x:v>
      </x:c>
      <x:c r="D70" s="29" t="str">
        <x:v>2022-07-14</x:v>
      </x:c>
      <x:c r="E70" s="29" t="str">
        <x:v>https://www.donga.com/news/Journalist/article/all/20220714/114460309/1</x:v>
      </x:c>
      <x:c r="F70" s="29" t="str">
        <x:v>콘텐츠·시세</x:v>
      </x:c>
    </x:row>
    <x:row r="71" ht="38" customHeight="1">
      <x:c r="A71" s="18" t="str">
        <x:v>S113</x:v>
      </x:c>
      <x:c r="B71" s="18" t="str">
        <x:v>뉴시스</x:v>
      </x:c>
      <x:c r="C71" s="18" t="str">
        <x:v>재벌집 막내아들 흥행 후 래몽래인 1주 70% 상승, 이후 고점 대비 30% 하락</x:v>
      </x:c>
      <x:c r="D71" s="18" t="str">
        <x:v>2022-12-21</x:v>
      </x:c>
      <x:c r="E71" s="18" t="str">
        <x:v>https://www.newsis.com/view/NISX20221221_0002130883</x:v>
      </x:c>
      <x:c r="F71" s="18" t="str">
        <x:v>상승·소멸</x:v>
      </x:c>
    </x:row>
    <x:row r="72" ht="38" customHeight="1">
      <x:c r="A72" s="29" t="str">
        <x:v>S114</x:v>
      </x:c>
      <x:c r="B72" s="29" t="str">
        <x:v>매일경제</x:v>
      </x:c>
      <x:c r="C72" s="29" t="str">
        <x:v>카타르월드컵 16강 진출·패배에 치킨·맥주 관련주 등락</x:v>
      </x:c>
      <x:c r="D72" s="29" t="str">
        <x:v>2022-12-05</x:v>
      </x:c>
      <x:c r="E72" s="29" t="str">
        <x:v>https://www.mk.co.kr/news/stock/view/2022/12/1094633/</x:v>
      </x:c>
      <x:c r="F72" s="29" t="str">
        <x:v>스포츠·시세</x:v>
      </x:c>
    </x:row>
    <x:row r="73" ht="38" customHeight="1">
      <x:c r="A73" s="18" t="str">
        <x:v>S115</x:v>
      </x:c>
      <x:c r="B73" s="18" t="str">
        <x:v>연합뉴스</x:v>
      </x:c>
      <x:c r="C73" s="18" t="str">
        <x:v>챗GPT 돌풍에 코난테크놀로지 등 AI 챗봇주 6종목 급등</x:v>
      </x:c>
      <x:c r="D73" s="18" t="str">
        <x:v>2023-01-30</x:v>
      </x:c>
      <x:c r="E73" s="18" t="str">
        <x:v>https://www.yna.co.kr/view/AKR20230130034551002</x:v>
      </x:c>
      <x:c r="F73" s="18" t="str">
        <x:v>기술유행·시세</x:v>
      </x:c>
    </x:row>
    <x:row r="74" ht="38" customHeight="1">
      <x:c r="A74" s="29" t="str">
        <x:v>S116</x:v>
      </x:c>
      <x:c r="B74" s="29" t="str">
        <x:v>한국경제</x:v>
      </x:c>
      <x:c r="C74" s="29" t="str">
        <x:v>한강 노벨문학상·품절 후 출판주 4종목 급등</x:v>
      </x:c>
      <x:c r="D74" s="29" t="str">
        <x:v>2024-10-11</x:v>
      </x:c>
      <x:c r="E74" s="29" t="str">
        <x:v>https://www.hankyung.com/article/2024101196691</x:v>
      </x:c>
      <x:c r="F74" s="29" t="str">
        <x:v>문화·시세</x:v>
      </x:c>
    </x:row>
    <x:row r="75" ht="38" customHeight="1">
      <x:c r="A75" s="18" t="str">
        <x:v>S117</x:v>
      </x:c>
      <x:c r="B75" s="18" t="str">
        <x:v>SBS</x:v>
      </x:c>
      <x:c r="C75" s="18" t="str">
        <x:v>SNS발 두바이 초콜릿 열풍과 CU 초도물량 20만개 하루 완판</x:v>
      </x:c>
      <x:c r="D75" s="18" t="str">
        <x:v>2024-07-08</x:v>
      </x:c>
      <x:c r="E75" s="18" t="str">
        <x:v>https://news.sbs.co.kr/news/endPage.do?news_id=N1007713128</x:v>
      </x:c>
      <x:c r="F75" s="18" t="str">
        <x:v>유행·판매</x:v>
      </x:c>
    </x:row>
    <x:row r="76" ht="38" customHeight="1">
      <x:c r="A76" s="29" t="str">
        <x:v>S119</x:v>
      </x:c>
      <x:c r="B76" s="29" t="str">
        <x:v>한국경제</x:v>
      </x:c>
      <x:c r="C76" s="29" t="str">
        <x:v>초전도체가 뭐길래…신성델타·서남 이틀째 상한가</x:v>
      </x:c>
      <x:c r="D76" s="29" t="str">
        <x:v>2023-08-02</x:v>
      </x:c>
      <x:c r="E76" s="29" t="str">
        <x:v>https://www.hankyung.com/article/2023080207231</x:v>
      </x:c>
      <x:c r="F76" s="29" t="str">
        <x:v>언론·가격</x:v>
      </x:c>
    </x:row>
    <x:row r="77" ht="38" customHeight="1">
      <x:c r="A77" s="18" t="str">
        <x:v>S120</x:v>
      </x:c>
      <x:c r="B77" s="18" t="str">
        <x:v>뉴시스</x:v>
      </x:c>
      <x:c r="C77" s="18" t="str">
        <x:v>미국 연구진 부정 평가 뒤 초전도체 테마주 무더기 급락</x:v>
      </x:c>
      <x:c r="D77" s="18" t="str">
        <x:v>2023-08-08</x:v>
      </x:c>
      <x:c r="E77" s="18" t="str">
        <x:v>https://www.newsis.com/view/NISX20230808_0002406788</x:v>
      </x:c>
      <x:c r="F77" s="18" t="str">
        <x:v>언론·가격</x:v>
      </x:c>
    </x:row>
    <x:row r="78" ht="38" customHeight="1">
      <x:c r="A78" s="29" t="str">
        <x:v>S121</x:v>
      </x:c>
      <x:c r="B78" s="29" t="str">
        <x:v>한국경제</x:v>
      </x:c>
      <x:c r="C78" s="29" t="str">
        <x:v>네이처 반박…초전도체 테마주 2~4배 뒤 급락</x:v>
      </x:c>
      <x:c r="D78" s="29" t="str">
        <x:v>2023-08-17</x:v>
      </x:c>
      <x:c r="E78" s="29" t="str">
        <x:v>https://www.hankyung.com/article/2023081766506</x:v>
      </x:c>
      <x:c r="F78" s="29" t="str">
        <x:v>언론·검증</x:v>
      </x:c>
    </x:row>
    <x:row r="79" ht="38" customHeight="1">
      <x:c r="A79" s="18" t="str">
        <x:v>S122</x:v>
      </x:c>
      <x:c r="B79" s="18" t="str">
        <x:v>한국경제</x:v>
      </x:c>
      <x:c r="C79" s="18" t="str">
        <x:v>벤처기업인 SNS 긍정 의견에 초전도체주 재급등</x:v>
      </x:c>
      <x:c r="D79" s="18" t="str">
        <x:v>2023-08-16</x:v>
      </x:c>
      <x:c r="E79" s="18" t="str">
        <x:v>https://www.hankyung.com/article/2023081652851</x:v>
      </x:c>
      <x:c r="F79" s="18" t="str">
        <x:v>언론·SNS</x:v>
      </x:c>
    </x:row>
    <x:row r="80" ht="38" customHeight="1">
      <x:c r="A80" s="29" t="str">
        <x:v>S123</x:v>
      </x:c>
      <x:c r="B80" s="29" t="str">
        <x:v>대신증권</x:v>
      </x:c>
      <x:c r="C80" s="29" t="str">
        <x:v>초전도체 뒤이은 맥신 테마, 태경산업·휴비스·경동인베스트 상한가</x:v>
      </x:c>
      <x:c r="D80" s="29" t="str">
        <x:v>2023-08-21</x:v>
      </x:c>
      <x:c r="E80" s="29" t="str">
        <x:v>https://money2.daishin.com/PDF/Out/intranet_data/Product/ResearchCenter/Report/2023/08/47731_Strategy_Daily_230821.pdf</x:v>
      </x:c>
      <x:c r="F80" s="29" t="str">
        <x:v>증권사 리서치</x:v>
      </x:c>
    </x:row>
    <x:row r="81" ht="38" customHeight="1">
      <x:c r="A81" s="18" t="str">
        <x:v>S124</x:v>
      </x:c>
      <x:c r="B81" s="18" t="str">
        <x:v>대한경제</x:v>
      </x:c>
      <x:c r="C81" s="18" t="str">
        <x:v>빈대 공포 확산에 동성제약·경남제약 주가 및 살충제 판매 급증</x:v>
      </x:c>
      <x:c r="D81" s="18" t="str">
        <x:v>2023-11-04</x:v>
      </x:c>
      <x:c r="E81" s="18" t="str">
        <x:v>https://www.dnews.co.kr/uhtml/view.jsp?idxno=202311042246559190645</x:v>
      </x:c>
      <x:c r="F81" s="18" t="str">
        <x:v>언론·가격</x:v>
      </x:c>
    </x:row>
    <x:row r="82" ht="38" customHeight="1">
      <x:c r="A82" s="29" t="str">
        <x:v>S125</x:v>
      </x:c>
      <x:c r="B82" s="29" t="str">
        <x:v>조선비즈</x:v>
      </x:c>
      <x:c r="C82" s="29" t="str">
        <x:v>삼성중공업우 등 우선주 광풍…실적과 무관한 수급 급등</x:v>
      </x:c>
      <x:c r="D82" s="29" t="str">
        <x:v>2020-06-11</x:v>
      </x:c>
      <x:c r="E82" s="29" t="str">
        <x:v>https://biz.chosun.com/site/data/html_dir/2020/06/11/2020061103066.html</x:v>
      </x:c>
      <x:c r="F82" s="29" t="str">
        <x:v>언론·가격</x:v>
      </x:c>
    </x:row>
    <x:row r="83" ht="38" customHeight="1">
      <x:c r="A83" s="18" t="str">
        <x:v>S126</x:v>
      </x:c>
      <x:c r="B83" s="18" t="str">
        <x:v>국민일보</x:v>
      </x:c>
      <x:c r="C83" s="18" t="str">
        <x:v>삼성중공업우 10연속 상한가·다른 우선주 동반 급등</x:v>
      </x:c>
      <x:c r="D83" s="18" t="str">
        <x:v>2020-06-17</x:v>
      </x:c>
      <x:c r="E83" s="18" t="str">
        <x:v>https://www.kmib.co.kr/article/view.asp?arcid=0014702334</x:v>
      </x:c>
      <x:c r="F83" s="18" t="str">
        <x:v>언론·가격</x:v>
      </x:c>
    </x:row>
    <x:row r="84" ht="38" customHeight="1">
      <x:c r="A84" s="29" t="str">
        <x:v>S127</x:v>
      </x:c>
      <x:c r="B84" s="29" t="str">
        <x:v>미래에셋증권</x:v>
      </x:c>
      <x:c r="C84" s="29" t="str">
        <x:v>오염수 방류 우려로 천일염 관련주 급등 뒤 급락</x:v>
      </x:c>
      <x:c r="D84" s="29" t="str">
        <x:v>2023</x:v>
      </x:c>
      <x:c r="E84" s="29" t="str">
        <x:v>https://securities.miraeasset.com/bbs/download/2118458.pdf?attachmentId=2118458</x:v>
      </x:c>
      <x:c r="F84" s="29" t="str">
        <x:v>증권사 리서치</x:v>
      </x:c>
    </x:row>
    <x:row r="85" ht="38" customHeight="1">
      <x:c r="A85" s="18" t="str">
        <x:v>S128</x:v>
      </x:c>
      <x:c r="B85" s="18" t="str">
        <x:v>한국경제</x:v>
      </x:c>
      <x:c r="C85" s="18" t="str">
        <x:v>우마무스메 이용자 간담회 후 카카오게임즈 장중 급락</x:v>
      </x:c>
      <x:c r="D85" s="18" t="str">
        <x:v>2022-09-19</x:v>
      </x:c>
      <x:c r="E85" s="18" t="str">
        <x:v>https://www.hankyung.com/article/202209199013i</x:v>
      </x:c>
      <x:c r="F85" s="18" t="str">
        <x:v>언론·가격</x:v>
      </x:c>
    </x:row>
    <x:row r="86" ht="38" customHeight="1">
      <x:c r="A86" s="29" t="str">
        <x:v>S129</x:v>
      </x:c>
      <x:c r="B86" s="29" t="str">
        <x:v>인베스트조선</x:v>
      </x:c>
      <x:c r="C86" s="29" t="str">
        <x:v>우마무스메 이용자 마차 시위와 카카오게임즈 주가 하락</x:v>
      </x:c>
      <x:c r="D86" s="29" t="str">
        <x:v>2022-08-23</x:v>
      </x:c>
      <x:c r="E86" s="29" t="str">
        <x:v>https://www.investchosun.com/site/data/html_dir/2022/08/23/2022082380178.html</x:v>
      </x:c>
      <x:c r="F86" s="29" t="str">
        <x:v>언론·가격</x:v>
      </x:c>
    </x:row>
    <x:row r="87" ht="38" customHeight="1">
      <x:c r="A87" s="18" t="str">
        <x:v>S130</x:v>
      </x:c>
      <x:c r="B87" s="18" t="str">
        <x:v>팍스넷·증권사리포트</x:v>
      </x:c>
      <x:c r="C87" s="18" t="str">
        <x:v>어도어 감사 보도 당일 하이브 7.81% 하락</x:v>
      </x:c>
      <x:c r="D87" s="18" t="str">
        <x:v>2024-04-23</x:v>
      </x:c>
      <x:c r="E87" s="18" t="str">
        <x:v>https://www.paxnet.co.kr/WWW/data/researchCenter/attach/20240423132209493.pdf</x:v>
      </x:c>
      <x:c r="F87" s="18" t="str">
        <x:v>증권사 리서치</x:v>
      </x:c>
    </x:row>
    <x:row r="88" ht="38" customHeight="1">
      <x:c r="A88" s="29" t="str">
        <x:v>S131</x:v>
      </x:c>
      <x:c r="B88" s="29" t="str">
        <x:v>한국경제</x:v>
      </x:c>
      <x:c r="C88" s="29" t="str">
        <x:v>민희진 기자회견 기대·화해 제안에 하이브 주가 장중 반전</x:v>
      </x:c>
      <x:c r="D88" s="29" t="str">
        <x:v>2024-06-02</x:v>
      </x:c>
      <x:c r="E88" s="29" t="str">
        <x:v>https://www.hankyung.com/article/2024060292387</x:v>
      </x:c>
      <x:c r="F88" s="29" t="str">
        <x:v>언론·가격</x:v>
      </x:c>
    </x:row>
    <x:row r="89" ht="38" customHeight="1">
      <x:c r="A89" s="18" t="str">
        <x:v>S132</x:v>
      </x:c>
      <x:c r="B89" s="18" t="str">
        <x:v>글로벌이코노믹</x:v>
      </x:c>
      <x:c r="C89" s="18" t="str">
        <x:v>GS25 손가락 포스터 논란과 온라인 불매 속 GS리테일 5일 하락</x:v>
      </x:c>
      <x:c r="D89" s="18" t="str">
        <x:v>2021-05-04</x:v>
      </x:c>
      <x:c r="E89" s="18" t="str">
        <x:v>https://www.g-enews.com/article/Securities/2021/05/202105040914281444edf69f862c_1</x:v>
      </x:c>
      <x:c r="F89" s="18" t="str">
        <x:v>언론·가격</x:v>
      </x:c>
    </x:row>
    <x:row r="90" ht="38" customHeight="1">
      <x:c r="A90" s="29" t="str">
        <x:v>S133</x:v>
      </x:c>
      <x:c r="B90" s="29" t="str">
        <x:v>서울신문</x:v>
      </x:c>
      <x:c r="C90" s="29" t="str">
        <x:v>GS25 불매·주식 보복 움직임이 온라인 커뮤니티에서 확산</x:v>
      </x:c>
      <x:c r="D90" s="29" t="str">
        <x:v>2021-05-04</x:v>
      </x:c>
      <x:c r="E90" s="29" t="str">
        <x:v>https://www.seoul.co.kr/news/society/2021/05/04/20210504009006</x:v>
      </x:c>
      <x:c r="F90" s="29" t="str">
        <x:v>언론·온라인</x:v>
      </x:c>
    </x:row>
    <x:row r="91" ht="38" customHeight="1">
      <x:c r="A91" s="18" t="str">
        <x:v>S134</x:v>
      </x:c>
      <x:c r="B91" s="18" t="str">
        <x:v>이데일리</x:v>
      </x:c>
      <x:c r="C91" s="18" t="str">
        <x:v>SPC 공장 사고 뒤 불매운동 확산, SPC삼립 4.3% 하락</x:v>
      </x:c>
      <x:c r="D91" s="18" t="str">
        <x:v>2022-10-24</x:v>
      </x:c>
      <x:c r="E91" s="18" t="str">
        <x:v>https://www.edaily.co.kr/News/Read?mediaCodeNo=257&amp;newsId=03270166632496200</x:v>
      </x:c>
      <x:c r="F91" s="18" t="str">
        <x:v>언론·가격</x:v>
      </x:c>
    </x:row>
    <x:row r="92" ht="38" customHeight="1">
      <x:c r="A92" s="29" t="str">
        <x:v>S135</x:v>
      </x:c>
      <x:c r="B92" s="29" t="str">
        <x:v>머니투데이</x:v>
      </x:c>
      <x:c r="C92" s="29" t="str">
        <x:v>불가리스 코로나 억제 주장에 남양유업 상한가 뒤 신뢰성 논란</x:v>
      </x:c>
      <x:c r="D92" s="29" t="str">
        <x:v>2021-04-14</x:v>
      </x:c>
      <x:c r="E92" s="29" t="str">
        <x:v>https://www.mt.co.kr/stock/2021/04/14/2021041415343687982</x:v>
      </x:c>
      <x:c r="F92" s="29" t="str">
        <x:v>언론·가격</x:v>
      </x:c>
    </x:row>
    <x:row r="93" ht="38" customHeight="1">
      <x:c r="A93" s="18" t="str">
        <x:v>S136</x:v>
      </x:c>
      <x:c r="B93" s="18" t="str">
        <x:v>매일경제</x:v>
      </x:c>
      <x:c r="C93" s="18" t="str">
        <x:v>불가리스 발표 다음날 남양유업 5%대 하락</x:v>
      </x:c>
      <x:c r="D93" s="18" t="str">
        <x:v>2021-04-15</x:v>
      </x:c>
      <x:c r="E93" s="18" t="str">
        <x:v>https://www.mk.co.kr/news/stock/view/2021/04/359339/</x:v>
      </x:c>
      <x:c r="F93" s="18" t="str">
        <x:v>언론·가격</x:v>
      </x:c>
    </x:row>
    <x:row r="94" ht="38" customHeight="1">
      <x:c r="A94" s="29" t="str">
        <x:v>S137</x:v>
      </x:c>
      <x:c r="B94" s="29" t="str">
        <x:v>JTBC News</x:v>
      </x:c>
      <x:c r="C94" s="29" t="str">
        <x:v>빽햄 가격 논란·백종원 해명과 더본코리아 주가 반응</x:v>
      </x:c>
      <x:c r="D94" s="29" t="str">
        <x:v>2025</x:v>
      </x:c>
      <x:c r="E94" s="29" t="str">
        <x:v>https://www.youtube.com/watch?v=E8mR0RBhu68</x:v>
      </x:c>
      <x:c r="F94" s="29" t="str">
        <x:v>방송·유튜브</x:v>
      </x:c>
    </x:row>
    <x:row r="95" ht="38" customHeight="1">
      <x:c r="A95" s="18" t="str">
        <x:v>S138</x:v>
      </x:c>
      <x:c r="B95" s="18" t="str">
        <x:v>머니투데이</x:v>
      </x:c>
      <x:c r="C95" s="18" t="str">
        <x:v>BTS 단체활동 중단 발언에 하이브 21% 급락</x:v>
      </x:c>
      <x:c r="D95" s="18" t="str">
        <x:v>2022-06-15</x:v>
      </x:c>
      <x:c r="E95" s="18" t="str">
        <x:v>https://www.mt.co.kr/stock/2022/06/15/2022061509063187972</x:v>
      </x:c>
      <x:c r="F95" s="18" t="str">
        <x:v>언론·가격</x:v>
      </x:c>
    </x:row>
    <x:row r="96" ht="38" customHeight="1">
      <x:c r="A96" s="29" t="str">
        <x:v>S139</x:v>
      </x:c>
      <x:c r="B96" s="29" t="str">
        <x:v>머니투데이</x:v>
      </x:c>
      <x:c r="C96" s="29" t="str">
        <x:v>BTS 입대 발표로 불확실성 완화, 하이브 5.22% 상승</x:v>
      </x:c>
      <x:c r="D96" s="29" t="str">
        <x:v>2022-10-18</x:v>
      </x:c>
      <x:c r="E96" s="29" t="str">
        <x:v>https://www.mt.co.kr/stock/2022/10/18/2022101808532541698</x:v>
      </x:c>
      <x:c r="F96" s="29" t="str">
        <x:v>언론·가격</x:v>
      </x:c>
    </x:row>
    <x:row r="97" ht="38" customHeight="1">
      <x:c r="A97" s="18" t="str">
        <x:v>S140</x:v>
      </x:c>
      <x:c r="B97" s="18" t="str">
        <x:v>MBC</x:v>
      </x:c>
      <x:c r="C97" s="18" t="str">
        <x:v>버닝썬·승리 파문에 YG 하루 14% 하락·시총 1,100억 증발</x:v>
      </x:c>
      <x:c r="D97" s="18" t="str">
        <x:v>2019-03-13</x:v>
      </x:c>
      <x:c r="E97" s="18" t="str">
        <x:v>https://imnews.imbc.com/replay/2019/nwtoday/article/5201881_28983.html</x:v>
      </x:c>
      <x:c r="F97" s="18" t="str">
        <x:v>방송·가격</x:v>
      </x:c>
    </x:row>
    <x:row r="98" ht="38" customHeight="1">
      <x:c r="A98" s="29" t="str">
        <x:v>S141</x:v>
      </x:c>
      <x:c r="B98" s="29" t="str">
        <x:v>한국경제</x:v>
      </x:c>
      <x:c r="C98" s="29" t="str">
        <x:v>블랙핑크 재계약 불확실성으로 YG 한 달 24.28% 하락</x:v>
      </x:c>
      <x:c r="D98" s="29" t="str">
        <x:v>2023-10-13</x:v>
      </x:c>
      <x:c r="E98" s="29" t="str">
        <x:v>https://www.hankyung.com/article/2023101354316</x:v>
      </x:c>
      <x:c r="F98" s="29" t="str">
        <x:v>언론·가격</x:v>
      </x:c>
    </x:row>
    <x:row r="99" ht="38" customHeight="1">
      <x:c r="A99" s="18" t="str">
        <x:v>S142</x:v>
      </x:c>
      <x:c r="B99" s="18" t="str">
        <x:v>비즈니스포스트</x:v>
      </x:c>
      <x:c r="C99" s="18" t="str">
        <x:v>블랙핑크 그룹 재계약 확정에 YG 장중 22% 급등</x:v>
      </x:c>
      <x:c r="D99" s="18" t="str">
        <x:v>2023-12-06</x:v>
      </x:c>
      <x:c r="E99" s="18" t="str">
        <x:v>https://www.businesspost.co.kr/BP?command=article_view&amp;num=335312</x:v>
      </x:c>
      <x:c r="F99" s="18" t="str">
        <x:v>언론·가격</x:v>
      </x:c>
    </x:row>
    <x:row r="100" ht="38" customHeight="1">
      <x:c r="A100" s="29" t="str">
        <x:v>S143</x:v>
      </x:c>
      <x:c r="B100" s="29" t="str">
        <x:v>신한투자증권</x:v>
      </x:c>
      <x:c r="C100" s="29" t="str">
        <x:v>사랑의 하츄핑 100만 관객 기대에 SAMG엔터 연일 급등</x:v>
      </x:c>
      <x:c r="D100" s="29" t="str">
        <x:v>2024-09-11</x:v>
      </x:c>
      <x:c r="E100" s="29" t="str">
        <x:v>https://static.roa.ai/research/company/20240911_company_993276000.pdf</x:v>
      </x:c>
      <x:c r="F100" s="29" t="str">
        <x:v>증권사 리서치</x:v>
      </x:c>
    </x:row>
    <x:row r="101" ht="38" customHeight="1">
      <x:c r="A101" s="18" t="str">
        <x:v>S144</x:v>
      </x:c>
      <x:c r="B101" s="18" t="str">
        <x:v>비즈워치</x:v>
      </x:c>
      <x:c r="C101" s="18" t="str">
        <x:v>파묘 천만 흥행, 쇼박스 1년 신고가</x:v>
      </x:c>
      <x:c r="D101" s="18" t="str">
        <x:v>2024-03-26</x:v>
      </x:c>
      <x:c r="E101" s="18" t="str">
        <x:v>https://news.bizwatch.co.kr/article/market/2024/03/26/0026</x:v>
      </x:c>
      <x:c r="F101" s="18" t="str">
        <x:v>언론·가격</x:v>
      </x:c>
    </x:row>
    <x:row r="102" ht="38" customHeight="1">
      <x:c r="A102" s="29" t="str">
        <x:v>S145</x:v>
      </x:c>
      <x:c r="B102" s="29" t="str">
        <x:v>한국경제</x:v>
      </x:c>
      <x:c r="C102" s="29" t="str">
        <x:v>태양의 후예 흥행으로 NEW 주가 방송 시작 뒤 48.34% 상승</x:v>
      </x:c>
      <x:c r="D102" s="29" t="str">
        <x:v>2016-03-14</x:v>
      </x:c>
      <x:c r="E102" s="29" t="str">
        <x:v>https://www.hankyung.com/article/2016031442591</x:v>
      </x:c>
      <x:c r="F102" s="29" t="str">
        <x:v>언론·가격</x:v>
      </x:c>
    </x:row>
    <x:row r="103" ht="38" customHeight="1">
      <x:c r="A103" s="18" t="str">
        <x:v>S146</x:v>
      </x:c>
      <x:c r="B103" s="18" t="str">
        <x:v>연합뉴스</x:v>
      </x:c>
      <x:c r="C103" s="18" t="str">
        <x:v>메르스 공포로 마스크·손세정제 급등, 여행주 급락</x:v>
      </x:c>
      <x:c r="D103" s="18" t="str">
        <x:v>2015-06-18</x:v>
      </x:c>
      <x:c r="E103" s="18" t="str">
        <x:v>https://www.yna.co.kr/amp/view/AKR20150617185400008</x:v>
      </x:c>
      <x:c r="F103" s="18" t="str">
        <x:v>언론·가격</x:v>
      </x:c>
    </x:row>
    <x:row r="104" ht="38" customHeight="1">
      <x:c r="A104" s="29" t="str">
        <x:v>S147</x:v>
      </x:c>
      <x:c r="B104" s="29" t="str">
        <x:v>이데일리</x:v>
      </x:c>
      <x:c r="C104" s="29" t="str">
        <x:v>메르스 기간 마스크 관련주 상승률 정리</x:v>
      </x:c>
      <x:c r="D104" s="29" t="str">
        <x:v>2015-12-24</x:v>
      </x:c>
      <x:c r="E104" s="29" t="str">
        <x:v>https://www.edaily.co.kr/News/Read?mediaCodeNo=257&amp;newsId=01384166609602456</x:v>
      </x:c>
      <x:c r="F104" s="29" t="str">
        <x:v>언론·가격</x:v>
      </x:c>
    </x:row>
    <x:row r="105" ht="38" customHeight="1">
      <x:c r="A105" s="18" t="str">
        <x:v>S148</x:v>
      </x:c>
      <x:c r="B105" s="18" t="str">
        <x:v>CAPE투자증권</x:v>
      </x:c>
      <x:c r="C105" s="18" t="str">
        <x:v>ASF 국내 발생에 하림·마니커 상한가</x:v>
      </x:c>
      <x:c r="D105" s="18" t="str">
        <x:v>2019-09-18</x:v>
      </x:c>
      <x:c r="E105" s="18" t="str">
        <x:v>https://ssl.pstatic.net/imgstock/upload/research/industry/1568769695733.pdf</x:v>
      </x:c>
      <x:c r="F105" s="18" t="str">
        <x:v>증권사 리서치</x:v>
      </x:c>
    </x:row>
    <x:row r="106" ht="38" customHeight="1">
      <x:c r="A106" s="29" t="str">
        <x:v>S149</x:v>
      </x:c>
      <x:c r="B106" s="29" t="str">
        <x:v>한국경제</x:v>
      </x:c>
      <x:c r="C106" s="29" t="str">
        <x:v>애플카 협력설에 현대차그룹주 동반 폭등</x:v>
      </x:c>
      <x:c r="D106" s="29" t="str">
        <x:v>2021-01-08</x:v>
      </x:c>
      <x:c r="E106" s="29" t="str">
        <x:v>https://www.hankyung.com/article/202101080938g</x:v>
      </x:c>
      <x:c r="F106" s="29" t="str">
        <x:v>언론·가격</x:v>
      </x:c>
    </x:row>
    <x:row r="107" ht="38" customHeight="1">
      <x:c r="A107" s="18" t="str">
        <x:v>S150</x:v>
      </x:c>
      <x:c r="B107" s="18" t="str">
        <x:v>YTN</x:v>
      </x:c>
      <x:c r="C107" s="18" t="str">
        <x:v>애플 협의 중단 발표에 기아·현대차·모비스 급락</x:v>
      </x:c>
      <x:c r="D107" s="18" t="str">
        <x:v>2021-02-08</x:v>
      </x:c>
      <x:c r="E107" s="18" t="str">
        <x:v>https://www.ytn.co.kr/_ln/0102_202102081827109624</x:v>
      </x:c>
      <x:c r="F107" s="18" t="str">
        <x:v>방송·가격</x:v>
      </x:c>
    </x:row>
    <x:row r="108" ht="38" customHeight="1">
      <x:c r="A108" s="29" t="str">
        <x:v>S151</x:v>
      </x:c>
      <x:c r="B108" s="29" t="str">
        <x:v>한국경제</x:v>
      </x:c>
      <x:c r="C108" s="29" t="str">
        <x:v>두나무 미국 상장 추진설에 에이티넘 등 관련주 급등</x:v>
      </x:c>
      <x:c r="D108" s="29" t="str">
        <x:v>2021-04-01</x:v>
      </x:c>
      <x:c r="E108" s="29" t="str">
        <x:v>https://www.hankyung.com/article/2021040162126</x:v>
      </x:c>
      <x:c r="F108" s="29" t="str">
        <x:v>언론·가격</x:v>
      </x:c>
    </x:row>
    <x:row r="109" ht="38" customHeight="1">
      <x:c r="A109" s="18" t="str">
        <x:v>S152</x:v>
      </x:c>
      <x:c r="B109" s="18" t="str">
        <x:v>동아일보</x:v>
      </x:c>
      <x:c r="C109" s="18" t="str">
        <x:v>보통주 전환에 관련주 급등, 두나무는 나스닥 상장과 무관 선긋기</x:v>
      </x:c>
      <x:c r="D109" s="18" t="str">
        <x:v>2021-05-12</x:v>
      </x:c>
      <x:c r="E109" s="18" t="str">
        <x:v>https://www.donga.com/news/Economy/article/all/20210512/106887097/1</x:v>
      </x:c>
      <x:c r="F109" s="18" t="str">
        <x:v>언론·검증</x:v>
      </x:c>
    </x:row>
    <x:row r="110" ht="38" customHeight="1">
      <x:c r="A110" s="29" t="str">
        <x:v>S153</x:v>
      </x:c>
      <x:c r="B110" s="29" t="str">
        <x:v>머니투데이</x:v>
      </x:c>
      <x:c r="C110" s="29" t="str">
        <x:v>선재 업고 튀어 신드롬과 CJ ENM 주가 70% 반등</x:v>
      </x:c>
      <x:c r="D110" s="29" t="str">
        <x:v>2024-05-22</x:v>
      </x:c>
      <x:c r="E110" s="29" t="str">
        <x:v>https://www.mt.co.kr/stock/2024/05/22/2024052211110799708</x:v>
      </x:c>
      <x:c r="F110" s="29" t="str">
        <x:v>언론·가격</x:v>
      </x:c>
    </x:row>
    <x:row r="111" ht="38" customHeight="1">
      <x:c r="A111" s="18" t="str">
        <x:v>S154</x:v>
      </x:c>
      <x:c r="B111" s="18" t="str">
        <x:v>이데일리</x:v>
      </x:c>
      <x:c r="C111" s="18" t="str">
        <x:v>더 글로리 공개 전후 스튜디오드래곤 주가 급등락</x:v>
      </x:c>
      <x:c r="D111" s="18" t="str">
        <x:v>2023-03-09</x:v>
      </x:c>
      <x:c r="E111" s="18" t="str">
        <x:v>https://www.edaily.co.kr/News/Read?mediaCodeNo=257&amp;newsId=01200486635541680</x:v>
      </x:c>
      <x:c r="F111" s="18" t="str">
        <x:v>언론·가격</x:v>
      </x:c>
    </x:row>
    <x:row r="112" ht="38" customHeight="1">
      <x:c r="A112" s="29" t="str">
        <x:v>S155</x:v>
      </x:c>
      <x:c r="B112" s="29" t="str">
        <x:v>서울신문</x:v>
      </x:c>
      <x:c r="C112" s="29" t="str">
        <x:v>조선구마사 역사왜곡 온라인 불매로 관련주 시총 700억 감소</x:v>
      </x:c>
      <x:c r="D112" s="29" t="str">
        <x:v>2021-03-28</x:v>
      </x:c>
      <x:c r="E112" s="29" t="str">
        <x:v>https://www.seoul.co.kr/news/economy/2021/03/28/20210328500058</x:v>
      </x:c>
      <x:c r="F112" s="29" t="str">
        <x:v>언론·가격</x:v>
      </x:c>
    </x:row>
    <x:row r="113" ht="38" customHeight="1">
      <x:c r="A113" s="18" t="str">
        <x:v>S156</x:v>
      </x:c>
      <x:c r="B113" s="18" t="str">
        <x:v>한국경제</x:v>
      </x:c>
      <x:c r="C113" s="18" t="str">
        <x:v>국내 방사성 물질 검출 보도에 방사능 관련주 급등</x:v>
      </x:c>
      <x:c r="D113" s="18" t="str">
        <x:v>2011-03-30</x:v>
      </x:c>
      <x:c r="E113" s="18" t="str">
        <x:v>https://www.hankyung.com/article/2011033052636</x:v>
      </x:c>
      <x:c r="F113" s="18" t="str">
        <x:v>언론·가격</x:v>
      </x:c>
    </x:row>
    <x:row r="114" ht="38" customHeight="1">
      <x:c r="A114" s="29" t="str">
        <x:v>S157</x:v>
      </x:c>
      <x:c r="B114" s="29" t="str">
        <x:v>한국경제</x:v>
      </x:c>
      <x:c r="C114" s="29" t="str">
        <x:v>에볼라 공포·백신 생산 계약에 진원생명과학 이틀째 급등</x:v>
      </x:c>
      <x:c r="D114" s="29" t="str">
        <x:v>2014-11-21</x:v>
      </x:c>
      <x:c r="E114" s="29" t="str">
        <x:v>https://www.hankyung.com/article/2014112176616</x:v>
      </x:c>
      <x:c r="F114" s="29" t="str">
        <x:v>언론·가격</x:v>
      </x:c>
    </x:row>
    <x:row r="115" ht="38" customHeight="1">
      <x:c r="A115" s="18" t="str">
        <x:v>S158</x:v>
      </x:c>
      <x:c r="B115" s="18" t="str">
        <x:v>매일경제</x:v>
      </x:c>
      <x:c r="C115" s="18" t="str">
        <x:v>로제 APT. 글로벌 흥행에 YG PLUS 6거래일 157.84% 상승</x:v>
      </x:c>
      <x:c r="D115" s="18" t="str">
        <x:v>2024-10-28</x:v>
      </x:c>
      <x:c r="E115" s="18" t="str">
        <x:v>https://stock.mk.co.kr/news/view/569939</x:v>
      </x:c>
      <x:c r="F115" s="18" t="str">
        <x:v>언론·가격</x:v>
      </x:c>
    </x:row>
    <x:row r="116" ht="38" customHeight="1">
      <x:c r="A116" s="29" t="str">
        <x:v>S159</x:v>
      </x:c>
      <x:c r="B116" s="29" t="str">
        <x:v>뉴시스</x:v>
      </x:c>
      <x:c r="C116" s="29" t="str">
        <x:v>APT. 급등 뒤 YG PLUS 이틀 연속 급락</x:v>
      </x:c>
      <x:c r="D116" s="29" t="str">
        <x:v>2024-10-30</x:v>
      </x:c>
      <x:c r="E116" s="29" t="str">
        <x:v>https://www.newsis.com/view/?id=NISX20241030_0002939230&amp;pc_view=1</x:v>
      </x:c>
      <x:c r="F116" s="29" t="str">
        <x:v>언론·가격</x:v>
      </x:c>
    </x:row>
    <x:row r="117" ht="38" customHeight="1">
      <x:c r="A117" s="18" t="str">
        <x:v>S160</x:v>
      </x:c>
      <x:c r="B117" s="18" t="str">
        <x:v>한국경제</x:v>
      </x:c>
      <x:c r="C117" s="18" t="str">
        <x:v>서울의 봄 흥행에 콘텐트리중앙 주가 동반 상승</x:v>
      </x:c>
      <x:c r="D117" s="18" t="str">
        <x:v>2023-11-30</x:v>
      </x:c>
      <x:c r="E117" s="18" t="str">
        <x:v>https://www.hankyung.com/article/2023113032346</x:v>
      </x:c>
      <x:c r="F117" s="18" t="str">
        <x:v>언론·가격</x:v>
      </x:c>
    </x:row>
    <x:row r="118" ht="38" customHeight="1">
      <x:c r="A118" s="29" t="str">
        <x:v>S161</x:v>
      </x:c>
      <x:c r="B118" s="29" t="str">
        <x:v>이데일리</x:v>
      </x:c>
      <x:c r="C118" s="29" t="str">
        <x:v>극한직업 흥행에 CJ ENM 주가 강세</x:v>
      </x:c>
      <x:c r="D118" s="29" t="str">
        <x:v>2019-01-29</x:v>
      </x:c>
      <x:c r="E118" s="29" t="str">
        <x:v>https://www.edaily.co.kr/News/Read?mediaCodeNo=257&amp;newsId=04093446622362640</x:v>
      </x:c>
      <x:c r="F118" s="29" t="str">
        <x:v>언론·가격</x:v>
      </x:c>
    </x:row>
    <x:row r="119" ht="38" customHeight="1">
      <x:c r="A119" s="18" t="str">
        <x:v>S162</x:v>
      </x:c>
      <x:c r="B119" s="18" t="str">
        <x:v>연합뉴스TV</x:v>
      </x:c>
      <x:c r="C119" s="18" t="str">
        <x:v>코데즈컴바인 이유 없는 급등·극심한 변동성</x:v>
      </x:c>
      <x:c r="D119" s="18" t="str">
        <x:v>2016-05-13</x:v>
      </x:c>
      <x:c r="E119" s="18" t="str">
        <x:v>https://www.youtube.com/watch?v=24glhN2u3_Q</x:v>
      </x:c>
      <x:c r="F119" s="18" t="str">
        <x:v>방송·가격</x:v>
      </x:c>
    </x:row>
    <x:row r="120" ht="38" customHeight="1">
      <x:c r="A120" s="29" t="str">
        <x:v>S163</x:v>
      </x:c>
      <x:c r="B120" s="29" t="str">
        <x:v>서울신문</x:v>
      </x:c>
      <x:c r="C120" s="29" t="str">
        <x:v>코데즈컴바인 품절주 효과·FTSE 편입 해프닝 결론</x:v>
      </x:c>
      <x:c r="D120" s="29" t="str">
        <x:v>2016-05-09</x:v>
      </x:c>
      <x:c r="E120" s="29" t="str">
        <x:v>https://www.seoul.co.kr/news/economy/securities/2016/05/09/20160509016014</x:v>
      </x:c>
      <x:c r="F120" s="29" t="str">
        <x:v>언론·검증</x:v>
      </x:c>
    </x:row>
  </x:sheetData>
  <x:mergeCells>
    <x:mergeCell ref="A1:F1"/>
    <x:mergeCell ref="A2:F2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5" hidden="0" customWidth="1"/>
    <x:col min="2" max="2" width="30" hidden="0" customWidth="1"/>
    <x:col min="3" max="3" width="30" hidden="0" customWidth="1"/>
    <x:col min="4" max="4" width="16" hidden="0" customWidth="1"/>
    <x:col min="5" max="5" width="22" hidden="0" customWidth="1"/>
    <x:col min="6" max="6" width="20" hidden="0" customWidth="1"/>
    <x:col min="7" max="7" width="23" hidden="0" customWidth="1"/>
    <x:col min="8" max="8" width="31" hidden="0" customWidth="1"/>
  </x:cols>
  <x:sheetData>
    <x:row r="1" ht="34" customHeight="1">
      <x:c r="A1" s="3" t="str">
        <x:v>04 판정기준 — 어디까지 “유행·트렌드·밈”으로 볼 것인가</x:v>
      </x:c>
      <x:c r="B1" s="3" t="str">
        <x:v>04 판정기준 — 어디까지 “유행·트렌드·밈”으로 볼 것인가</x:v>
      </x:c>
      <x:c r="C1" s="3" t="str">
        <x:v>04 판정기준 — 어디까지 “유행·트렌드·밈”으로 볼 것인가</x:v>
      </x:c>
      <x:c r="D1" s="3" t="str">
        <x:v>04 판정기준 — 어디까지 “유행·트렌드·밈”으로 볼 것인가</x:v>
      </x:c>
      <x:c r="E1" s="3" t="str">
        <x:v>04 판정기준 — 어디까지 “유행·트렌드·밈”으로 볼 것인가</x:v>
      </x:c>
      <x:c r="F1" s="3" t="str">
        <x:v>04 판정기준 — 어디까지 “유행·트렌드·밈”으로 볼 것인가</x:v>
      </x:c>
      <x:c r="G1" s="3" t="str">
        <x:v>04 판정기준 — 어디까지 “유행·트렌드·밈”으로 볼 것인가</x:v>
      </x:c>
      <x:c r="H1" s="3" t="str">
        <x:v>04 판정기준 — 어디까지 “유행·트렌드·밈”으로 볼 것인가</x:v>
      </x:c>
    </x:row>
    <x:row r="2" ht="28" customHeight="1">
      <x:c r="A2" s="6" t="str">
        <x:v>이 원장은 기준을 확정하기 전 경계선을 넓게 수집한 탐색 데이터입니다. 포함 이유와 제외 이유를 동시에 기록합니다.</x:v>
      </x:c>
      <x:c r="B2" s="6" t="str">
        <x:v>이 원장은 기준을 확정하기 전 경계선을 넓게 수집한 탐색 데이터입니다. 포함 이유와 제외 이유를 동시에 기록합니다.</x:v>
      </x:c>
      <x:c r="C2" s="6" t="str">
        <x:v>이 원장은 기준을 확정하기 전 경계선을 넓게 수집한 탐색 데이터입니다. 포함 이유와 제외 이유를 동시에 기록합니다.</x:v>
      </x:c>
      <x:c r="D2" s="6" t="str">
        <x:v>이 원장은 기준을 확정하기 전 경계선을 넓게 수집한 탐색 데이터입니다. 포함 이유와 제외 이유를 동시에 기록합니다.</x:v>
      </x:c>
      <x:c r="E2" s="6" t="str">
        <x:v>이 원장은 기준을 확정하기 전 경계선을 넓게 수집한 탐색 데이터입니다. 포함 이유와 제외 이유를 동시에 기록합니다.</x:v>
      </x:c>
      <x:c r="F2" s="6" t="str">
        <x:v>이 원장은 기준을 확정하기 전 경계선을 넓게 수집한 탐색 데이터입니다. 포함 이유와 제외 이유를 동시에 기록합니다.</x:v>
      </x:c>
      <x:c r="G2" s="6" t="str">
        <x:v>이 원장은 기준을 확정하기 전 경계선을 넓게 수집한 탐색 데이터입니다. 포함 이유와 제외 이유를 동시에 기록합니다.</x:v>
      </x:c>
      <x:c r="H2" s="6" t="str">
        <x:v>이 원장은 기준을 확정하기 전 경계선을 넓게 수집한 탐색 데이터입니다. 포함 이유와 제외 이유를 동시에 기록합니다.</x:v>
      </x:c>
    </x:row>
    <x:row r="4" ht="30" customHeight="1">
      <x:c r="A4" s="16" t="str">
        <x:v>구분</x:v>
      </x:c>
      <x:c r="B4" s="16" t="str">
        <x:v>포함 기준</x:v>
      </x:c>
      <x:c r="C4" s="16" t="str">
        <x:v>제외·경계 기준</x:v>
      </x:c>
      <x:c r="D4" s="16" t="str">
        <x:v>T 유행</x:v>
      </x:c>
      <x:c r="E4" s="16" t="str">
        <x:v>L 기업연결</x:v>
      </x:c>
      <x:c r="F4" s="16" t="str">
        <x:v>P 가격</x:v>
      </x:c>
      <x:c r="G4" s="16" t="str">
        <x:v>C 동시재료</x:v>
      </x:c>
      <x:c r="H4" s="16" t="str">
        <x:v>서비스 표기</x:v>
      </x:c>
    </x:row>
    <x:row r="5" ht="62" customHeight="1">
      <x:c r="A5" s="18" t="str">
        <x:v>핵심사례</x:v>
      </x:c>
      <x:c r="B5" s="18" t="str">
        <x:v>SNS·커뮤니티·품절·팬덤·불매·풍문이 명시되고 같은 구간 가격 수치 확인</x:v>
      </x:c>
      <x:c r="C5" s="18" t="str">
        <x:v>실적 발표가 주원인이면 제외</x:v>
      </x:c>
      <x:c r="D5" s="18" t="str">
        <x:v>2=검색·조회·보도 등 복수 확인</x:v>
      </x:c>
      <x:c r="E5" s="18" t="str">
        <x:v>2=직접 제품·IP·자회사</x:v>
      </x:c>
      <x:c r="F5" s="18" t="str">
        <x:v>2=일자·등락률 확인</x:v>
      </x:c>
      <x:c r="G5" s="18" t="str">
        <x:v>0=뚜렷한 동시재료 없음</x:v>
      </x:c>
      <x:c r="H5" s="18" t="str">
        <x:v>유행 근거·가격 근거 함께 노출</x:v>
      </x:c>
    </x:row>
    <x:row r="6" ht="62" customHeight="1">
      <x:c r="A6" s="18" t="str">
        <x:v>보조사례</x:v>
      </x:c>
      <x:c r="B6" s="18" t="str">
        <x:v>유행과 주가 반응은 확인되나 가격 또는 연결이 일부 정성적</x:v>
      </x:c>
      <x:c r="C6" s="18" t="str">
        <x:v>후속 가격 데이터 보강 필요</x:v>
      </x:c>
      <x:c r="D6" s="18" t="str">
        <x:v>1=정성 보도</x:v>
      </x:c>
      <x:c r="E6" s="18" t="str">
        <x:v>1=공급·유통·지분·대체재</x:v>
      </x:c>
      <x:c r="F6" s="18" t="str">
        <x:v>1=정성 급등락</x:v>
      </x:c>
      <x:c r="G6" s="18" t="str">
        <x:v>1=보조 재료 존재</x:v>
      </x:c>
      <x:c r="H6" s="18" t="str">
        <x:v>“추가 검증 필요”</x:v>
      </x:c>
    </x:row>
    <x:row r="7" ht="62" customHeight="1">
      <x:c r="A7" s="18" t="str">
        <x:v>경계사례</x:v>
      </x:c>
      <x:c r="B7" s="18" t="str">
        <x:v>인맥·동문·원료·업종 전염·품절주 등 비사업 연결</x:v>
      </x:c>
      <x:c r="C7" s="18" t="str">
        <x:v>매수 추천으로 사용 금지</x:v>
      </x:c>
      <x:c r="D7" s="18" t="str">
        <x:v>0=유행 근거 약함</x:v>
      </x:c>
      <x:c r="E7" s="18" t="str">
        <x:v>0=실제 연결 없음</x:v>
      </x:c>
      <x:c r="F7" s="18" t="str">
        <x:v>0=가격 미확인</x:v>
      </x:c>
      <x:c r="G7" s="18" t="str">
        <x:v>2=실적·공시 등 강한 동시재료</x:v>
      </x:c>
      <x:c r="H7" s="18" t="str">
        <x:v>“실제 수혜 아님” 경고</x:v>
      </x:c>
    </x:row>
    <x:row r="8" ht="62" customHeight="1">
      <x:c r="A8" s="18" t="str">
        <x:v>풍문·헛소문</x:v>
      </x:c>
      <x:c r="B8" s="18" t="str">
        <x:v>보도·공시 전 기대만으로 가격이 움직이고 후속 부인·반박이 존재</x:v>
      </x:c>
      <x:c r="C8" s="18" t="str">
        <x:v>사실처럼 단정하지 않음</x:v>
      </x:c>
      <x:c r="D8" s="18" t="str">
        <x:v>확산 경로 기록</x:v>
      </x:c>
      <x:c r="E8" s="18" t="str">
        <x:v>연결 논리 기록</x:v>
      </x:c>
      <x:c r="F8" s="18" t="str">
        <x:v>상승과 반박 뒤 하락 모두 기록</x:v>
      </x:c>
      <x:c r="G8" s="18" t="str">
        <x:v>동시 공시 확인</x:v>
      </x:c>
      <x:c r="H8" s="18" t="str">
        <x:v>주장/확인/반박 상태 분리</x:v>
      </x:c>
    </x:row>
    <x:row r="9" ht="62" customHeight="1">
      <x:c r="A9" s="18" t="str">
        <x:v>콘텐츠·팬덤</x:v>
      </x:c>
      <x:c r="B9" s="18" t="str">
        <x:v>흥행·조회·패러디·챌린지·팬덤 행동이 가격 기사와 연결</x:v>
      </x:c>
      <x:c r="C9" s="18" t="str">
        <x:v>흥행 자체만 있고 주가 반응 없으면 제외</x:v>
      </x:c>
      <x:c r="D9" s="18" t="str">
        <x:v>조회·흥행 확인</x:v>
      </x:c>
      <x:c r="E9" s="18" t="str">
        <x:v>제작·배급·IP 구분</x:v>
      </x:c>
      <x:c r="F9" s="18" t="str">
        <x:v>이벤트 구간 확인</x:v>
      </x:c>
      <x:c r="G9" s="18" t="str">
        <x:v>실적 기대 중첩 가능</x:v>
      </x:c>
      <x:c r="H9" s="18" t="str">
        <x:v>밈 모드 우선</x:v>
      </x:c>
    </x:row>
    <x:row r="10" ht="62" customHeight="1">
      <x:c r="A10" s="18" t="str">
        <x:v>소비·품절</x:v>
      </x:c>
      <x:c r="B10" s="18" t="str">
        <x:v>SNS 후기·품절 인증·검색 급증이 상장사 제품과 연결</x:v>
      </x:c>
      <x:c r="C10" s="18" t="str">
        <x:v>단순 신제품 출시만으로는 제외</x:v>
      </x:c>
      <x:c r="D10" s="18" t="str">
        <x:v>소비 확산 확인</x:v>
      </x:c>
      <x:c r="E10" s="18" t="str">
        <x:v>제품 소유·납품 확인</x:v>
      </x:c>
      <x:c r="F10" s="18" t="str">
        <x:v>가격 기사 확인</x:v>
      </x:c>
      <x:c r="G10" s="18" t="str">
        <x:v>실제 판매 증가 분리</x:v>
      </x:c>
      <x:c r="H10" s="18" t="str">
        <x:v>비즈니스 모드 병행</x:v>
      </x:c>
    </x:row>
    <x:row r="11" ht="62" customHeight="1">
      <x:c r="A11" s="18" t="str">
        <x:v>불매·논란</x:v>
      </x:c>
      <x:c r="B11" s="18" t="str">
        <x:v>온라인 집단행동과 주가 하락·변동성 기사 확인</x:v>
      </x:c>
      <x:c r="C11" s="18" t="str">
        <x:v>사고 자체만 있고 여론 확산이 없으면 경계</x:v>
      </x:c>
      <x:c r="D11" s="18" t="str">
        <x:v>해시태그·커뮤니티</x:v>
      </x:c>
      <x:c r="E11" s="18" t="str">
        <x:v>브랜드·그룹 관계</x:v>
      </x:c>
      <x:c r="F11" s="18" t="str">
        <x:v>하락 수치</x:v>
      </x:c>
      <x:c r="G11" s="18" t="str">
        <x:v>실적·법적 리스크</x:v>
      </x:c>
      <x:c r="H11" s="18" t="str">
        <x:v>부정 방향도 동일 수집</x:v>
      </x:c>
    </x:row>
    <x:row r="12" ht="62" customHeight="1">
      <x:c r="A12" s="18" t="str">
        <x:v>공포·사재기</x:v>
      </x:c>
      <x:c r="B12" s="18" t="str">
        <x:v>질병·방사능·빈대 등 공포가 소비 행동과 테마주로 확산</x:v>
      </x:c>
      <x:c r="C12" s="18" t="str">
        <x:v>장기 산업 전망과 분리</x:v>
      </x:c>
      <x:c r="D12" s="18" t="str">
        <x:v>공포 확산</x:v>
      </x:c>
      <x:c r="E12" s="18" t="str">
        <x:v>제품·대체재</x:v>
      </x:c>
      <x:c r="F12" s="18" t="str">
        <x:v>급등락</x:v>
      </x:c>
      <x:c r="G12" s="18" t="str">
        <x:v>정책·실수요</x:v>
      </x:c>
      <x:c r="H12" s="18" t="str">
        <x:v>공포의 사실성 별도</x:v>
      </x:c>
    </x:row>
    <x:row r="13" ht="62" customHeight="1">
      <x:c r="A13" s="18" t="str">
        <x:v>정치·정책</x:v>
      </x:c>
      <x:c r="B13" s="18" t="str">
        <x:v>인맥·지역·발언·정책 기대가 관련주 서사로 유통</x:v>
      </x:c>
      <x:c r="C13" s="18" t="str">
        <x:v>정책의 실제 수혜 분석과 분리</x:v>
      </x:c>
      <x:c r="D13" s="18" t="str">
        <x:v>선거·검색 관심</x:v>
      </x:c>
      <x:c r="E13" s="18" t="str">
        <x:v>대부분 0~1</x:v>
      </x:c>
      <x:c r="F13" s="18" t="str">
        <x:v>가격 수치</x:v>
      </x:c>
      <x:c r="G13" s="18" t="str">
        <x:v>공약·정책 중첩</x:v>
      </x:c>
      <x:c r="H13" s="18" t="str">
        <x:v>밈 모드·고위험</x:v>
      </x:c>
    </x:row>
    <x:row r="14" ht="62" customHeight="1">
      <x:c r="A14" s="18" t="str">
        <x:v>금지</x:v>
      </x:c>
      <x:c r="B14" s="18" t="str">
        <x:v>가상 사례·가상 수익률·출처 없는 인과</x:v>
      </x:c>
      <x:c r="C14" s="18" t="str">
        <x:v>주가가 올랐다는 이유만으로 밈으로 역분류</x:v>
      </x:c>
      <x:c r="D14" s="18" t="str">
        <x:v>-</x:v>
      </x:c>
      <x:c r="E14" s="18" t="str">
        <x:v>-</x:v>
      </x:c>
      <x:c r="F14" s="18" t="str">
        <x:v>-</x:v>
      </x:c>
      <x:c r="G14" s="18" t="str">
        <x:v>-</x:v>
      </x:c>
      <x:c r="H14" s="18" t="str">
        <x:v>근거 없으면 미수록</x:v>
      </x:c>
    </x:row>
    <x:row r="16" ht="30" customHeight="1">
      <x:c r="A16" s="16" t="str">
        <x:v>분석 단위</x:v>
      </x:c>
      <x:c r="B16" s="16" t="str">
        <x:v>이벤트ID</x:v>
      </x:c>
      <x:c r="C16" s="16" t="str">
        <x:v>사례ID</x:v>
      </x:c>
      <x:c r="D16" s="16" t="str">
        <x:v>사건 수</x:v>
      </x:c>
      <x:c r="E16" s="16" t="str">
        <x:v>종목 행 수</x:v>
      </x:c>
      <x:c r="F16" s="16" t="str">
        <x:v>출처 수</x:v>
      </x:c>
      <x:c r="G16" s="16" t="str">
        <x:v>업데이트</x:v>
      </x:c>
      <x:c r="H16" s="16" t="str">
        <x:v>주의</x:v>
      </x:c>
    </x:row>
    <x:row r="17" ht="45" customHeight="1">
      <x:c r="A17" s="17" t="str">
        <x:v>정의</x:v>
      </x:c>
      <x:c r="B17" s="17" t="str">
        <x:v>유행·풍문 하나당 1개</x:v>
      </x:c>
      <x:c r="C17" s="17" t="str">
        <x:v>이벤트-종목 조합당 1개</x:v>
      </x:c>
      <x:c r="D17" s="17" t="str">
        <x:v>고유 유행의 개수</x:v>
      </x:c>
      <x:c r="E17" s="17" t="str">
        <x:v>같은 사건의 여러 종목 포함</x:v>
      </x:c>
      <x:c r="F17" s="17" t="str">
        <x:v>원문 링크 개수</x:v>
      </x:c>
      <x:c r="G17" s="17" t="str">
        <x:v>새 근거 추가 시 기존 ID 유지</x:v>
      </x:c>
      <x:c r="H17" s="17" t="str">
        <x:v>종목 행 수를 사례 수로 홍보하지 않기</x:v>
      </x:c>
    </x:row>
    <x:row r="18" ht="45" customHeight="1">
      <x:c r="A18" s="17" t="str">
        <x:v>현재</x:v>
      </x:c>
      <x:c r="B18" s="17" t="n">
        <x:v>88</x:v>
      </x:c>
      <x:c r="C18" s="17" t="n">
        <x:v>225</x:v>
      </x:c>
      <x:c r="D18" s="17" t="n">
        <x:v>88</x:v>
      </x:c>
      <x:c r="E18" s="17" t="n">
        <x:v>225</x:v>
      </x:c>
      <x:c r="F18" s="17" t="n">
        <x:v>116</x:v>
      </x:c>
      <x:c r="G18" s="17" t="str">
        <x:v>2026-08-05</x:v>
      </x:c>
      <x:c r="H18" s="17" t="str">
        <x:v>조사 원장·매수 신호 아님</x:v>
      </x:c>
    </x:row>
    <x:row r="19" ht="45" customHeight="1">
      <x:c r="A19" s="17" t="str">
        <x:v>목표</x:v>
      </x:c>
      <x:c r="B19" s="17" t="str">
        <x:v>연도별 최소 건수를 억지로 채우지 않음</x:v>
      </x:c>
      <x:c r="C19" s="17" t="str">
        <x:v>사실 확인되는 만큼만 확장</x:v>
      </x:c>
      <x:c r="D19" s="17" t="str">
        <x:v>고유 사건 우선</x:v>
      </x:c>
      <x:c r="E19" s="17" t="str">
        <x:v>동일 테마 중복 통제</x:v>
      </x:c>
      <x:c r="F19" s="17" t="str">
        <x:v>원문 보존</x:v>
      </x:c>
      <x:c r="G19" s="17" t="str">
        <x:v>분기별 보강</x:v>
      </x:c>
      <x:c r="H19" s="17" t="str">
        <x:v>인과는 “보도상 연결” 수준</x:v>
      </x:c>
    </x:row>
  </x:sheetData>
  <x:mergeCells>
    <x:mergeCell ref="A1:H1"/>
    <x:mergeCell ref="A2:H2"/>
  </x:mergeCells>
  <x:pageMargins left="0.7" right="0.7" top="0.75" bottom="0.75" header="0.3" footer="0.3"/>
</x:worksheet>
</file>