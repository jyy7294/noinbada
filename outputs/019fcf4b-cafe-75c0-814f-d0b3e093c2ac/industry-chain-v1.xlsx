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8fe2ad5fb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한눈에보기" sheetId="1" r:id="Rd2cdf4e197c9447e"/>
    <x:sheet xmlns:r="http://schemas.openxmlformats.org/officeDocument/2006/relationships" name="산업망" sheetId="2" r:id="Ra8f85bd1371e455e"/>
    <x:sheet xmlns:r="http://schemas.openxmlformats.org/officeDocument/2006/relationships" name="기업매핑" sheetId="3" r:id="Rfd377b355c0d41f5"/>
    <x:sheet xmlns:r="http://schemas.openxmlformats.org/officeDocument/2006/relationships" name="출처" sheetId="4" r:id="Rb2652e72f9b64787"/>
    <x:sheet xmlns:r="http://schemas.openxmlformats.org/officeDocument/2006/relationships" name="검증" sheetId="5" r:id="R53c6d787ad2141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000"/>
    <x:numFmt numFmtId="201" formatCode="0000"/>
    <x:numFmt numFmtId="202" formatCode="yyyy-mm-dd"/>
  </x:numFmts>
  <x:fonts count="17">
    <x:font>
      <x:sz val="11"/>
      <x:name val="Carlito"/>
    </x:font>
    <x:font>
      <x:b/>
      <x:sz val="20"/>
      <x:color rgb="FFFFFFFF"/>
      <x:name val="Carlito"/>
    </x:font>
    <x:font>
      <x:i/>
      <x:sz val="11"/>
      <x:color rgb="FF081B4B"/>
      <x:name val="Carlito"/>
    </x:font>
    <x:font>
      <x:sz val="11"/>
      <x:color rgb="FF081B4B"/>
      <x:name val="Carlito"/>
    </x:font>
    <x:font>
      <x:b/>
      <x:sz val="11"/>
      <x:color rgb="FF081B4B"/>
      <x:name val="Carlito"/>
    </x:font>
    <x:font>
      <x:b/>
      <x:sz val="18"/>
      <x:color rgb="FFEC006D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20"/>
      <x:color rgb="FFFFFFFF"/>
      <x:name val="Aptos"/>
    </x:font>
    <x:font>
      <x:sz val="11"/>
      <x:name val="Aptos"/>
    </x:font>
    <x:font>
      <x:i/>
      <x:sz val="11"/>
      <x:color rgb="FF081B4B"/>
      <x:name val="Aptos"/>
    </x:font>
    <x:font>
      <x:b/>
      <x:sz val="11"/>
      <x:color rgb="FF081B4B"/>
      <x:name val="Aptos"/>
    </x:font>
    <x:font>
      <x:b/>
      <x:sz val="18"/>
      <x:color rgb="FFEC006D"/>
      <x:name val="Aptos"/>
    </x:font>
    <x:font>
      <x:b/>
      <x:sz val="11"/>
      <x:color rgb="FFFFFFFF"/>
      <x:name val="Aptos"/>
    </x:font>
    <x:font>
      <x:sz val="11"/>
      <x:color rgb="FF111827"/>
      <x:name val="Aptos"/>
    </x:font>
    <x:font>
      <x:b/>
      <x:sz val="11"/>
      <x:color rgb="FF6D28D9"/>
      <x:name val="Carlito"/>
    </x:font>
    <x:font>
      <x:b/>
      <x:sz val="11"/>
      <x:color rgb="FF6D28D9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81B4B"/>
      </x:patternFill>
    </x:fill>
    <x:fill>
      <x:patternFill patternType="solid">
        <x:fgColor rgb="FFFDE8F3"/>
      </x:patternFill>
    </x:fill>
    <x:fill>
      <x:patternFill patternType="solid">
        <x:fgColor rgb="FFE8EEFF"/>
      </x:patternFill>
    </x:fill>
    <x:fill>
      <x:patternFill patternType="solid">
        <x:fgColor rgb="FF6D28D9"/>
      </x:patternFill>
    </x:fill>
    <x:fill>
      <x:patternFill patternType="solid">
        <x:fgColor rgb="FFF1EA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13">
    <x:border/>
    <x:border>
      <x:left style="thin">
        <x:color rgb="FFD6DCE8"/>
      </x:left>
      <x:top style="thin">
        <x:color rgb="FFD6DCE8"/>
      </x:top>
    </x:border>
    <x:border>
      <x:right style="thin">
        <x:color rgb="FFD6DCE8"/>
      </x:right>
      <x:top style="thin">
        <x:color rgb="FFD6DCE8"/>
      </x:top>
    </x:border>
    <x:border>
      <x:left style="thin">
        <x:color rgb="FFD6DCE8"/>
      </x:left>
    </x:border>
    <x:border>
      <x:right style="thin">
        <x:color rgb="FFD6DCE8"/>
      </x:right>
    </x:border>
    <x:border>
      <x:left style="thin">
        <x:color rgb="FFD6DCE8"/>
      </x:left>
      <x:bottom style="thin">
        <x:color rgb="FFD6DCE8"/>
      </x:bottom>
    </x:border>
    <x:border>
      <x:right style="thin">
        <x:color rgb="FFD6DCE8"/>
      </x:right>
      <x:bottom style="thin">
        <x:color rgb="FFD6DCE8"/>
      </x:bottom>
    </x:border>
    <x:border>
      <x:left style="thin">
        <x:color rgb="FFD6DCE8"/>
      </x:left>
      <x:right style="thin">
        <x:color rgb="FFD6DCE8"/>
      </x:right>
      <x:top style="thin">
        <x:color rgb="FFD6DCE8"/>
      </x:top>
      <x:bottom style="thin">
        <x:color rgb="FFD6DCE8"/>
      </x:bottom>
    </x:border>
    <x:border>
      <x:left style="thin">
        <x:color rgb="FFD6DCE8"/>
      </x:left>
      <x:top style="thin">
        <x:color rgb="FFD6DCE8"/>
      </x:top>
      <x:bottom style="thin">
        <x:color rgb="FFD6DCE8"/>
      </x:bottom>
    </x:border>
    <x:border>
      <x:top style="thin">
        <x:color rgb="FFD6DCE8"/>
      </x:top>
      <x:bottom style="thin">
        <x:color rgb="FFD6DCE8"/>
      </x:bottom>
    </x:border>
    <x:border>
      <x:right style="thin">
        <x:color rgb="FFD6DCE8"/>
      </x:right>
      <x:top style="thin">
        <x:color rgb="FFD6DCE8"/>
      </x:top>
      <x:bottom style="thin">
        <x:color rgb="FFD6DCE8"/>
      </x:bottom>
    </x:border>
    <x:border>
      <x:top style="thin">
        <x:color rgb="FFD6DCE8"/>
      </x:top>
    </x:border>
    <x:border>
      <x:bottom style="thin">
        <x:color rgb="FFD6DCE8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2" borderId="7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0" fillId="4" borderId="7" xfId="0" applyNumberFormat="1" applyFont="1" applyFill="1" applyBorder="1" applyAlignment="1">
      <x:alignment horizontal="center" vertical="center" wrapText="1"/>
    </x:xf>
    <x:xf numFmtId="0" fontId="0" fillId="3" borderId="7" xfId="0" applyNumberFormat="1" applyFont="1" applyFill="1" applyBorder="1" applyAlignment="1">
      <x:alignment horizontal="center" vertical="center" wrapText="1"/>
    </x:xf>
    <x:xf numFmtId="0" fontId="0" fillId="6" borderId="7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6" fillId="2" borderId="10" xfId="0" applyNumberFormat="1" applyFont="1" applyFill="1" applyBorder="1"/>
    <x:xf numFmtId="0" fontId="6" fillId="2" borderId="8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6" fillId="2" borderId="9" xfId="0" applyNumberFormat="1" applyFont="1" applyFill="1" applyBorder="1" applyAlignment="1">
      <x:alignment horizontal="center" wrapText="1"/>
    </x:xf>
    <x:xf numFmtId="0" fontId="6" fillId="2" borderId="10" xfId="0" applyNumberFormat="1" applyFont="1" applyFill="1" applyBorder="1" applyAlignment="1">
      <x:alignment horizontal="center"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 wrapText="1"/>
    </x:xf>
    <x:xf numFmtId="0" fontId="6" fillId="2" borderId="1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1" xfId="0" applyNumberFormat="1" applyFont="1" applyFill="1" applyBorder="1"/>
    <x:xf numFmtId="0" fontId="7" fillId="7" borderId="2" xfId="0" applyNumberFormat="1" applyFont="1" applyFill="1" applyBorder="1"/>
    <x:xf numFmtId="0" fontId="7" fillId="7" borderId="5" xfId="0" applyNumberFormat="1" applyFont="1" applyFill="1" applyBorder="1"/>
    <x:xf numFmtId="0" fontId="7" fillId="7" borderId="12" xfId="0" applyNumberFormat="1" applyFont="1" applyFill="1" applyBorder="1"/>
    <x:xf numFmtId="0" fontId="7" fillId="7" borderId="6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12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horizontal="center" vertical="center"/>
    </x:xf>
    <x:xf numFmtId="0" fontId="11" fillId="4" borderId="2" xfId="0" applyNumberFormat="1" applyFont="1" applyFill="1" applyBorder="1" applyAlignment="1">
      <x:alignment horizontal="center" vertical="center"/>
    </x:xf>
    <x:xf numFmtId="0" fontId="12" fillId="4" borderId="3" xfId="0" applyNumberFormat="1" applyFont="1" applyFill="1" applyBorder="1" applyAlignment="1">
      <x:alignment horizontal="center" vertical="center"/>
    </x:xf>
    <x:xf numFmtId="0" fontId="12" fillId="4" borderId="4" xfId="0" applyNumberFormat="1" applyFont="1" applyFill="1" applyBorder="1" applyAlignment="1">
      <x:alignment horizontal="center" vertical="center"/>
    </x:xf>
    <x:xf numFmtId="0" fontId="12" fillId="4" borderId="5" xfId="0" applyNumberFormat="1" applyFont="1" applyFill="1" applyBorder="1" applyAlignment="1">
      <x:alignment horizontal="center" vertical="center"/>
    </x:xf>
    <x:xf numFmtId="0" fontId="12" fillId="4" borderId="6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/>
    <x:xf numFmtId="0" fontId="13" fillId="2" borderId="7" xfId="0" applyNumberFormat="1" applyFont="1" applyFill="1" applyBorder="1" applyAlignment="1">
      <x:alignment horizontal="center" vertical="center" wrapText="1"/>
    </x:xf>
    <x:xf numFmtId="0" fontId="9" fillId="4" borderId="7" xfId="0" applyNumberFormat="1" applyFont="1" applyFill="1" applyBorder="1" applyAlignment="1">
      <x:alignment horizontal="center" vertical="center" wrapText="1"/>
    </x:xf>
    <x:xf numFmtId="0" fontId="9" fillId="3" borderId="7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horizontal="center" vertical="center" wrapText="1"/>
    </x:xf>
    <x:xf numFmtId="0" fontId="13" fillId="2" borderId="0" xfId="0" applyNumberFormat="1" applyFont="1" applyFill="1" applyBorder="1"/>
    <x:xf numFmtId="0" fontId="13" fillId="2" borderId="8" xfId="0" applyNumberFormat="1" applyFont="1" applyFill="1" applyBorder="1" applyAlignment="1">
      <x:alignment horizontal="center" vertical="center" wrapText="1"/>
    </x:xf>
    <x:xf numFmtId="0" fontId="13" fillId="2" borderId="9" xfId="0" applyNumberFormat="1" applyFont="1" applyFill="1" applyBorder="1" applyAlignment="1">
      <x:alignment horizontal="center" vertical="center" wrapText="1"/>
    </x:xf>
    <x:xf numFmtId="0" fontId="13" fillId="2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14" fillId="7" borderId="1" xfId="0" applyNumberFormat="1" applyFont="1" applyFill="1" applyBorder="1" applyAlignment="1">
      <x:alignment vertical="center" wrapText="1"/>
    </x:xf>
    <x:xf numFmtId="0" fontId="14" fillId="7" borderId="11" xfId="0" applyNumberFormat="1" applyFont="1" applyFill="1" applyBorder="1" applyAlignment="1">
      <x:alignment vertical="center" wrapText="1"/>
    </x:xf>
    <x:xf numFmtId="0" fontId="14" fillId="7" borderId="2" xfId="0" applyNumberFormat="1" applyFont="1" applyFill="1" applyBorder="1" applyAlignment="1">
      <x:alignment vertical="center" wrapText="1"/>
    </x:xf>
    <x:xf numFmtId="0" fontId="14" fillId="7" borderId="5" xfId="0" applyNumberFormat="1" applyFont="1" applyFill="1" applyBorder="1" applyAlignment="1">
      <x:alignment vertical="center" wrapText="1"/>
    </x:xf>
    <x:xf numFmtId="0" fontId="14" fillId="7" borderId="12" xfId="0" applyNumberFormat="1" applyFont="1" applyFill="1" applyBorder="1" applyAlignment="1">
      <x:alignment vertical="center" wrapText="1"/>
    </x:xf>
    <x:xf numFmtId="0" fontId="14" fillId="7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horizontal="center" vertical="top" wrapText="1"/>
    </x:xf>
    <x:xf numFmtId="200" fontId="9" fillId="0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0" fontId="11" fillId="8" borderId="0" xfId="0" applyNumberFormat="1" applyFont="1" applyFill="1" applyBorder="1" applyAlignment="1">
      <x:alignment horizontal="center"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0" fillId="7" borderId="11" xfId="0" applyNumberFormat="1" applyFont="1" applyFill="1" applyBorder="1"/>
    <x:xf numFmtId="0" fontId="0" fillId="7" borderId="2" xfId="0" applyNumberFormat="1" applyFont="1" applyFill="1" applyBorder="1"/>
    <x:xf numFmtId="0" fontId="0" fillId="7" borderId="5" xfId="0" applyNumberFormat="1" applyFont="1" applyFill="1" applyBorder="1"/>
    <x:xf numFmtId="0" fontId="0" fillId="7" borderId="12" xfId="0" applyNumberFormat="1" applyFont="1" applyFill="1" applyBorder="1"/>
    <x:xf numFmtId="0" fontId="0" fillId="7" borderId="6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12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81B4B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e634cf2b34c27" /><Relationship Type="http://schemas.openxmlformats.org/officeDocument/2006/relationships/theme" Target="/xl/theme/theme1.xml" Id="R61740e4e670d49ea" /><Relationship Type="http://schemas.openxmlformats.org/officeDocument/2006/relationships/sharedStrings" Target="/xl/sharedStrings.xml" Id="R9617ced1ce0f42dd" /><Relationship Type="http://schemas.openxmlformats.org/officeDocument/2006/relationships/worksheet" Target="/xl/worksheets/sheet1.xml" Id="Rd2cdf4e197c9447e" /><Relationship Type="http://schemas.openxmlformats.org/officeDocument/2006/relationships/worksheet" Target="/xl/worksheets/sheet2.xml" Id="Ra8f85bd1371e455e" /><Relationship Type="http://schemas.openxmlformats.org/officeDocument/2006/relationships/worksheet" Target="/xl/worksheets/sheet3.xml" Id="Rfd377b355c0d41f5" /><Relationship Type="http://schemas.openxmlformats.org/officeDocument/2006/relationships/worksheet" Target="/xl/worksheets/sheet4.xml" Id="Rb2652e72f9b64787" /><Relationship Type="http://schemas.openxmlformats.org/officeDocument/2006/relationships/worksheet" Target="/xl/worksheets/sheet5.xml" Id="R53c6d787ad2141a8" /><Relationship Type="http://schemas.microsoft.com/office/2017/10/relationships/person" Target="/xl/persons/person.xml" Id="R9e3a4a7b960a424b" /></Relationships>
</file>

<file path=xl/persons/person.xml><?xml version="1.0" encoding="utf-8"?>
<xltc:personList xmlns:xltc="http://schemas.microsoft.com/office/spreadsheetml/2018/threadedcomments">
  <xltc:person displayName="정인성" id="{364127FE-2ECB-4456-A98F-0F321A86D972}"/>
</xltc:personList>
</file>

<file path=xl/tables/table1.xml><?xml version="1.0" encoding="utf-8"?>
<x:table xmlns:x="http://schemas.openxmlformats.org/spreadsheetml/2006/main" id="1" name="IndustryChainTable" displayName="IndustryChainTable" ref="A4:F22" headerRowCount="1" totalsRowCount="0" totalsRowShown="0">
  <x:tableColumns count="6">
    <x:tableColumn id="1" name="산업"/>
    <x:tableColumn id="2" name="단계"/>
    <x:tableColumn id="3" name="노드"/>
    <x:tableColumn id="4" name="정의"/>
    <x:tableColumn id="5" name="다음 연결"/>
    <x:tableColumn id="6" name="주요 검증 리스크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nyMappingTable" displayName="CompanyMappingTable" ref="A4:R40" headerRowCount="1" totalsRowCount="0" totalsRowShown="0">
  <x:tableColumns count="18">
    <x:tableColumn id="1" name="산업"/>
    <x:tableColumn id="2" name="단계"/>
    <x:tableColumn id="3" name="단계명"/>
    <x:tableColumn id="4" name="국가"/>
    <x:tableColumn id="5" name="기업명"/>
    <x:tableColumn id="6" name="티커"/>
    <x:tableColumn id="7" name="상장시장"/>
    <x:tableColumn id="8" name="핵심 역할"/>
    <x:tableColumn id="9" name="대표 제품·브랜드"/>
    <x:tableColumn id="10" name="산업망 연결 설명"/>
    <x:tableColumn id="11" name="실제 사업 근거 요약"/>
    <x:tableColumn id="12" name="관계유형"/>
    <x:tableColumn id="13" name="직접거래 여부"/>
    <x:tableColumn id="14" name="신뢰도"/>
    <x:tableColumn id="15" name="주요 리스크·검증 포인트"/>
    <x:tableColumn id="16" name="출처ID"/>
    <x:tableColumn id="17" name="공식 근거 URL"/>
    <x:tableColumn id="18" name="기준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4:G40" headerRowCount="1" totalsRowCount="0" totalsRowShown="0">
  <x:tableColumns count="7">
    <x:tableColumn id="1" name="출처ID"/>
    <x:tableColumn id="2" name="산업"/>
    <x:tableColumn id="3" name="기업명"/>
    <x:tableColumn id="4" name="출처 유형"/>
    <x:tableColumn id="5" name="출처명"/>
    <x:tableColumn id="6" name="URL"/>
    <x:tableColumn id="7" name="확인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c8a811400246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d996af2e0c42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a52e82ce0a48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79" t="str">
        <x:v>키움 트렌드 인사이트 | 1차 산업망</x:v>
      </x:c>
      <x:c r="B1" s="80"/>
      <x:c r="C1" s="80"/>
      <x:c r="D1" s="80"/>
      <x:c r="E1" s="80"/>
      <x:c r="F1" s="80"/>
      <x:c r="G1" s="80"/>
      <x:c r="H1" s="80"/>
    </x:row>
    <x:row r="2" ht="30" customHeight="1">
      <x:c r="A2" s="81" t="str">
        <x:v>식품·뷰티·패션 × 한국·미국·일본 대표 상장기업 | 기준일 2026-08-05 | 투자 추천이 아닌 조사 시작점</x:v>
      </x:c>
      <x:c r="B2" s="81"/>
      <x:c r="C2" s="81"/>
      <x:c r="D2" s="81"/>
      <x:c r="E2" s="81"/>
      <x:c r="F2" s="81"/>
      <x:c r="G2" s="81"/>
      <x:c r="H2" s="81"/>
    </x:row>
    <x:row r="3">
      <x:c r="A3" s="80"/>
      <x:c r="B3" s="80"/>
      <x:c r="C3" s="80"/>
      <x:c r="D3" s="80"/>
      <x:c r="E3" s="80"/>
      <x:c r="F3" s="80"/>
      <x:c r="G3" s="80"/>
      <x:c r="H3" s="80"/>
    </x:row>
    <x:row r="4">
      <x:c r="A4" s="82" t="str">
        <x:v>대표 기업 수</x:v>
      </x:c>
      <x:c r="B4" s="83"/>
      <x:c r="C4" s="82" t="str">
        <x:v>공식 근거 확보</x:v>
      </x:c>
      <x:c r="D4" s="83"/>
      <x:c r="E4" s="82" t="str">
        <x:v>산업 수</x:v>
      </x:c>
      <x:c r="F4" s="83"/>
      <x:c r="G4" s="82" t="str">
        <x:v>국가 수</x:v>
      </x:c>
      <x:c r="H4" s="83"/>
    </x:row>
    <x:row r="5">
      <x:c r="A5" s="84" t="n">
        <x:f>COUNTA('기업매핑'!E5:E40)</x:f>
        <x:v>36</x:v>
      </x:c>
      <x:c r="B5" s="85"/>
      <x:c r="C5" s="84" t="n">
        <x:f>COUNTA('기업매핑'!Q5:Q40)</x:f>
        <x:v>36</x:v>
      </x:c>
      <x:c r="D5" s="85"/>
      <x:c r="E5" s="84" t="n">
        <x:v>3</x:v>
      </x:c>
      <x:c r="F5" s="85"/>
      <x:c r="G5" s="84" t="n">
        <x:v>3</x:v>
      </x:c>
      <x:c r="H5" s="85"/>
    </x:row>
    <x:row r="6">
      <x:c r="A6" s="86"/>
      <x:c r="B6" s="87"/>
      <x:c r="C6" s="86"/>
      <x:c r="D6" s="87"/>
      <x:c r="E6" s="86"/>
      <x:c r="F6" s="87"/>
      <x:c r="G6" s="86"/>
      <x:c r="H6" s="87"/>
    </x:row>
    <x:row r="7">
      <x:c r="A7" s="80"/>
      <x:c r="B7" s="80"/>
      <x:c r="C7" s="80"/>
      <x:c r="D7" s="80"/>
      <x:c r="E7" s="80"/>
      <x:c r="F7" s="80"/>
      <x:c r="G7" s="80"/>
      <x:c r="H7" s="80"/>
    </x:row>
    <x:row r="8" ht="26" customHeight="1">
      <x:c r="A8" s="88" t="str">
        <x:v>산업망 핵심 흐름</x:v>
      </x:c>
      <x:c r="B8" s="88"/>
      <x:c r="C8" s="88"/>
      <x:c r="D8" s="88"/>
      <x:c r="E8" s="88"/>
      <x:c r="F8" s="88"/>
      <x:c r="G8" s="88"/>
      <x:c r="H8" s="88"/>
    </x:row>
    <x:row r="9" ht="34" customHeight="1">
      <x:c r="A9" s="89" t="str">
        <x:v>식품</x:v>
      </x:c>
      <x:c r="B9" s="90" t="str">
        <x:v>농산물·원재료</x:v>
      </x:c>
      <x:c r="C9" s="90" t="str">
        <x:v>식품소재·첨가물</x:v>
      </x:c>
      <x:c r="D9" s="90" t="str">
        <x:v>가공·제조</x:v>
      </x:c>
      <x:c r="E9" s="90" t="str">
        <x:v>브랜드·제품</x:v>
      </x:c>
      <x:c r="F9" s="90" t="str">
        <x:v>물류·도매</x:v>
      </x:c>
      <x:c r="G9" s="90" t="str">
        <x:v>소매·외식 접점</x:v>
      </x:c>
      <x:c r="H9" s="90" t="str">
        <x:v>소비자 신호 ↺</x:v>
      </x:c>
    </x:row>
    <x:row r="10" ht="34" customHeight="1">
      <x:c r="A10" s="89" t="str">
        <x:v>뷰티</x:v>
      </x:c>
      <x:c r="B10" s="91" t="str">
        <x:v>원료·향료·액티브</x:v>
      </x:c>
      <x:c r="C10" s="91" t="str">
        <x:v>용기·패키징</x:v>
      </x:c>
      <x:c r="D10" s="91" t="str">
        <x:v>OEM·ODM·제조</x:v>
      </x:c>
      <x:c r="E10" s="91" t="str">
        <x:v>브랜드·마케팅</x:v>
      </x:c>
      <x:c r="F10" s="91" t="str">
        <x:v>유통·리테일·플랫폼</x:v>
      </x:c>
      <x:c r="G10" s="91" t="str">
        <x:v>소비자 데이터</x:v>
      </x:c>
      <x:c r="H10" s="91" t="str">
        <x:v>기획·발주 ↺</x:v>
      </x:c>
    </x:row>
    <x:row r="11" ht="34" customHeight="1">
      <x:c r="A11" s="89" t="str">
        <x:v>패션</x:v>
      </x:c>
      <x:c r="B11" s="92" t="str">
        <x:v>원료·재생소재</x:v>
      </x:c>
      <x:c r="C11" s="92" t="str">
        <x:v>원사·직물·염색</x:v>
      </x:c>
      <x:c r="D11" s="92" t="str">
        <x:v>OEM·ODM·봉제</x:v>
      </x:c>
      <x:c r="E11" s="92" t="str">
        <x:v>브랜드·디자인·IP</x:v>
      </x:c>
      <x:c r="F11" s="92" t="str">
        <x:v>유통·플랫폼·리테일</x:v>
      </x:c>
      <x:c r="G11" s="92" t="str">
        <x:v>리세일·순환</x:v>
      </x:c>
      <x:c r="H11" s="92" t="str">
        <x:v>소재·기획 ↺</x:v>
      </x:c>
    </x:row>
    <x:row r="12">
      <x:c r="A12" s="80"/>
      <x:c r="B12" s="80"/>
      <x:c r="C12" s="80"/>
      <x:c r="D12" s="80"/>
      <x:c r="E12" s="80"/>
      <x:c r="F12" s="80"/>
      <x:c r="G12" s="80"/>
      <x:c r="H12" s="80"/>
    </x:row>
    <x:row r="13" ht="26" customHeight="1">
      <x:c r="A13" s="93" t="str">
        <x:v>국가별 대표 기업 배치 (주요 단계 기준)</x:v>
      </x:c>
      <x:c r="B13" s="93"/>
      <x:c r="C13" s="93"/>
      <x:c r="D13" s="93"/>
      <x:c r="E13" s="93"/>
      <x:c r="F13" s="93"/>
      <x:c r="G13" s="93"/>
      <x:c r="H13" s="93"/>
    </x:row>
    <x:row r="14">
      <x:c r="A14" s="94" t="str">
        <x:v>산업</x:v>
      </x:c>
      <x:c r="B14" s="95" t="str">
        <x:v>국가</x:v>
      </x:c>
      <x:c r="C14" s="95" t="str">
        <x:v>1단계</x:v>
      </x:c>
      <x:c r="D14" s="95" t="str">
        <x:v>2단계</x:v>
      </x:c>
      <x:c r="E14" s="95" t="str">
        <x:v>3단계</x:v>
      </x:c>
      <x:c r="F14" s="95" t="str">
        <x:v>4단계</x:v>
      </x:c>
      <x:c r="G14" s="95" t="str">
        <x:v>5단계</x:v>
      </x:c>
      <x:c r="H14" s="96" t="str">
        <x:v>6단계</x:v>
      </x:c>
    </x:row>
    <x:row r="15" ht="42" customHeight="1">
      <x:c r="A15" s="97" t="str">
        <x:v>식품</x:v>
      </x:c>
      <x:c r="B15" s="97" t="str">
        <x:v>한국</x:v>
      </x:c>
      <x:c r="C15" s="98" t="str"/>
      <x:c r="D15" s="98" t="str">
        <x:v>대상</x:v>
      </x:c>
      <x:c r="E15" s="98" t="str">
        <x:v>CJ제일제당</x:v>
      </x:c>
      <x:c r="F15" s="98" t="str">
        <x:v>삼양식품</x:v>
      </x:c>
      <x:c r="G15" s="98" t="str"/>
      <x:c r="H15" s="98" t="str">
        <x:v>GS리테일</x:v>
      </x:c>
    </x:row>
    <x:row r="16" ht="42" customHeight="1">
      <x:c r="A16" s="97" t="str">
        <x:v>식품</x:v>
      </x:c>
      <x:c r="B16" s="97" t="str">
        <x:v>미국</x:v>
      </x:c>
      <x:c r="C16" s="98" t="str">
        <x:v>Archer-Daniels-Midland</x:v>
      </x:c>
      <x:c r="D16" s="98" t="str">
        <x:v>Ingredion</x:v>
      </x:c>
      <x:c r="E16" s="98" t="str"/>
      <x:c r="F16" s="98" t="str">
        <x:v>PepsiCo</x:v>
      </x:c>
      <x:c r="G16" s="98" t="str">
        <x:v>Sysco</x:v>
      </x:c>
      <x:c r="H16" s="98" t="str"/>
    </x:row>
    <x:row r="17" ht="42" customHeight="1">
      <x:c r="A17" s="97" t="str">
        <x:v>식품</x:v>
      </x:c>
      <x:c r="B17" s="97" t="str">
        <x:v>일본</x:v>
      </x:c>
      <x:c r="C17" s="98" t="str"/>
      <x:c r="D17" s="98" t="str">
        <x:v>Ajinomoto</x:v>
      </x:c>
      <x:c r="E17" s="98" t="str">
        <x:v>Nissin Foods Holdings
Kikkoman</x:v>
      </x:c>
      <x:c r="F17" s="98" t="str"/>
      <x:c r="G17" s="98" t="str"/>
      <x:c r="H17" s="98" t="str">
        <x:v>Seven &amp; i Holdings</x:v>
      </x:c>
    </x:row>
    <x:row r="18" ht="42" customHeight="1">
      <x:c r="A18" s="97" t="str">
        <x:v>뷰티</x:v>
      </x:c>
      <x:c r="B18" s="97" t="str">
        <x:v>한국</x:v>
      </x:c>
      <x:c r="C18" s="98" t="str"/>
      <x:c r="D18" s="98" t="str">
        <x:v>펌텍코리아</x:v>
      </x:c>
      <x:c r="E18" s="98" t="str">
        <x:v>COSMAX
한국콜마</x:v>
      </x:c>
      <x:c r="F18" s="98" t="str">
        <x:v>아모레퍼시픽</x:v>
      </x:c>
      <x:c r="G18" s="98" t="str"/>
      <x:c r="H18" s="98" t="str"/>
    </x:row>
    <x:row r="19" ht="42" customHeight="1">
      <x:c r="A19" s="97" t="str">
        <x:v>뷰티</x:v>
      </x:c>
      <x:c r="B19" s="97" t="str">
        <x:v>미국</x:v>
      </x:c>
      <x:c r="C19" s="98" t="str">
        <x:v>International Flavors &amp; Fragrances</x:v>
      </x:c>
      <x:c r="D19" s="98" t="str"/>
      <x:c r="E19" s="98" t="str"/>
      <x:c r="F19" s="98" t="str">
        <x:v>The Estée Lauder Companies
e.l.f. Beauty</x:v>
      </x:c>
      <x:c r="G19" s="98" t="str">
        <x:v>Ulta Beauty</x:v>
      </x:c>
      <x:c r="H19" s="98" t="str"/>
    </x:row>
    <x:row r="20" ht="42" customHeight="1">
      <x:c r="A20" s="97" t="str">
        <x:v>뷰티</x:v>
      </x:c>
      <x:c r="B20" s="97" t="str">
        <x:v>일본</x:v>
      </x:c>
      <x:c r="C20" s="98" t="str"/>
      <x:c r="D20" s="98" t="str"/>
      <x:c r="E20" s="98" t="str"/>
      <x:c r="F20" s="98" t="str">
        <x:v>Shiseido
Kao
KOSÉ Holdings</x:v>
      </x:c>
      <x:c r="G20" s="98" t="str">
        <x:v>istyle</x:v>
      </x:c>
      <x:c r="H20" s="98" t="str"/>
    </x:row>
    <x:row r="21" ht="42" customHeight="1">
      <x:c r="A21" s="97" t="str">
        <x:v>패션</x:v>
      </x:c>
      <x:c r="B21" s="97" t="str">
        <x:v>한국</x:v>
      </x:c>
      <x:c r="C21" s="98" t="str"/>
      <x:c r="D21" s="98" t="str">
        <x:v>효성티앤씨</x:v>
      </x:c>
      <x:c r="E21" s="98" t="str">
        <x:v>한세실업</x:v>
      </x:c>
      <x:c r="F21" s="98" t="str">
        <x:v>F&amp;F</x:v>
      </x:c>
      <x:c r="G21" s="98" t="str">
        <x:v>신세계인터내셔날</x:v>
      </x:c>
      <x:c r="H21" s="98" t="str"/>
    </x:row>
    <x:row r="22" ht="42" customHeight="1">
      <x:c r="A22" s="97" t="str">
        <x:v>패션</x:v>
      </x:c>
      <x:c r="B22" s="97" t="str">
        <x:v>미국</x:v>
      </x:c>
      <x:c r="C22" s="98" t="str"/>
      <x:c r="D22" s="98" t="str">
        <x:v>Unifi</x:v>
      </x:c>
      <x:c r="E22" s="98" t="str"/>
      <x:c r="F22" s="98" t="str">
        <x:v>NIKE
Tapestry</x:v>
      </x:c>
      <x:c r="G22" s="98" t="str">
        <x:v>The TJX Companies</x:v>
      </x:c>
      <x:c r="H22" s="98" t="str"/>
    </x:row>
    <x:row r="23" ht="42" customHeight="1">
      <x:c r="A23" s="97" t="str">
        <x:v>패션</x:v>
      </x:c>
      <x:c r="B23" s="97" t="str">
        <x:v>일본</x:v>
      </x:c>
      <x:c r="C23" s="98" t="str"/>
      <x:c r="D23" s="98" t="str">
        <x:v>Toray Industries</x:v>
      </x:c>
      <x:c r="E23" s="98" t="str"/>
      <x:c r="F23" s="98" t="str">
        <x:v>Onward Holdings</x:v>
      </x:c>
      <x:c r="G23" s="98" t="str">
        <x:v>Fast Retailing
ZOZO</x:v>
      </x:c>
      <x:c r="H23" s="98" t="str"/>
    </x:row>
    <x:row r="24">
      <x:c r="A24" s="80"/>
      <x:c r="B24" s="80"/>
      <x:c r="C24" s="80"/>
      <x:c r="D24" s="80"/>
      <x:c r="E24" s="80"/>
      <x:c r="F24" s="80"/>
      <x:c r="G24" s="80"/>
      <x:c r="H24" s="80"/>
    </x:row>
    <x:row r="25" ht="30" customHeight="1">
      <x:c r="A25" s="99" t="str">
        <x:v>읽는 법 | 기업은 가장 대표적인 단계에 1회 배치했습니다. 실제로 여러 단계를 수행하는 통합형 기업은 ‘기업매핑’ 시트의 역할·연결 설명에서 확인하세요. 이 자료의 화살표는 산업 공정 흐름이며 특정 회사 간 납품 관계를 뜻하지 않습니다.</x:v>
      </x:c>
      <x:c r="B25" s="100"/>
      <x:c r="C25" s="100"/>
      <x:c r="D25" s="100"/>
      <x:c r="E25" s="100"/>
      <x:c r="F25" s="100"/>
      <x:c r="G25" s="100"/>
      <x:c r="H25" s="101"/>
    </x:row>
    <x:row r="26" ht="30" customHeight="1">
      <x:c r="A26" s="102"/>
      <x:c r="B26" s="103"/>
      <x:c r="C26" s="103"/>
      <x:c r="D26" s="103"/>
      <x:c r="E26" s="103"/>
      <x:c r="F26" s="103"/>
      <x:c r="G26" s="103"/>
      <x:c r="H26" s="104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13:H13"/>
    <x:mergeCell ref="A25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" hidden="0" customWidth="1"/>
    <x:col min="3" max="3" width="24" hidden="0" customWidth="1"/>
    <x:col min="4" max="4" width="42" hidden="0" customWidth="1"/>
    <x:col min="5" max="5" width="32" hidden="0" customWidth="1"/>
    <x:col min="6" max="6" width="36" hidden="0" customWidth="1"/>
  </x:cols>
  <x:sheetData>
    <x:row r="1" ht="38" customHeight="1">
      <x:c r="A1" s="79" t="str">
        <x:v>산업망 단계 정의</x:v>
      </x:c>
      <x:c r="B1" s="80"/>
      <x:c r="C1" s="80"/>
      <x:c r="D1" s="80"/>
      <x:c r="E1" s="80"/>
      <x:c r="F1" s="80"/>
    </x:row>
    <x:row r="2" ht="30" customHeight="1">
      <x:c r="A2" s="81" t="str">
        <x:v>공정 흐름과 데이터 피드백을 함께 보는 1차 프레임 | 특정 기업 간 거래관계는 별도 확인 필요</x:v>
      </x:c>
      <x:c r="B2" s="81"/>
      <x:c r="C2" s="81"/>
      <x:c r="D2" s="81"/>
      <x:c r="E2" s="81"/>
      <x:c r="F2" s="81"/>
    </x:row>
    <x:row r="3">
      <x:c r="A3" s="80"/>
      <x:c r="B3" s="80"/>
      <x:c r="C3" s="80"/>
      <x:c r="D3" s="80"/>
      <x:c r="E3" s="80"/>
      <x:c r="F3" s="80"/>
    </x:row>
    <x:row r="4">
      <x:c r="A4" s="94" t="str">
        <x:v>산업</x:v>
      </x:c>
      <x:c r="B4" s="95" t="str">
        <x:v>단계</x:v>
      </x:c>
      <x:c r="C4" s="95" t="str">
        <x:v>노드</x:v>
      </x:c>
      <x:c r="D4" s="95" t="str">
        <x:v>정의</x:v>
      </x:c>
      <x:c r="E4" s="95" t="str">
        <x:v>다음 연결</x:v>
      </x:c>
      <x:c r="F4" s="96" t="str">
        <x:v>주요 검증 리스크</x:v>
      </x:c>
    </x:row>
    <x:row r="5">
      <x:c r="A5" s="111" t="str">
        <x:v>식품</x:v>
      </x:c>
      <x:c r="B5" s="112" t="n">
        <x:v>1</x:v>
      </x:c>
      <x:c r="C5" s="113" t="str">
        <x:v>농산물·원재료</x:v>
      </x:c>
      <x:c r="D5" s="113" t="str">
        <x:v>곡물·유지종자·농수산물의 조달과 1차 처리</x:v>
      </x:c>
      <x:c r="E5" s="113" t="str">
        <x:v>산지·원재료 → 소재 기업</x:v>
      </x:c>
      <x:c r="F5" s="113" t="str">
        <x:v>원자재 가격·기후·무역정책</x:v>
      </x:c>
    </x:row>
    <x:row r="6">
      <x:c r="A6" s="111" t="str">
        <x:v>식품</x:v>
      </x:c>
      <x:c r="B6" s="112" t="n">
        <x:v>2</x:v>
      </x:c>
      <x:c r="C6" s="113" t="str">
        <x:v>식품소재·첨가물</x:v>
      </x:c>
      <x:c r="D6" s="113" t="str">
        <x:v>전분·감미료·아미노산·향미·단백질 등 기능성 소재</x:v>
      </x:c>
      <x:c r="E6" s="113" t="str">
        <x:v>원재료 → 가공·제조</x:v>
      </x:c>
      <x:c r="F6" s="113" t="str">
        <x:v>원가 전가력·규제·고객 집중</x:v>
      </x:c>
    </x:row>
    <x:row r="7">
      <x:c r="A7" s="111" t="str">
        <x:v>식품</x:v>
      </x:c>
      <x:c r="B7" s="112" t="n">
        <x:v>3</x:v>
      </x:c>
      <x:c r="C7" s="113" t="str">
        <x:v>가공·제조</x:v>
      </x:c>
      <x:c r="D7" s="113" t="str">
        <x:v>라면·소스·HMR·냉동식품 등 완제품 생산</x:v>
      </x:c>
      <x:c r="E7" s="113" t="str">
        <x:v>소재 → 브랜드·유통</x:v>
      </x:c>
      <x:c r="F7" s="113" t="str">
        <x:v>생산능력·품질·환율</x:v>
      </x:c>
    </x:row>
    <x:row r="8">
      <x:c r="A8" s="111" t="str">
        <x:v>식품</x:v>
      </x:c>
      <x:c r="B8" s="112" t="n">
        <x:v>4</x:v>
      </x:c>
      <x:c r="C8" s="113" t="str">
        <x:v>브랜드·제품</x:v>
      </x:c>
      <x:c r="D8" s="113" t="str">
        <x:v>제품 기획, 브랜드/IP, 마케팅과 글로벌 판매</x:v>
      </x:c>
      <x:c r="E8" s="113" t="str">
        <x:v>제조 → 소비자 수요</x:v>
      </x:c>
      <x:c r="F8" s="113" t="str">
        <x:v>유행 지속성·마케팅비·재고</x:v>
      </x:c>
    </x:row>
    <x:row r="9">
      <x:c r="A9" s="111" t="str">
        <x:v>식품</x:v>
      </x:c>
      <x:c r="B9" s="112" t="n">
        <x:v>5</x:v>
      </x:c>
      <x:c r="C9" s="113" t="str">
        <x:v>물류·도매</x:v>
      </x:c>
      <x:c r="D9" s="113" t="str">
        <x:v>식품 도매, 푸드서비스 유통, 공급망 운영</x:v>
      </x:c>
      <x:c r="E9" s="113" t="str">
        <x:v>제조·브랜드 → 소매·외식</x:v>
      </x:c>
      <x:c r="F9" s="113" t="str">
        <x:v>물류비·마진·고객 경기</x:v>
      </x:c>
    </x:row>
    <x:row r="10">
      <x:c r="A10" s="111" t="str">
        <x:v>식품</x:v>
      </x:c>
      <x:c r="B10" s="112" t="n">
        <x:v>6</x:v>
      </x:c>
      <x:c r="C10" s="113" t="str">
        <x:v>소매·외식 접점</x:v>
      </x:c>
      <x:c r="D10" s="113" t="str">
        <x:v>편의점·마트·외식 채널에서 소비자에게 판매</x:v>
      </x:c>
      <x:c r="E10" s="113" t="str">
        <x:v>상품 → 소비자·검색/리뷰 데이터</x:v>
      </x:c>
      <x:c r="F10" s="113" t="str">
        <x:v>소비경기·점포 효율·경쟁</x:v>
      </x:c>
    </x:row>
    <x:row r="11">
      <x:c r="A11" s="111" t="str">
        <x:v>뷰티</x:v>
      </x:c>
      <x:c r="B11" s="112" t="n">
        <x:v>1</x:v>
      </x:c>
      <x:c r="C11" s="113" t="str">
        <x:v>원료·향료·액티브</x:v>
      </x:c>
      <x:c r="D11" s="113" t="str">
        <x:v>향료·기능성 원료·기초 화학 및 제형 소재</x:v>
      </x:c>
      <x:c r="E11" s="113" t="str">
        <x:v>원료 → ODM·브랜드</x:v>
      </x:c>
      <x:c r="F11" s="113" t="str">
        <x:v>규제·안전성·원료 수급</x:v>
      </x:c>
    </x:row>
    <x:row r="12">
      <x:c r="A12" s="111" t="str">
        <x:v>뷰티</x:v>
      </x:c>
      <x:c r="B12" s="112" t="n">
        <x:v>2</x:v>
      </x:c>
      <x:c r="C12" s="113" t="str">
        <x:v>용기·패키징</x:v>
      </x:c>
      <x:c r="D12" s="113" t="str">
        <x:v>펌프·튜브·콤팩트 등 화장품 용기 개발·생산</x:v>
      </x:c>
      <x:c r="E12" s="113" t="str">
        <x:v>디자인·원료 → ODM·브랜드</x:v>
      </x:c>
      <x:c r="F12" s="113" t="str">
        <x:v>수지 가격·금형 투자·고객 집중</x:v>
      </x:c>
    </x:row>
    <x:row r="13">
      <x:c r="A13" s="111" t="str">
        <x:v>뷰티</x:v>
      </x:c>
      <x:c r="B13" s="112" t="n">
        <x:v>3</x:v>
      </x:c>
      <x:c r="C13" s="113" t="str">
        <x:v>OEM·ODM·제조</x:v>
      </x:c>
      <x:c r="D13" s="113" t="str">
        <x:v>트렌드 제안, 처방 개발, 생산, 품질관리</x:v>
      </x:c>
      <x:c r="E13" s="113" t="str">
        <x:v>원료·용기 → 브랜드</x:v>
      </x:c>
      <x:c r="F13" s="113" t="str">
        <x:v>수주·가동률·품질·고객 집중</x:v>
      </x:c>
    </x:row>
    <x:row r="14">
      <x:c r="A14" s="111" t="str">
        <x:v>뷰티</x:v>
      </x:c>
      <x:c r="B14" s="112" t="n">
        <x:v>4</x:v>
      </x:c>
      <x:c r="C14" s="113" t="str">
        <x:v>브랜드·마케팅</x:v>
      </x:c>
      <x:c r="D14" s="113" t="str">
        <x:v>스킨케어·메이크업·향수 브랜드와 콘텐츠 마케팅</x:v>
      </x:c>
      <x:c r="E14" s="113" t="str">
        <x:v>ODM·자체제조 → 유통</x:v>
      </x:c>
      <x:c r="F14" s="113" t="str">
        <x:v>브랜드 수명·광고비·채널 변화</x:v>
      </x:c>
    </x:row>
    <x:row r="15">
      <x:c r="A15" s="111" t="str">
        <x:v>뷰티</x:v>
      </x:c>
      <x:c r="B15" s="112" t="n">
        <x:v>5</x:v>
      </x:c>
      <x:c r="C15" s="113" t="str">
        <x:v>유통·리테일·플랫폼</x:v>
      </x:c>
      <x:c r="D15" s="113" t="str">
        <x:v>전문점·이커머스·리뷰·데이터 기반 판매와 발견</x:v>
      </x:c>
      <x:c r="E15" s="113" t="str">
        <x:v>브랜드 → 소비자·트렌드 데이터</x:v>
      </x:c>
      <x:c r="F15" s="113" t="str">
        <x:v>트래픽·수수료·재고·경쟁</x:v>
      </x:c>
    </x:row>
    <x:row r="16">
      <x:c r="A16" s="111" t="str">
        <x:v>뷰티</x:v>
      </x:c>
      <x:c r="B16" s="112" t="n">
        <x:v>6</x:v>
      </x:c>
      <x:c r="C16" s="113" t="str">
        <x:v>소비자 데이터 피드백</x:v>
      </x:c>
      <x:c r="D16" s="113" t="str">
        <x:v>검색·리뷰·SNS 반응을 제품기획과 발주에 반영</x:v>
      </x:c>
      <x:c r="E16" s="113" t="str">
        <x:v>소비자 → 브랜드·ODM·원료</x:v>
      </x:c>
      <x:c r="F16" s="113" t="str">
        <x:v>표본 편향·봇·화제성 과대평가</x:v>
      </x:c>
    </x:row>
    <x:row r="17">
      <x:c r="A17" s="111" t="str">
        <x:v>패션</x:v>
      </x:c>
      <x:c r="B17" s="112" t="n">
        <x:v>1</x:v>
      </x:c>
      <x:c r="C17" s="113" t="str">
        <x:v>원료·폴리머·재생소재</x:v>
      </x:c>
      <x:c r="D17" s="113" t="str">
        <x:v>석유화학·재생원료 등 섬유의 기초 투입물</x:v>
      </x:c>
      <x:c r="E17" s="113" t="str">
        <x:v>원료 → 원사·직물</x:v>
      </x:c>
      <x:c r="F17" s="113" t="str">
        <x:v>원유·원료가·환경규제</x:v>
      </x:c>
    </x:row>
    <x:row r="18">
      <x:c r="A18" s="111" t="str">
        <x:v>패션</x:v>
      </x:c>
      <x:c r="B18" s="112" t="n">
        <x:v>2</x:v>
      </x:c>
      <x:c r="C18" s="113" t="str">
        <x:v>원사·직물·염색</x:v>
      </x:c>
      <x:c r="D18" s="113" t="str">
        <x:v>스판덱스·나일론·폴리에스터·직물·염색</x:v>
      </x:c>
      <x:c r="E18" s="113" t="str">
        <x:v>소재 → 봉제·ODM</x:v>
      </x:c>
      <x:c r="F18" s="113" t="str">
        <x:v>에너지비·가동률·수요 변동</x:v>
      </x:c>
    </x:row>
    <x:row r="19">
      <x:c r="A19" s="111" t="str">
        <x:v>패션</x:v>
      </x:c>
      <x:c r="B19" s="112" t="n">
        <x:v>3</x:v>
      </x:c>
      <x:c r="C19" s="113" t="str">
        <x:v>OEM·ODM·봉제</x:v>
      </x:c>
      <x:c r="D19" s="113" t="str">
        <x:v>디자인 지원, 소싱, 재단·봉제, 납품</x:v>
      </x:c>
      <x:c r="E19" s="113" t="str">
        <x:v>원단 → 글로벌 브랜드</x:v>
      </x:c>
      <x:c r="F19" s="113" t="str">
        <x:v>고객 집중·임금·납기·지역 리스크</x:v>
      </x:c>
    </x:row>
    <x:row r="20">
      <x:c r="A20" s="111" t="str">
        <x:v>패션</x:v>
      </x:c>
      <x:c r="B20" s="112" t="n">
        <x:v>4</x:v>
      </x:c>
      <x:c r="C20" s="113" t="str">
        <x:v>브랜드·디자인·IP</x:v>
      </x:c>
      <x:c r="D20" s="113" t="str">
        <x:v>상품기획·디자인·라이선스·브랜드 마케팅</x:v>
      </x:c>
      <x:c r="E20" s="113" t="str">
        <x:v>제조 → 유통·플랫폼</x:v>
      </x:c>
      <x:c r="F20" s="113" t="str">
        <x:v>트렌드·재고·라이선스</x:v>
      </x:c>
    </x:row>
    <x:row r="21">
      <x:c r="A21" s="111" t="str">
        <x:v>패션</x:v>
      </x:c>
      <x:c r="B21" s="112" t="n">
        <x:v>5</x:v>
      </x:c>
      <x:c r="C21" s="113" t="str">
        <x:v>유통·플랫폼·리테일</x:v>
      </x:c>
      <x:c r="D21" s="113" t="str">
        <x:v>오프라인 매장·이커머스·오프프라이스 판매</x:v>
      </x:c>
      <x:c r="E21" s="113" t="str">
        <x:v>브랜드 → 소비자</x:v>
      </x:c>
      <x:c r="F21" s="113" t="str">
        <x:v>소비경기·할인율·반품·트래픽</x:v>
      </x:c>
    </x:row>
    <x:row r="22">
      <x:c r="A22" s="111" t="str">
        <x:v>패션</x:v>
      </x:c>
      <x:c r="B22" s="112" t="n">
        <x:v>6</x:v>
      </x:c>
      <x:c r="C22" s="113" t="str">
        <x:v>리세일·순환·피드백</x:v>
      </x:c>
      <x:c r="D22" s="113" t="str">
        <x:v>중고·재활용·수요 데이터를 소재와 기획에 환류</x:v>
      </x:c>
      <x:c r="E22" s="113" t="str">
        <x:v>소비자 → 소재·기획</x:v>
      </x:c>
      <x:c r="F22" s="113" t="str">
        <x:v>회수경제성·품질 추적·규제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7c8a811400246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" hidden="0" customWidth="1"/>
    <x:col min="3" max="3" width="20" hidden="0" customWidth="1"/>
    <x:col min="4" max="4" width="9" hidden="0" customWidth="1"/>
    <x:col min="5" max="5" width="24" hidden="0" customWidth="1"/>
    <x:col min="6" max="6" width="12" hidden="0" customWidth="1"/>
    <x:col min="7" max="7" width="14" hidden="0" customWidth="1"/>
    <x:col min="8" max="8" width="30" hidden="0" customWidth="1"/>
    <x:col min="9" max="9" width="30" hidden="0" customWidth="1"/>
    <x:col min="10" max="10" width="38" hidden="0" customWidth="1"/>
    <x:col min="11" max="11" width="44" hidden="0" customWidth="1"/>
    <x:col min="12" max="12" width="13" hidden="0" customWidth="1"/>
    <x:col min="13" max="13" width="20" hidden="0" customWidth="1"/>
    <x:col min="14" max="14" width="10" hidden="0" customWidth="1"/>
    <x:col min="15" max="15" width="34" hidden="0" customWidth="1"/>
    <x:col min="16" max="16" width="10" hidden="0" customWidth="1"/>
    <x:col min="17" max="17" width="48" hidden="0" customWidth="1"/>
    <x:col min="18" max="18" width="13" hidden="0" customWidth="1"/>
  </x:cols>
  <x:sheetData>
    <x:row r="1" ht="38" customHeight="1">
      <x:c r="A1" s="79" t="str">
        <x:v>대표 상장기업 산업망 매핑</x:v>
      </x:c>
      <x:c r="B1" s="80"/>
      <x:c r="C1" s="80"/>
      <x:c r="D1" s="80"/>
      <x:c r="E1" s="80"/>
      <x:c r="F1" s="80"/>
      <x:c r="G1" s="80"/>
      <x:c r="H1" s="80"/>
      <x:c r="I1" s="80"/>
      <x:c r="J1" s="80"/>
      <x:c r="K1" s="80"/>
      <x:c r="L1" s="80"/>
      <x:c r="M1" s="80"/>
      <x:c r="N1" s="80"/>
      <x:c r="O1" s="80"/>
      <x:c r="P1" s="80"/>
      <x:c r="Q1" s="80"/>
      <x:c r="R1" s="80"/>
    </x:row>
    <x:row r="2" ht="30" customHeight="1">
      <x:c r="A2" s="81" t="str">
        <x:v>총 36개사 | 산업별 12개, 국가별 12개 | 공식 기업자료·공시 우선 | 직접 거래가 아닌 단계 매핑</x:v>
      </x:c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  <x:c r="P2" s="81"/>
      <x:c r="Q2" s="81"/>
      <x:c r="R2" s="81"/>
    </x:row>
    <x:row r="3">
      <x:c r="A3" s="80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</x:row>
    <x:row r="4">
      <x:c r="A4" s="94" t="str">
        <x:v>산업</x:v>
      </x:c>
      <x:c r="B4" s="95" t="str">
        <x:v>단계</x:v>
      </x:c>
      <x:c r="C4" s="95" t="str">
        <x:v>단계명</x:v>
      </x:c>
      <x:c r="D4" s="95" t="str">
        <x:v>국가</x:v>
      </x:c>
      <x:c r="E4" s="95" t="str">
        <x:v>기업명</x:v>
      </x:c>
      <x:c r="F4" s="95" t="str">
        <x:v>티커</x:v>
      </x:c>
      <x:c r="G4" s="95" t="str">
        <x:v>상장시장</x:v>
      </x:c>
      <x:c r="H4" s="95" t="str">
        <x:v>핵심 역할</x:v>
      </x:c>
      <x:c r="I4" s="95" t="str">
        <x:v>대표 제품·브랜드</x:v>
      </x:c>
      <x:c r="J4" s="95" t="str">
        <x:v>산업망 연결 설명</x:v>
      </x:c>
      <x:c r="K4" s="95" t="str">
        <x:v>실제 사업 근거 요약</x:v>
      </x:c>
      <x:c r="L4" s="95" t="str">
        <x:v>관계유형</x:v>
      </x:c>
      <x:c r="M4" s="95" t="str">
        <x:v>직접거래 여부</x:v>
      </x:c>
      <x:c r="N4" s="95" t="str">
        <x:v>신뢰도</x:v>
      </x:c>
      <x:c r="O4" s="95" t="str">
        <x:v>주요 리스크·검증 포인트</x:v>
      </x:c>
      <x:c r="P4" s="95" t="str">
        <x:v>출처ID</x:v>
      </x:c>
      <x:c r="Q4" s="95" t="str">
        <x:v>공식 근거 URL</x:v>
      </x:c>
      <x:c r="R4" s="96" t="str">
        <x:v>기준일</x:v>
      </x:c>
    </x:row>
    <x:row r="5">
      <x:c r="A5" s="113" t="str">
        <x:v>식품</x:v>
      </x:c>
      <x:c r="B5" s="112" t="n">
        <x:v>3</x:v>
      </x:c>
      <x:c r="C5" s="113" t="str">
        <x:v>가공·제조</x:v>
      </x:c>
      <x:c r="D5" s="122" t="str">
        <x:v>한국</x:v>
      </x:c>
      <x:c r="E5" s="113" t="str">
        <x:v>CJ제일제당</x:v>
      </x:c>
      <x:c r="F5" s="123" t="str">
        <x:v>097950</x:v>
      </x:c>
      <x:c r="G5" s="124" t="str">
        <x:v>KOSPI</x:v>
      </x:c>
      <x:c r="H5" s="113" t="str">
        <x:v>식품 소재부터 HMR·가공식품까지 제조</x:v>
      </x:c>
      <x:c r="I5" s="113" t="str">
        <x:v>bibigo, 햇반, 백설</x:v>
      </x:c>
      <x:c r="J5" s="113" t="str">
        <x:v>식품소재를 가공해 브랜드 완제품으로 판매하는 통합형 제조사</x:v>
      </x:c>
      <x:c r="K5" s="113" t="str">
        <x:v>설탕으로 출발해 HMR, 육가공, 소스·조미료, 감미료·밀가루·유지 사업을 운영</x:v>
      </x:c>
      <x:c r="L5" s="113" t="str">
        <x:v>실제 사업</x:v>
      </x:c>
      <x:c r="M5" s="113" t="str">
        <x:v>해당 없음(단계 매핑)</x:v>
      </x:c>
      <x:c r="N5" s="125" t="str">
        <x:v>A</x:v>
      </x:c>
      <x:c r="O5" s="113" t="str">
        <x:v>원재료·환율·해외 확장 수익성</x:v>
      </x:c>
      <x:c r="P5" s="113" t="str">
        <x:v>S01</x:v>
      </x:c>
      <x:c r="Q5" s="113" t="str">
        <x:v>https://www.cj.co.kr/en/aboutus/business/food</x:v>
      </x:c>
      <x:c r="R5" s="126" t="n">
        <x:v>46239</x:v>
      </x:c>
    </x:row>
    <x:row r="6">
      <x:c r="A6" s="113" t="str">
        <x:v>식품</x:v>
      </x:c>
      <x:c r="B6" s="112" t="n">
        <x:v>2</x:v>
      </x:c>
      <x:c r="C6" s="113" t="str">
        <x:v>식품소재·첨가물</x:v>
      </x:c>
      <x:c r="D6" s="122" t="str">
        <x:v>한국</x:v>
      </x:c>
      <x:c r="E6" s="113" t="str">
        <x:v>대상</x:v>
      </x:c>
      <x:c r="F6" s="123" t="str">
        <x:v>001680</x:v>
      </x:c>
      <x:c r="G6" s="124" t="str">
        <x:v>KOSPI</x:v>
      </x:c>
      <x:c r="H6" s="113" t="str">
        <x:v>전분·감미료·발효 아미노산과 종합식품</x:v>
      </x:c>
      <x:c r="I6" s="113" t="str">
        <x:v>미원, 청정원, 종가</x:v>
      </x:c>
      <x:c r="J6" s="113" t="str">
        <x:v>소재를 식품 제조사와 자사 가공식품에 공급</x:v>
      </x:c>
      <x:c r="K6" s="113" t="str">
        <x:v>전분·감미료, BIO 아미노산 및 일반 식품 사업을 공식적으로 운영</x:v>
      </x:c>
      <x:c r="L6" s="113" t="str">
        <x:v>실제 사업</x:v>
      </x:c>
      <x:c r="M6" s="113" t="str">
        <x:v>해당 없음(단계 매핑)</x:v>
      </x:c>
      <x:c r="N6" s="125" t="str">
        <x:v>A</x:v>
      </x:c>
      <x:c r="O6" s="113" t="str">
        <x:v>곡물가·바이오 시황·해외 생산</x:v>
      </x:c>
      <x:c r="P6" s="113" t="str">
        <x:v>S02</x:v>
      </x:c>
      <x:c r="Q6" s="113" t="str">
        <x:v>https://www.daesang.com/en/m/business/raw_material/bio.jsp</x:v>
      </x:c>
      <x:c r="R6" s="126" t="n">
        <x:v>46239</x:v>
      </x:c>
    </x:row>
    <x:row r="7">
      <x:c r="A7" s="113" t="str">
        <x:v>식품</x:v>
      </x:c>
      <x:c r="B7" s="112" t="n">
        <x:v>4</x:v>
      </x:c>
      <x:c r="C7" s="113" t="str">
        <x:v>브랜드·제품</x:v>
      </x:c>
      <x:c r="D7" s="122" t="str">
        <x:v>한국</x:v>
      </x:c>
      <x:c r="E7" s="113" t="str">
        <x:v>삼양식품</x:v>
      </x:c>
      <x:c r="F7" s="123" t="str">
        <x:v>003230</x:v>
      </x:c>
      <x:c r="G7" s="124" t="str">
        <x:v>KOSPI</x:v>
      </x:c>
      <x:c r="H7" s="113" t="str">
        <x:v>라면·소스 중심의 제조와 글로벌 브랜드 판매</x:v>
      </x:c>
      <x:c r="I7" s="113" t="str">
        <x:v>불닭볶음면, 삼양라면</x:v>
      </x:c>
      <x:c r="J7" s="113" t="str">
        <x:v>가공제품을 브랜드화해 국내외 유통으로 연결</x:v>
      </x:c>
      <x:c r="K7" s="113" t="str">
        <x:v>라면·소스 제품과 글로벌 판매 법인·생산 거점을 공식 소개</x:v>
      </x:c>
      <x:c r="L7" s="113" t="str">
        <x:v>실제 사업</x:v>
      </x:c>
      <x:c r="M7" s="113" t="str">
        <x:v>해당 없음(단계 매핑)</x:v>
      </x:c>
      <x:c r="N7" s="125" t="str">
        <x:v>A</x:v>
      </x:c>
      <x:c r="O7" s="113" t="str">
        <x:v>히트제품 집중·환율·생산능력</x:v>
      </x:c>
      <x:c r="P7" s="113" t="str">
        <x:v>S03</x:v>
      </x:c>
      <x:c r="Q7" s="113" t="str">
        <x:v>https://www.samyangfoods.com/eng/information/company/index.do</x:v>
      </x:c>
      <x:c r="R7" s="126" t="n">
        <x:v>46239</x:v>
      </x:c>
    </x:row>
    <x:row r="8">
      <x:c r="A8" s="113" t="str">
        <x:v>식품</x:v>
      </x:c>
      <x:c r="B8" s="112" t="n">
        <x:v>6</x:v>
      </x:c>
      <x:c r="C8" s="113" t="str">
        <x:v>소매·외식 접점</x:v>
      </x:c>
      <x:c r="D8" s="122" t="str">
        <x:v>한국</x:v>
      </x:c>
      <x:c r="E8" s="113" t="str">
        <x:v>GS리테일</x:v>
      </x:c>
      <x:c r="F8" s="123" t="str">
        <x:v>007070</x:v>
      </x:c>
      <x:c r="G8" s="124" t="str">
        <x:v>KOSPI</x:v>
      </x:c>
      <x:c r="H8" s="113" t="str">
        <x:v>편의점·슈퍼마켓 기반 소비자 유통</x:v>
      </x:c>
      <x:c r="I8" s="113" t="str">
        <x:v>GS25, GS THE FRESH</x:v>
      </x:c>
      <x:c r="J8" s="113" t="str">
        <x:v>식품 제조사와 최종 소비자를 연결하는 소매 채널</x:v>
      </x:c>
      <x:c r="K8" s="113" t="str">
        <x:v>공식 지속가능경영 보고서에서 편의점과 슈퍼마켓 사업을 제시</x:v>
      </x:c>
      <x:c r="L8" s="113" t="str">
        <x:v>실제 사업</x:v>
      </x:c>
      <x:c r="M8" s="113" t="str">
        <x:v>해당 없음(단계 매핑)</x:v>
      </x:c>
      <x:c r="N8" s="125" t="str">
        <x:v>A</x:v>
      </x:c>
      <x:c r="O8" s="113" t="str">
        <x:v>소비경기·점포 효율·가맹점 관계</x:v>
      </x:c>
      <x:c r="P8" s="113" t="str">
        <x:v>S04</x:v>
      </x:c>
      <x:c r="Q8" s="113" t="str">
        <x:v>https://hpimg.gsretail.com/_ui/desktop/common/docs/gsr_sustainability_report_2023_eng.pdf</x:v>
      </x:c>
      <x:c r="R8" s="126" t="n">
        <x:v>46239</x:v>
      </x:c>
    </x:row>
    <x:row r="9">
      <x:c r="A9" s="113" t="str">
        <x:v>식품</x:v>
      </x:c>
      <x:c r="B9" s="112" t="n">
        <x:v>1</x:v>
      </x:c>
      <x:c r="C9" s="113" t="str">
        <x:v>농산물·원재료</x:v>
      </x:c>
      <x:c r="D9" s="122" t="str">
        <x:v>미국</x:v>
      </x:c>
      <x:c r="E9" s="113" t="str">
        <x:v>Archer-Daniels-Midland</x:v>
      </x:c>
      <x:c r="F9" s="124" t="str">
        <x:v>ADM</x:v>
      </x:c>
      <x:c r="G9" s="124" t="str">
        <x:v>NYSE</x:v>
      </x:c>
      <x:c r="H9" s="113" t="str">
        <x:v>농산물 조달·운송·가공과 식품·영양 소재</x:v>
      </x:c>
      <x:c r="I9" s="113" t="str">
        <x:v>곡물·유지종자, 단백질, 향미 솔루션</x:v>
      </x:c>
      <x:c r="J9" s="113" t="str">
        <x:v>농가·원재료를 식품소재와 소비재 시장으로 연결</x:v>
      </x:c>
      <x:c r="K9" s="113" t="str">
        <x:v>작물 구매·운송·가공 및 식품·음료 소재 제공을 공식 설명</x:v>
      </x:c>
      <x:c r="L9" s="113" t="str">
        <x:v>실제 사업</x:v>
      </x:c>
      <x:c r="M9" s="113" t="str">
        <x:v>해당 없음(단계 매핑)</x:v>
      </x:c>
      <x:c r="N9" s="125" t="str">
        <x:v>A</x:v>
      </x:c>
      <x:c r="O9" s="113" t="str">
        <x:v>곡물가·트레이딩·규제·회계 통제</x:v>
      </x:c>
      <x:c r="P9" s="113" t="str">
        <x:v>S05</x:v>
      </x:c>
      <x:c r="Q9" s="113" t="str">
        <x:v>https://www.adm.com/en-us/about/</x:v>
      </x:c>
      <x:c r="R9" s="126" t="n">
        <x:v>46239</x:v>
      </x:c>
    </x:row>
    <x:row r="10">
      <x:c r="A10" s="113" t="str">
        <x:v>식품</x:v>
      </x:c>
      <x:c r="B10" s="112" t="n">
        <x:v>2</x:v>
      </x:c>
      <x:c r="C10" s="113" t="str">
        <x:v>식품소재·첨가물</x:v>
      </x:c>
      <x:c r="D10" s="122" t="str">
        <x:v>미국</x:v>
      </x:c>
      <x:c r="E10" s="113" t="str">
        <x:v>Ingredion</x:v>
      </x:c>
      <x:c r="F10" s="124" t="str">
        <x:v>INGR</x:v>
      </x:c>
      <x:c r="G10" s="124" t="str">
        <x:v>NYSE</x:v>
      </x:c>
      <x:c r="H10" s="113" t="str">
        <x:v>전분·감미료·텍스처·영양소재</x:v>
      </x:c>
      <x:c r="I10" s="113" t="str">
        <x:v>starches, sweeteners, texturizers</x:v>
      </x:c>
      <x:c r="J10" s="113" t="str">
        <x:v>식물성 원재료를 부가가치 식품소재로 전환</x:v>
      </x:c>
      <x:c r="K10" s="113" t="str">
        <x:v>곡물·과일·채소를 식음료용 소재로 전환한다고 공식 공시</x:v>
      </x:c>
      <x:c r="L10" s="113" t="str">
        <x:v>실제 사업</x:v>
      </x:c>
      <x:c r="M10" s="113" t="str">
        <x:v>해당 없음(단계 매핑)</x:v>
      </x:c>
      <x:c r="N10" s="125" t="str">
        <x:v>A</x:v>
      </x:c>
      <x:c r="O10" s="113" t="str">
        <x:v>옥수수 가격·고객 수요·지역 믹스</x:v>
      </x:c>
      <x:c r="P10" s="113" t="str">
        <x:v>S06</x:v>
      </x:c>
      <x:c r="Q10" s="113" t="str">
        <x:v>https://www.sec.gov/Archives/edgar/data/1046257/000104625725000018/ingr-20241231.htm</x:v>
      </x:c>
      <x:c r="R10" s="126" t="n">
        <x:v>46239</x:v>
      </x:c>
    </x:row>
    <x:row r="11">
      <x:c r="A11" s="113" t="str">
        <x:v>식품</x:v>
      </x:c>
      <x:c r="B11" s="112" t="n">
        <x:v>4</x:v>
      </x:c>
      <x:c r="C11" s="113" t="str">
        <x:v>브랜드·제품</x:v>
      </x:c>
      <x:c r="D11" s="122" t="str">
        <x:v>미국</x:v>
      </x:c>
      <x:c r="E11" s="113" t="str">
        <x:v>PepsiCo</x:v>
      </x:c>
      <x:c r="F11" s="124" t="str">
        <x:v>PEP</x:v>
      </x:c>
      <x:c r="G11" s="124" t="str">
        <x:v>NASDAQ</x:v>
      </x:c>
      <x:c r="H11" s="113" t="str">
        <x:v>편의식품과 음료의 글로벌 브랜드 운영</x:v>
      </x:c>
      <x:c r="I11" s="113" t="str">
        <x:v>Lay's, Doritos, Quaker, Pepsi</x:v>
      </x:c>
      <x:c r="J11" s="113" t="str">
        <x:v>가공식품·음료를 브랜드와 글로벌 유통망으로 연결</x:v>
      </x:c>
      <x:c r="K11" s="113" t="str">
        <x:v>공식 IR에서 식품·음료 포트폴리오와 글로벌 판매 범위를 제시</x:v>
      </x:c>
      <x:c r="L11" s="113" t="str">
        <x:v>실제 사업</x:v>
      </x:c>
      <x:c r="M11" s="113" t="str">
        <x:v>해당 없음(단계 매핑)</x:v>
      </x:c>
      <x:c r="N11" s="125" t="str">
        <x:v>A</x:v>
      </x:c>
      <x:c r="O11" s="113" t="str">
        <x:v>소비 트렌드·원가·건강 규제</x:v>
      </x:c>
      <x:c r="P11" s="113" t="str">
        <x:v>S07</x:v>
      </x:c>
      <x:c r="Q11" s="113" t="str">
        <x:v>https://www.pepsico.com/en/investors</x:v>
      </x:c>
      <x:c r="R11" s="126" t="n">
        <x:v>46239</x:v>
      </x:c>
    </x:row>
    <x:row r="12">
      <x:c r="A12" s="113" t="str">
        <x:v>식품</x:v>
      </x:c>
      <x:c r="B12" s="112" t="n">
        <x:v>5</x:v>
      </x:c>
      <x:c r="C12" s="113" t="str">
        <x:v>물류·도매</x:v>
      </x:c>
      <x:c r="D12" s="122" t="str">
        <x:v>미국</x:v>
      </x:c>
      <x:c r="E12" s="113" t="str">
        <x:v>Sysco</x:v>
      </x:c>
      <x:c r="F12" s="124" t="str">
        <x:v>SYY</x:v>
      </x:c>
      <x:c r="G12" s="124" t="str">
        <x:v>NYSE</x:v>
      </x:c>
      <x:c r="H12" s="113" t="str">
        <x:v>푸드서비스 식품과 관련 제품의 글로벌 유통</x:v>
      </x:c>
      <x:c r="I12" s="113" t="str">
        <x:v>foodservice distribution</x:v>
      </x:c>
      <x:c r="J12" s="113" t="str">
        <x:v>생산자·브랜드 제품을 외식·기관 고객에 도매 공급</x:v>
      </x:c>
      <x:c r="K12" s="113" t="str">
        <x:v>SEC 10-K에서 글로벌 식품·관련 제품 유통사로 설명</x:v>
      </x:c>
      <x:c r="L12" s="113" t="str">
        <x:v>실제 사업</x:v>
      </x:c>
      <x:c r="M12" s="113" t="str">
        <x:v>해당 없음(단계 매핑)</x:v>
      </x:c>
      <x:c r="N12" s="125" t="str">
        <x:v>A</x:v>
      </x:c>
      <x:c r="O12" s="113" t="str">
        <x:v>물류비·식당 경기·통합 실행</x:v>
      </x:c>
      <x:c r="P12" s="113" t="str">
        <x:v>S08</x:v>
      </x:c>
      <x:c r="Q12" s="113" t="str">
        <x:v>https://www.sec.gov/Archives/edgar/data/96021/000009602125000099/syy-20250628.htm</x:v>
      </x:c>
      <x:c r="R12" s="126" t="n">
        <x:v>46239</x:v>
      </x:c>
    </x:row>
    <x:row r="13">
      <x:c r="A13" s="113" t="str">
        <x:v>식품</x:v>
      </x:c>
      <x:c r="B13" s="112" t="n">
        <x:v>2</x:v>
      </x:c>
      <x:c r="C13" s="113" t="str">
        <x:v>식품소재·첨가물</x:v>
      </x:c>
      <x:c r="D13" s="122" t="str">
        <x:v>일본</x:v>
      </x:c>
      <x:c r="E13" s="113" t="str">
        <x:v>Ajinomoto</x:v>
      </x:c>
      <x:c r="F13" s="127" t="str">
        <x:v>2802</x:v>
      </x:c>
      <x:c r="G13" s="124" t="str">
        <x:v>TSE Prime</x:v>
      </x:c>
      <x:c r="H13" s="113" t="str">
        <x:v>아미노산 기반 조미료·소재와 식품</x:v>
      </x:c>
      <x:c r="I13" s="113" t="str">
        <x:v>AJI-NO-MOTO, amino acids</x:v>
      </x:c>
      <x:c r="J13" s="113" t="str">
        <x:v>아미노산 기술을 식품·건강 소재와 완제품에 적용</x:v>
      </x:c>
      <x:c r="K13" s="113" t="str">
        <x:v>공식 보고서에서 Food Products와 아미노산 기반 소재 사업을 제시</x:v>
      </x:c>
      <x:c r="L13" s="113" t="str">
        <x:v>실제 사업</x:v>
      </x:c>
      <x:c r="M13" s="113" t="str">
        <x:v>해당 없음(단계 매핑)</x:v>
      </x:c>
      <x:c r="N13" s="125" t="str">
        <x:v>A</x:v>
      </x:c>
      <x:c r="O13" s="113" t="str">
        <x:v>원재료·환율·사업 포트폴리오</x:v>
      </x:c>
      <x:c r="P13" s="113" t="str">
        <x:v>S09</x:v>
      </x:c>
      <x:c r="Q13" s="113" t="str">
        <x:v>https://www.ajinomoto.co.jp/company/en/ir/library/annual.html</x:v>
      </x:c>
      <x:c r="R13" s="126" t="n">
        <x:v>46239</x:v>
      </x:c>
    </x:row>
    <x:row r="14">
      <x:c r="A14" s="113" t="str">
        <x:v>식품</x:v>
      </x:c>
      <x:c r="B14" s="112" t="n">
        <x:v>3</x:v>
      </x:c>
      <x:c r="C14" s="113" t="str">
        <x:v>가공·제조</x:v>
      </x:c>
      <x:c r="D14" s="122" t="str">
        <x:v>일본</x:v>
      </x:c>
      <x:c r="E14" s="113" t="str">
        <x:v>Nissin Foods Holdings</x:v>
      </x:c>
      <x:c r="F14" s="127" t="str">
        <x:v>2897</x:v>
      </x:c>
      <x:c r="G14" s="124" t="str">
        <x:v>TSE Prime</x:v>
      </x:c>
      <x:c r="H14" s="113" t="str">
        <x:v>즉석면·냉동식품·과자·음료 제조와 브랜드</x:v>
      </x:c>
      <x:c r="I14" s="113" t="str">
        <x:v>Cup Noodles, Chicken Ramen</x:v>
      </x:c>
      <x:c r="J14" s="113" t="str">
        <x:v>식품소재를 편의식 브랜드 제품으로 제조·판매</x:v>
      </x:c>
      <x:c r="K14" s="113" t="str">
        <x:v>공식 기업 정보에서 즉석면·냉장·냉동·과자·음료 제조 판매를 제시</x:v>
      </x:c>
      <x:c r="L14" s="113" t="str">
        <x:v>실제 사업</x:v>
      </x:c>
      <x:c r="M14" s="113" t="str">
        <x:v>해당 없음(단계 매핑)</x:v>
      </x:c>
      <x:c r="N14" s="125" t="str">
        <x:v>A</x:v>
      </x:c>
      <x:c r="O14" s="113" t="str">
        <x:v>곡물가·브랜드 성숙도·해외 확장</x:v>
      </x:c>
      <x:c r="P14" s="113" t="str">
        <x:v>S10</x:v>
      </x:c>
      <x:c r="Q14" s="113" t="str">
        <x:v>https://www.nissin.com/en_jp/about/</x:v>
      </x:c>
      <x:c r="R14" s="126" t="n">
        <x:v>46239</x:v>
      </x:c>
    </x:row>
    <x:row r="15">
      <x:c r="A15" s="113" t="str">
        <x:v>식품</x:v>
      </x:c>
      <x:c r="B15" s="112" t="n">
        <x:v>3</x:v>
      </x:c>
      <x:c r="C15" s="113" t="str">
        <x:v>가공·제조</x:v>
      </x:c>
      <x:c r="D15" s="122" t="str">
        <x:v>일본</x:v>
      </x:c>
      <x:c r="E15" s="113" t="str">
        <x:v>Kikkoman</x:v>
      </x:c>
      <x:c r="F15" s="127" t="str">
        <x:v>2801</x:v>
      </x:c>
      <x:c r="G15" s="124" t="str">
        <x:v>TSE Prime</x:v>
      </x:c>
      <x:c r="H15" s="113" t="str">
        <x:v>간장·토마토 가공·두유 제조와 아시아 식품 도매</x:v>
      </x:c>
      <x:c r="I15" s="113" t="str">
        <x:v>Kikkoman Soy Sauce, Del Monte</x:v>
      </x:c>
      <x:c r="J15" s="113" t="str">
        <x:v>제조와 글로벌 식품 도매를 함께 수행</x:v>
      </x:c>
      <x:c r="K15" s="113" t="str">
        <x:v>공식 사업 페이지에서 식품 제조·판매와 아시아 식품 도매를 제시</x:v>
      </x:c>
      <x:c r="L15" s="113" t="str">
        <x:v>실제 사업</x:v>
      </x:c>
      <x:c r="M15" s="113" t="str">
        <x:v>해당 없음(단계 매핑)</x:v>
      </x:c>
      <x:c r="N15" s="125" t="str">
        <x:v>A</x:v>
      </x:c>
      <x:c r="O15" s="113" t="str">
        <x:v>대두·곡물가·환율·지역 수요</x:v>
      </x:c>
      <x:c r="P15" s="113" t="str">
        <x:v>S11</x:v>
      </x:c>
      <x:c r="Q15" s="113" t="str">
        <x:v>https://www.kikkoman.com/en/corporate/business/</x:v>
      </x:c>
      <x:c r="R15" s="126" t="n">
        <x:v>46239</x:v>
      </x:c>
    </x:row>
    <x:row r="16">
      <x:c r="A16" s="113" t="str">
        <x:v>식품</x:v>
      </x:c>
      <x:c r="B16" s="112" t="n">
        <x:v>6</x:v>
      </x:c>
      <x:c r="C16" s="113" t="str">
        <x:v>소매·외식 접점</x:v>
      </x:c>
      <x:c r="D16" s="122" t="str">
        <x:v>일본</x:v>
      </x:c>
      <x:c r="E16" s="113" t="str">
        <x:v>Seven &amp; i Holdings</x:v>
      </x:c>
      <x:c r="F16" s="127" t="str">
        <x:v>3382</x:v>
      </x:c>
      <x:c r="G16" s="124" t="str">
        <x:v>TSE Prime</x:v>
      </x:c>
      <x:c r="H16" s="113" t="str">
        <x:v>편의점 중심의 소매 그룹 운영</x:v>
      </x:c>
      <x:c r="I16" s="113" t="str">
        <x:v>7-Eleven</x:v>
      </x:c>
      <x:c r="J16" s="113" t="str">
        <x:v>브랜드·제조 상품을 소비자 접점으로 연결</x:v>
      </x:c>
      <x:c r="K16" s="113" t="str">
        <x:v>공식 기업 개요에서 편의점 중심 그룹의 기획·관리·운영을 제시</x:v>
      </x:c>
      <x:c r="L16" s="113" t="str">
        <x:v>실제 사업</x:v>
      </x:c>
      <x:c r="M16" s="113" t="str">
        <x:v>해당 없음(단계 매핑)</x:v>
      </x:c>
      <x:c r="N16" s="125" t="str">
        <x:v>A</x:v>
      </x:c>
      <x:c r="O16" s="113" t="str">
        <x:v>점포 효율·소비경기·구조개편</x:v>
      </x:c>
      <x:c r="P16" s="113" t="str">
        <x:v>S12</x:v>
      </x:c>
      <x:c r="Q16" s="113" t="str">
        <x:v>https://www.7andi.com/en/company/profile.html</x:v>
      </x:c>
      <x:c r="R16" s="126" t="n">
        <x:v>46239</x:v>
      </x:c>
    </x:row>
    <x:row r="17">
      <x:c r="A17" s="113" t="str">
        <x:v>뷰티</x:v>
      </x:c>
      <x:c r="B17" s="112" t="n">
        <x:v>3</x:v>
      </x:c>
      <x:c r="C17" s="113" t="str">
        <x:v>OEM·ODM·제조</x:v>
      </x:c>
      <x:c r="D17" s="122" t="str">
        <x:v>한국</x:v>
      </x:c>
      <x:c r="E17" s="113" t="str">
        <x:v>COSMAX</x:v>
      </x:c>
      <x:c r="F17" s="123" t="str">
        <x:v>192820</x:v>
      </x:c>
      <x:c r="G17" s="124" t="str">
        <x:v>KOSPI</x:v>
      </x:c>
      <x:c r="H17" s="113" t="str">
        <x:v>화장품 ODM 개발·제조</x:v>
      </x:c>
      <x:c r="I17" s="113" t="str">
        <x:v>스킨케어·메이크업 ODM</x:v>
      </x:c>
      <x:c r="J17" s="113" t="str">
        <x:v>원료와 용기를 결합해 브랜드사 제품을 개발·생산</x:v>
      </x:c>
      <x:c r="K17" s="113" t="str">
        <x:v>공식 보고서에서 화장품 전문 ODM과 개발·생산 역할을 제시</x:v>
      </x:c>
      <x:c r="L17" s="113" t="str">
        <x:v>실제 사업</x:v>
      </x:c>
      <x:c r="M17" s="113" t="str">
        <x:v>해당 없음(단계 매핑)</x:v>
      </x:c>
      <x:c r="N17" s="125" t="str">
        <x:v>A</x:v>
      </x:c>
      <x:c r="O17" s="113" t="str">
        <x:v>고객 집중·가동률·품질·해외 법인</x:v>
      </x:c>
      <x:c r="P17" s="113" t="str">
        <x:v>S13</x:v>
      </x:c>
      <x:c r="Q17" s="113" t="str">
        <x:v>https://cosmax.com/new/download/2023_COSMAX_Sustainability_Report_EN.pdf</x:v>
      </x:c>
      <x:c r="R17" s="126" t="n">
        <x:v>46239</x:v>
      </x:c>
    </x:row>
    <x:row r="18">
      <x:c r="A18" s="113" t="str">
        <x:v>뷰티</x:v>
      </x:c>
      <x:c r="B18" s="112" t="n">
        <x:v>3</x:v>
      </x:c>
      <x:c r="C18" s="113" t="str">
        <x:v>OEM·ODM·제조</x:v>
      </x:c>
      <x:c r="D18" s="122" t="str">
        <x:v>한국</x:v>
      </x:c>
      <x:c r="E18" s="113" t="str">
        <x:v>한국콜마</x:v>
      </x:c>
      <x:c r="F18" s="123" t="str">
        <x:v>161890</x:v>
      </x:c>
      <x:c r="G18" s="124" t="str">
        <x:v>KOSPI</x:v>
      </x:c>
      <x:c r="H18" s="113" t="str">
        <x:v>기획·개발·생산·물류를 포함한 화장품 ODM</x:v>
      </x:c>
      <x:c r="I18" s="113" t="str">
        <x:v>스킨케어·메이크업·퍼스널케어 ODM</x:v>
      </x:c>
      <x:c r="J18" s="113" t="str">
        <x:v>원료·용기 기업과 브랜드 기업 사이의 제조 플랫폼</x:v>
      </x:c>
      <x:c r="K18" s="113" t="str">
        <x:v>공식 소개에서 트렌드 제안부터 개발·제조·물류까지 토털 ODM 서비스를 제시</x:v>
      </x:c>
      <x:c r="L18" s="113" t="str">
        <x:v>실제 사업</x:v>
      </x:c>
      <x:c r="M18" s="113" t="str">
        <x:v>해당 없음(단계 매핑)</x:v>
      </x:c>
      <x:c r="N18" s="125" t="str">
        <x:v>A</x:v>
      </x:c>
      <x:c r="O18" s="113" t="str">
        <x:v>수주·품질·고객 집중·계열 사업</x:v>
      </x:c>
      <x:c r="P18" s="113" t="str">
        <x:v>S14</x:v>
      </x:c>
      <x:c r="Q18" s="113" t="str">
        <x:v>https://www.kolmar.co.kr/eng/about/summary.php</x:v>
      </x:c>
      <x:c r="R18" s="126" t="n">
        <x:v>46239</x:v>
      </x:c>
    </x:row>
    <x:row r="19">
      <x:c r="A19" s="113" t="str">
        <x:v>뷰티</x:v>
      </x:c>
      <x:c r="B19" s="112" t="n">
        <x:v>4</x:v>
      </x:c>
      <x:c r="C19" s="113" t="str">
        <x:v>브랜드·마케팅</x:v>
      </x:c>
      <x:c r="D19" s="122" t="str">
        <x:v>한국</x:v>
      </x:c>
      <x:c r="E19" s="113" t="str">
        <x:v>아모레퍼시픽</x:v>
      </x:c>
      <x:c r="F19" s="123" t="str">
        <x:v>090430</x:v>
      </x:c>
      <x:c r="G19" s="124" t="str">
        <x:v>KOSPI</x:v>
      </x:c>
      <x:c r="H19" s="113" t="str">
        <x:v>뷰티 브랜드 개발·생산·글로벌 판매</x:v>
      </x:c>
      <x:c r="I19" s="113" t="str">
        <x:v>설화수, 라네즈, 이니스프리, COSRX</x:v>
      </x:c>
      <x:c r="J19" s="113" t="str">
        <x:v>ODM·자체 제조 제품을 브랜드와 글로벌 채널로 연결</x:v>
      </x:c>
      <x:c r="K19" s="113" t="str">
        <x:v>공식 회사 소개에서 다수 뷰티·헬스 브랜드와 연구개발·유통을 제시</x:v>
      </x:c>
      <x:c r="L19" s="113" t="str">
        <x:v>실제 사업</x:v>
      </x:c>
      <x:c r="M19" s="113" t="str">
        <x:v>해당 없음(단계 매핑)</x:v>
      </x:c>
      <x:c r="N19" s="125" t="str">
        <x:v>A</x:v>
      </x:c>
      <x:c r="O19" s="113" t="str">
        <x:v>브랜드 믹스·중국 노출·마케팅비</x:v>
      </x:c>
      <x:c r="P19" s="113" t="str">
        <x:v>S15</x:v>
      </x:c>
      <x:c r="Q19" s="113" t="str">
        <x:v>https://us.amorepacific.com/pages/company</x:v>
      </x:c>
      <x:c r="R19" s="126" t="n">
        <x:v>46239</x:v>
      </x:c>
    </x:row>
    <x:row r="20">
      <x:c r="A20" s="113" t="str">
        <x:v>뷰티</x:v>
      </x:c>
      <x:c r="B20" s="112" t="n">
        <x:v>2</x:v>
      </x:c>
      <x:c r="C20" s="113" t="str">
        <x:v>용기·패키징</x:v>
      </x:c>
      <x:c r="D20" s="122" t="str">
        <x:v>한국</x:v>
      </x:c>
      <x:c r="E20" s="113" t="str">
        <x:v>펌텍코리아</x:v>
      </x:c>
      <x:c r="F20" s="123" t="str">
        <x:v>251970</x:v>
      </x:c>
      <x:c r="G20" s="124" t="str">
        <x:v>KOSDAQ</x:v>
      </x:c>
      <x:c r="H20" s="113" t="str">
        <x:v>화장품 용기 개발·제조</x:v>
      </x:c>
      <x:c r="I20" s="113" t="str">
        <x:v>펌프·콤팩트·스틱·튜브 용기</x:v>
      </x:c>
      <x:c r="J20" s="113" t="str">
        <x:v>용기 설계와 생산을 ODM·브랜드사에 연결</x:v>
      </x:c>
      <x:c r="K20" s="113" t="str">
        <x:v>공식 사이트에서 화장품 용기 제조사 및 KOSDAQ 상장 코드를 명시</x:v>
      </x:c>
      <x:c r="L20" s="113" t="str">
        <x:v>실제 사업</x:v>
      </x:c>
      <x:c r="M20" s="113" t="str">
        <x:v>해당 없음(단계 매핑)</x:v>
      </x:c>
      <x:c r="N20" s="125" t="str">
        <x:v>A</x:v>
      </x:c>
      <x:c r="O20" s="113" t="str">
        <x:v>수지 가격·금형·고객 집중</x:v>
      </x:c>
      <x:c r="P20" s="113" t="str">
        <x:v>S16</x:v>
      </x:c>
      <x:c r="Q20" s="113" t="str">
        <x:v>https://en.epumtech.com/</x:v>
      </x:c>
      <x:c r="R20" s="126" t="n">
        <x:v>46239</x:v>
      </x:c>
    </x:row>
    <x:row r="21">
      <x:c r="A21" s="113" t="str">
        <x:v>뷰티</x:v>
      </x:c>
      <x:c r="B21" s="112" t="n">
        <x:v>1</x:v>
      </x:c>
      <x:c r="C21" s="113" t="str">
        <x:v>원료·향료·액티브</x:v>
      </x:c>
      <x:c r="D21" s="122" t="str">
        <x:v>미국</x:v>
      </x:c>
      <x:c r="E21" s="113" t="str">
        <x:v>International Flavors &amp; Fragrances</x:v>
      </x:c>
      <x:c r="F21" s="124" t="str">
        <x:v>IFF</x:v>
      </x:c>
      <x:c r="G21" s="124" t="str">
        <x:v>NYSE</x:v>
      </x:c>
      <x:c r="H21" s="113" t="str">
        <x:v>향료·센트와 뷰티·퍼스널케어 솔루션</x:v>
      </x:c>
      <x:c r="I21" s="113" t="str">
        <x:v>fragrance and scent solutions</x:v>
      </x:c>
      <x:c r="J21" s="113" t="str">
        <x:v>향료·기능 솔루션을 브랜드·제조사 제품에 투입</x:v>
      </x:c>
      <x:c r="K21" s="113" t="str">
        <x:v>공식 사이트에서 향료와 Beauty &amp; Personal Care 솔루션을 제시</x:v>
      </x:c>
      <x:c r="L21" s="113" t="str">
        <x:v>실제 사업</x:v>
      </x:c>
      <x:c r="M21" s="113" t="str">
        <x:v>해당 없음(단계 매핑)</x:v>
      </x:c>
      <x:c r="N21" s="125" t="str">
        <x:v>A</x:v>
      </x:c>
      <x:c r="O21" s="113" t="str">
        <x:v>사업 매각·포트폴리오 변화·원료 규제</x:v>
      </x:c>
      <x:c r="P21" s="113" t="str">
        <x:v>S17</x:v>
      </x:c>
      <x:c r="Q21" s="113" t="str">
        <x:v>https://www.iff.com/</x:v>
      </x:c>
      <x:c r="R21" s="126" t="n">
        <x:v>46239</x:v>
      </x:c>
    </x:row>
    <x:row r="22">
      <x:c r="A22" s="113" t="str">
        <x:v>뷰티</x:v>
      </x:c>
      <x:c r="B22" s="112" t="n">
        <x:v>4</x:v>
      </x:c>
      <x:c r="C22" s="113" t="str">
        <x:v>브랜드·마케팅</x:v>
      </x:c>
      <x:c r="D22" s="122" t="str">
        <x:v>미국</x:v>
      </x:c>
      <x:c r="E22" s="113" t="str">
        <x:v>The Estée Lauder Companies</x:v>
      </x:c>
      <x:c r="F22" s="124" t="str">
        <x:v>EL</x:v>
      </x:c>
      <x:c r="G22" s="124" t="str">
        <x:v>NYSE</x:v>
      </x:c>
      <x:c r="H22" s="113" t="str">
        <x:v>프레스티지 스킨케어·메이크업·향수·헤어케어 브랜드</x:v>
      </x:c>
      <x:c r="I22" s="113" t="str">
        <x:v>Estée Lauder, Clinique, La Mer, MAC</x:v>
      </x:c>
      <x:c r="J22" s="113" t="str">
        <x:v>제품 제조·마케팅을 글로벌 리테일과 디지털 채널로 연결</x:v>
      </x:c>
      <x:c r="K22" s="113" t="str">
        <x:v>공식 IR에서 해당 제품군의 제조·마케팅·판매를 명시</x:v>
      </x:c>
      <x:c r="L22" s="113" t="str">
        <x:v>실제 사업</x:v>
      </x:c>
      <x:c r="M22" s="113" t="str">
        <x:v>해당 없음(단계 매핑)</x:v>
      </x:c>
      <x:c r="N22" s="125" t="str">
        <x:v>A</x:v>
      </x:c>
      <x:c r="O22" s="113" t="str">
        <x:v>여행소매·중국 수요·브랜드 리뉴얼</x:v>
      </x:c>
      <x:c r="P22" s="113" t="str">
        <x:v>S18</x:v>
      </x:c>
      <x:c r="Q22" s="113" t="str">
        <x:v>https://investors.elcompanies.com/en/who-we-are/about-us</x:v>
      </x:c>
      <x:c r="R22" s="126" t="n">
        <x:v>46239</x:v>
      </x:c>
    </x:row>
    <x:row r="23">
      <x:c r="A23" s="113" t="str">
        <x:v>뷰티</x:v>
      </x:c>
      <x:c r="B23" s="112" t="n">
        <x:v>4</x:v>
      </x:c>
      <x:c r="C23" s="113" t="str">
        <x:v>브랜드·마케팅</x:v>
      </x:c>
      <x:c r="D23" s="122" t="str">
        <x:v>미국</x:v>
      </x:c>
      <x:c r="E23" s="113" t="str">
        <x:v>e.l.f. Beauty</x:v>
      </x:c>
      <x:c r="F23" s="124" t="str">
        <x:v>ELF</x:v>
      </x:c>
      <x:c r="G23" s="124" t="str">
        <x:v>NYSE</x:v>
      </x:c>
      <x:c r="H23" s="113" t="str">
        <x:v>접근성 높은 화장품·스킨케어 멀티브랜드</x:v>
      </x:c>
      <x:c r="I23" s="113" t="str">
        <x:v>e.l.f., Naturium, rhode</x:v>
      </x:c>
      <x:c r="J23" s="113" t="str">
        <x:v>디지털 문화와 리테일을 활용해 뷰티 브랜드를 판매</x:v>
      </x:c>
      <x:c r="K23" s="113" t="str">
        <x:v>SEC 공시에서 화장품·스킨케어 멀티브랜드 회사로 설명</x:v>
      </x:c>
      <x:c r="L23" s="113" t="str">
        <x:v>실제 사업</x:v>
      </x:c>
      <x:c r="M23" s="113" t="str">
        <x:v>해당 없음(단계 매핑)</x:v>
      </x:c>
      <x:c r="N23" s="125" t="str">
        <x:v>A</x:v>
      </x:c>
      <x:c r="O23" s="113" t="str">
        <x:v>트렌드·인수 통합·가격·유통 의존</x:v>
      </x:c>
      <x:c r="P23" s="113" t="str">
        <x:v>S19</x:v>
      </x:c>
      <x:c r="Q23" s="113" t="str">
        <x:v>https://www.sec.gov/Archives/edgar/data/1600033/000160003326000020/elf-20260331.htm</x:v>
      </x:c>
      <x:c r="R23" s="126" t="n">
        <x:v>46239</x:v>
      </x:c>
    </x:row>
    <x:row r="24">
      <x:c r="A24" s="113" t="str">
        <x:v>뷰티</x:v>
      </x:c>
      <x:c r="B24" s="112" t="n">
        <x:v>5</x:v>
      </x:c>
      <x:c r="C24" s="113" t="str">
        <x:v>유통·리테일·플랫폼</x:v>
      </x:c>
      <x:c r="D24" s="122" t="str">
        <x:v>미국</x:v>
      </x:c>
      <x:c r="E24" s="113" t="str">
        <x:v>Ulta Beauty</x:v>
      </x:c>
      <x:c r="F24" s="124" t="str">
        <x:v>ULTA</x:v>
      </x:c>
      <x:c r="G24" s="124" t="str">
        <x:v>NASDAQ</x:v>
      </x:c>
      <x:c r="H24" s="113" t="str">
        <x:v>화장품·향수·스킨·헤어 전문 리테일</x:v>
      </x:c>
      <x:c r="I24" s="113" t="str">
        <x:v>Ulta stores, e-commerce, salon</x:v>
      </x:c>
      <x:c r="J24" s="113" t="str">
        <x:v>다양한 뷰티 브랜드를 소비자와 연결하고 구매 데이터를 축적</x:v>
      </x:c>
      <x:c r="K24" s="113" t="str">
        <x:v>공식 IR에서 국제 전문 뷰티 리테일러로 설명</x:v>
      </x:c>
      <x:c r="L24" s="113" t="str">
        <x:v>실제 사업</x:v>
      </x:c>
      <x:c r="M24" s="113" t="str">
        <x:v>해당 없음(단계 매핑)</x:v>
      </x:c>
      <x:c r="N24" s="125" t="str">
        <x:v>A</x:v>
      </x:c>
      <x:c r="O24" s="113" t="str">
        <x:v>소비경기·경쟁·점포 확장·재고</x:v>
      </x:c>
      <x:c r="P24" s="113" t="str">
        <x:v>S20</x:v>
      </x:c>
      <x:c r="Q24" s="113" t="str">
        <x:v>https://www.ulta.com/investor</x:v>
      </x:c>
      <x:c r="R24" s="126" t="n">
        <x:v>46239</x:v>
      </x:c>
    </x:row>
    <x:row r="25">
      <x:c r="A25" s="113" t="str">
        <x:v>뷰티</x:v>
      </x:c>
      <x:c r="B25" s="112" t="n">
        <x:v>4</x:v>
      </x:c>
      <x:c r="C25" s="113" t="str">
        <x:v>브랜드·마케팅</x:v>
      </x:c>
      <x:c r="D25" s="122" t="str">
        <x:v>일본</x:v>
      </x:c>
      <x:c r="E25" s="113" t="str">
        <x:v>Shiseido</x:v>
      </x:c>
      <x:c r="F25" s="127" t="str">
        <x:v>4911</x:v>
      </x:c>
      <x:c r="G25" s="124" t="str">
        <x:v>TSE Prime</x:v>
      </x:c>
      <x:c r="H25" s="113" t="str">
        <x:v>프레스티지·스킨케어·메이크업 중심 글로벌 뷰티</x:v>
      </x:c>
      <x:c r="I25" s="113" t="str">
        <x:v>SHISEIDO, Clé de Peau Beauté, NARS</x:v>
      </x:c>
      <x:c r="J25" s="113" t="str">
        <x:v>연구개발과 브랜드 포트폴리오를 글로벌 판매 채널로 연결</x:v>
      </x:c>
      <x:c r="K25" s="113" t="str">
        <x:v>공식 IR에서 뷰티 집중 전략과 증권 코드를 제시</x:v>
      </x:c>
      <x:c r="L25" s="113" t="str">
        <x:v>실제 사업</x:v>
      </x:c>
      <x:c r="M25" s="113" t="str">
        <x:v>해당 없음(단계 매핑)</x:v>
      </x:c>
      <x:c r="N25" s="125" t="str">
        <x:v>A</x:v>
      </x:c>
      <x:c r="O25" s="113" t="str">
        <x:v>중국·여행소매·브랜드 투자</x:v>
      </x:c>
      <x:c r="P25" s="113" t="str">
        <x:v>S21</x:v>
      </x:c>
      <x:c r="Q25" s="113" t="str">
        <x:v>https://corp.shiseido.com/en/ir/index.html</x:v>
      </x:c>
      <x:c r="R25" s="126" t="n">
        <x:v>46239</x:v>
      </x:c>
    </x:row>
    <x:row r="26">
      <x:c r="A26" s="113" t="str">
        <x:v>뷰티</x:v>
      </x:c>
      <x:c r="B26" s="112" t="n">
        <x:v>4</x:v>
      </x:c>
      <x:c r="C26" s="113" t="str">
        <x:v>브랜드·마케팅</x:v>
      </x:c>
      <x:c r="D26" s="122" t="str">
        <x:v>일본</x:v>
      </x:c>
      <x:c r="E26" s="113" t="str">
        <x:v>Kao</x:v>
      </x:c>
      <x:c r="F26" s="127" t="str">
        <x:v>4452</x:v>
      </x:c>
      <x:c r="G26" s="124" t="str">
        <x:v>TSE Prime</x:v>
      </x:c>
      <x:c r="H26" s="113" t="str">
        <x:v>화장품·헬스뷰티·화학 소재를 함께 운영</x:v>
      </x:c>
      <x:c r="I26" s="113" t="str">
        <x:v>SENSAI, Kanebo, Sofina, Bioré</x:v>
      </x:c>
      <x:c r="J26" s="113" t="str">
        <x:v>기초 소재 역량과 화장품·생활 브랜드를 결합</x:v>
      </x:c>
      <x:c r="K26" s="113" t="str">
        <x:v>공식 기업 데이터에서 Cosmetics와 Health Beauty Care 사업을 구분 제시</x:v>
      </x:c>
      <x:c r="L26" s="113" t="str">
        <x:v>실제 사업</x:v>
      </x:c>
      <x:c r="M26" s="113" t="str">
        <x:v>해당 없음(단계 매핑)</x:v>
      </x:c>
      <x:c r="N26" s="125" t="str">
        <x:v>A</x:v>
      </x:c>
      <x:c r="O26" s="113" t="str">
        <x:v>사업 다각화·브랜드 집중·원료가</x:v>
      </x:c>
      <x:c r="P26" s="113" t="str">
        <x:v>S22</x:v>
      </x:c>
      <x:c r="Q26" s="113" t="str">
        <x:v>https://www.kao.com/global/en/corporate/data/</x:v>
      </x:c>
      <x:c r="R26" s="126" t="n">
        <x:v>46239</x:v>
      </x:c>
    </x:row>
    <x:row r="27">
      <x:c r="A27" s="113" t="str">
        <x:v>뷰티</x:v>
      </x:c>
      <x:c r="B27" s="112" t="n">
        <x:v>4</x:v>
      </x:c>
      <x:c r="C27" s="113" t="str">
        <x:v>브랜드·마케팅</x:v>
      </x:c>
      <x:c r="D27" s="122" t="str">
        <x:v>일본</x:v>
      </x:c>
      <x:c r="E27" s="113" t="str">
        <x:v>KOSÉ Holdings</x:v>
      </x:c>
      <x:c r="F27" s="127" t="str">
        <x:v>4922</x:v>
      </x:c>
      <x:c r="G27" s="124" t="str">
        <x:v>TSE Prime</x:v>
      </x:c>
      <x:c r="H27" s="113" t="str">
        <x:v>스킨케어·메이크업 브랜드 개발·판매</x:v>
      </x:c>
      <x:c r="I27" s="113" t="str">
        <x:v>DECORTÉ, SEKKISEI, Tarte</x:v>
      </x:c>
      <x:c r="J27" s="113" t="str">
        <x:v>연구·브랜드 개발과 국내외 유통을 연결</x:v>
      </x:c>
      <x:c r="K27" s="113" t="str">
        <x:v>공식 IR에서 화장품 기업의 상장 이력과 증권 코드를 제시</x:v>
      </x:c>
      <x:c r="L27" s="113" t="str">
        <x:v>실제 사업</x:v>
      </x:c>
      <x:c r="M27" s="113" t="str">
        <x:v>해당 없음(단계 매핑)</x:v>
      </x:c>
      <x:c r="N27" s="125" t="str">
        <x:v>A</x:v>
      </x:c>
      <x:c r="O27" s="113" t="str">
        <x:v>브랜드 믹스·중국/관광 수요·환율</x:v>
      </x:c>
      <x:c r="P27" s="113" t="str">
        <x:v>S23</x:v>
      </x:c>
      <x:c r="Q27" s="113" t="str">
        <x:v>https://koseholdings.co.jp/en/ir/faq/</x:v>
      </x:c>
      <x:c r="R27" s="126" t="n">
        <x:v>46239</x:v>
      </x:c>
    </x:row>
    <x:row r="28">
      <x:c r="A28" s="113" t="str">
        <x:v>뷰티</x:v>
      </x:c>
      <x:c r="B28" s="112" t="n">
        <x:v>5</x:v>
      </x:c>
      <x:c r="C28" s="113" t="str">
        <x:v>유통·리테일·플랫폼</x:v>
      </x:c>
      <x:c r="D28" s="122" t="str">
        <x:v>일본</x:v>
      </x:c>
      <x:c r="E28" s="113" t="str">
        <x:v>istyle</x:v>
      </x:c>
      <x:c r="F28" s="127" t="str">
        <x:v>3660</x:v>
      </x:c>
      <x:c r="G28" s="124" t="str">
        <x:v>TSE Prime</x:v>
      </x:c>
      <x:c r="H28" s="113" t="str">
        <x:v>@cosme 리뷰·마케팅·EC·오프라인 리테일</x:v>
      </x:c>
      <x:c r="I28" s="113" t="str">
        <x:v>@cosme, @cosme SHOPPING</x:v>
      </x:c>
      <x:c r="J28" s="113" t="str">
        <x:v>소비자 리뷰 데이터를 브랜드 마케팅과 온·오프라인 판매에 연결</x:v>
      </x:c>
      <x:c r="K28" s="113" t="str">
        <x:v>공식 설명에서 @cosme 포털·광고·마케팅과 수직 통합 플랫폼을 제시</x:v>
      </x:c>
      <x:c r="L28" s="113" t="str">
        <x:v>실제 사업</x:v>
      </x:c>
      <x:c r="M28" s="113" t="str">
        <x:v>해당 없음(단계 매핑)</x:v>
      </x:c>
      <x:c r="N28" s="125" t="str">
        <x:v>A</x:v>
      </x:c>
      <x:c r="O28" s="113" t="str">
        <x:v>트래픽·플랫폼 경쟁·데이터 품질</x:v>
      </x:c>
      <x:c r="P28" s="113" t="str">
        <x:v>S24</x:v>
      </x:c>
      <x:c r="Q28" s="113" t="str">
        <x:v>https://www.istyle.co.jp/en/about/business-concept/</x:v>
      </x:c>
      <x:c r="R28" s="126" t="n">
        <x:v>46239</x:v>
      </x:c>
    </x:row>
    <x:row r="29">
      <x:c r="A29" s="113" t="str">
        <x:v>패션</x:v>
      </x:c>
      <x:c r="B29" s="112" t="n">
        <x:v>2</x:v>
      </x:c>
      <x:c r="C29" s="113" t="str">
        <x:v>원사·직물·염색</x:v>
      </x:c>
      <x:c r="D29" s="122" t="str">
        <x:v>한국</x:v>
      </x:c>
      <x:c r="E29" s="113" t="str">
        <x:v>효성티앤씨</x:v>
      </x:c>
      <x:c r="F29" s="123" t="str">
        <x:v>298020</x:v>
      </x:c>
      <x:c r="G29" s="124" t="str">
        <x:v>KOSPI</x:v>
      </x:c>
      <x:c r="H29" s="113" t="str">
        <x:v>스판덱스·나일론·폴리에스터 원사와 직물·염색</x:v>
      </x:c>
      <x:c r="I29" s="113" t="str">
        <x:v>CREORA, regen</x:v>
      </x:c>
      <x:c r="J29" s="113" t="str">
        <x:v>기초 소재를 기능성 원사·직물로 만들어 의류 제조사에 공급</x:v>
      </x:c>
      <x:c r="K29" s="113" t="str">
        <x:v>공식 사이트에서 원사·직물·염색과 지속가능 섬유 사업을 제시</x:v>
      </x:c>
      <x:c r="L29" s="113" t="str">
        <x:v>실제 사업</x:v>
      </x:c>
      <x:c r="M29" s="113" t="str">
        <x:v>해당 없음(단계 매핑)</x:v>
      </x:c>
      <x:c r="N29" s="125" t="str">
        <x:v>A</x:v>
      </x:c>
      <x:c r="O29" s="113" t="str">
        <x:v>원료가·중국 공급·가동률·환율</x:v>
      </x:c>
      <x:c r="P29" s="113" t="str">
        <x:v>S25</x:v>
      </x:c>
      <x:c r="Q29" s="113" t="str">
        <x:v>https://www.hyosungtnc.com/en</x:v>
      </x:c>
      <x:c r="R29" s="126" t="n">
        <x:v>46239</x:v>
      </x:c>
    </x:row>
    <x:row r="30">
      <x:c r="A30" s="113" t="str">
        <x:v>패션</x:v>
      </x:c>
      <x:c r="B30" s="112" t="n">
        <x:v>3</x:v>
      </x:c>
      <x:c r="C30" s="113" t="str">
        <x:v>OEM·ODM·봉제</x:v>
      </x:c>
      <x:c r="D30" s="122" t="str">
        <x:v>한국</x:v>
      </x:c>
      <x:c r="E30" s="113" t="str">
        <x:v>한세실업</x:v>
      </x:c>
      <x:c r="F30" s="123" t="str">
        <x:v>105630</x:v>
      </x:c>
      <x:c r="G30" s="124" t="str">
        <x:v>KOSPI</x:v>
      </x:c>
      <x:c r="H30" s="113" t="str">
        <x:v>글로벌 의류 OEM·ODM과 디자인·소싱·납품</x:v>
      </x:c>
      <x:c r="I30" s="113" t="str">
        <x:v>apparel ODM</x:v>
      </x:c>
      <x:c r="J30" s="113" t="str">
        <x:v>원단·부자재를 조달해 글로벌 브랜드 의류를 생산·납품</x:v>
      </x:c>
      <x:c r="K30" s="113" t="str">
        <x:v>공식 IR에서 기획부터 납품까지 ODM 전 과정을 제시</x:v>
      </x:c>
      <x:c r="L30" s="113" t="str">
        <x:v>실제 사업</x:v>
      </x:c>
      <x:c r="M30" s="113" t="str">
        <x:v>해당 없음(단계 매핑)</x:v>
      </x:c>
      <x:c r="N30" s="125" t="str">
        <x:v>A</x:v>
      </x:c>
      <x:c r="O30" s="113" t="str">
        <x:v>고객 집중·임금·지역·환율</x:v>
      </x:c>
      <x:c r="P30" s="113" t="str">
        <x:v>S26</x:v>
      </x:c>
      <x:c r="Q30" s="113" t="str">
        <x:v>https://www.hansae.com/en/common/file/2025_HANSAE_IR_PRESENTATION.pdf</x:v>
      </x:c>
      <x:c r="R30" s="126" t="n">
        <x:v>46239</x:v>
      </x:c>
    </x:row>
    <x:row r="31">
      <x:c r="A31" s="113" t="str">
        <x:v>패션</x:v>
      </x:c>
      <x:c r="B31" s="112" t="n">
        <x:v>4</x:v>
      </x:c>
      <x:c r="C31" s="113" t="str">
        <x:v>브랜드·디자인·IP</x:v>
      </x:c>
      <x:c r="D31" s="122" t="str">
        <x:v>한국</x:v>
      </x:c>
      <x:c r="E31" s="113" t="str">
        <x:v>F&amp;F</x:v>
      </x:c>
      <x:c r="F31" s="123" t="str">
        <x:v>383220</x:v>
      </x:c>
      <x:c r="G31" s="124" t="str">
        <x:v>KOSPI</x:v>
      </x:c>
      <x:c r="H31" s="113" t="str">
        <x:v>라이선스·자체 운영 패션 브랜드의 기획·판매</x:v>
      </x:c>
      <x:c r="I31" s="113" t="str">
        <x:v>MLB, Discovery, Duvetica</x:v>
      </x:c>
      <x:c r="J31" s="113" t="str">
        <x:v>브랜드/IP를 상품기획·마케팅·아시아 유통으로 연결</x:v>
      </x:c>
      <x:c r="K31" s="113" t="str">
        <x:v>공식 회사 소개에서 패션 브랜드 포트폴리오와 글로벌 사업을 제시</x:v>
      </x:c>
      <x:c r="L31" s="113" t="str">
        <x:v>실제 사업</x:v>
      </x:c>
      <x:c r="M31" s="113" t="str">
        <x:v>해당 없음(단계 매핑)</x:v>
      </x:c>
      <x:c r="N31" s="125" t="str">
        <x:v>A</x:v>
      </x:c>
      <x:c r="O31" s="113" t="str">
        <x:v>라이선스·중국 수요·재고·브랜드 집중</x:v>
      </x:c>
      <x:c r="P31" s="113" t="str">
        <x:v>S27</x:v>
      </x:c>
      <x:c r="Q31" s="113" t="str">
        <x:v>https://www.fnf.co.kr/about/identity</x:v>
      </x:c>
      <x:c r="R31" s="126" t="n">
        <x:v>46239</x:v>
      </x:c>
    </x:row>
    <x:row r="32">
      <x:c r="A32" s="113" t="str">
        <x:v>패션</x:v>
      </x:c>
      <x:c r="B32" s="112" t="n">
        <x:v>5</x:v>
      </x:c>
      <x:c r="C32" s="113" t="str">
        <x:v>유통·플랫폼·리테일</x:v>
      </x:c>
      <x:c r="D32" s="122" t="str">
        <x:v>한국</x:v>
      </x:c>
      <x:c r="E32" s="113" t="str">
        <x:v>신세계인터내셔날</x:v>
      </x:c>
      <x:c r="F32" s="123" t="str">
        <x:v>031430</x:v>
      </x:c>
      <x:c r="G32" s="124" t="str">
        <x:v>KOSPI</x:v>
      </x:c>
      <x:c r="H32" s="113" t="str">
        <x:v>글로벌·국내 패션 브랜드 운영과 온·오프라인 유통</x:v>
      </x:c>
      <x:c r="I32" s="113" t="str">
        <x:v>Jil Sander, VOV, Studio Tomboy, SHINSEGAE V</x:v>
      </x:c>
      <x:c r="J32" s="113" t="str">
        <x:v>브랜드와 백화점·면세·디지털 커머스 접점을 연결</x:v>
      </x:c>
      <x:c r="K32" s="113" t="str">
        <x:v>공식 소개에서 패션·뷰티 브랜드와 전국 매장·디지털 플랫폼을 제시</x:v>
      </x:c>
      <x:c r="L32" s="113" t="str">
        <x:v>실제 사업</x:v>
      </x:c>
      <x:c r="M32" s="113" t="str">
        <x:v>해당 없음(단계 매핑)</x:v>
      </x:c>
      <x:c r="N32" s="125" t="str">
        <x:v>A</x:v>
      </x:c>
      <x:c r="O32" s="113" t="str">
        <x:v>소비경기·수입 브랜드 계약·재고</x:v>
      </x:c>
      <x:c r="P32" s="113" t="str">
        <x:v>S28</x:v>
      </x:c>
      <x:c r="Q32" s="113" t="str">
        <x:v>https://www.sikorea.co.kr/company/introduction</x:v>
      </x:c>
      <x:c r="R32" s="126" t="n">
        <x:v>46239</x:v>
      </x:c>
    </x:row>
    <x:row r="33">
      <x:c r="A33" s="113" t="str">
        <x:v>패션</x:v>
      </x:c>
      <x:c r="B33" s="112" t="n">
        <x:v>2</x:v>
      </x:c>
      <x:c r="C33" s="113" t="str">
        <x:v>원사·직물·염색</x:v>
      </x:c>
      <x:c r="D33" s="122" t="str">
        <x:v>미국</x:v>
      </x:c>
      <x:c r="E33" s="113" t="str">
        <x:v>Unifi</x:v>
      </x:c>
      <x:c r="F33" s="124" t="str">
        <x:v>UFI</x:v>
      </x:c>
      <x:c r="G33" s="124" t="str">
        <x:v>NYSE</x:v>
      </x:c>
      <x:c r="H33" s="113" t="str">
        <x:v>재생·합성 원사와 섬유 솔루션</x:v>
      </x:c>
      <x:c r="I33" s="113" t="str">
        <x:v>REPREVE</x:v>
      </x:c>
      <x:c r="J33" s="113" t="str">
        <x:v>재생 원료를 브랜드·직물용 원사로 전환</x:v>
      </x:c>
      <x:c r="K33" s="113" t="str">
        <x:v>공식 IR에서 REPREVE 재생·합성 원사 기업 및 NYSE 코드를 제시</x:v>
      </x:c>
      <x:c r="L33" s="113" t="str">
        <x:v>실제 사업</x:v>
      </x:c>
      <x:c r="M33" s="113" t="str">
        <x:v>해당 없음(단계 매핑)</x:v>
      </x:c>
      <x:c r="N33" s="125" t="str">
        <x:v>A</x:v>
      </x:c>
      <x:c r="O33" s="113" t="str">
        <x:v>수요 변동·원료가·가동률·경쟁</x:v>
      </x:c>
      <x:c r="P33" s="113" t="str">
        <x:v>S29</x:v>
      </x:c>
      <x:c r="Q33" s="113" t="str">
        <x:v>https://investor.unifi.com/</x:v>
      </x:c>
      <x:c r="R33" s="126" t="n">
        <x:v>46239</x:v>
      </x:c>
    </x:row>
    <x:row r="34">
      <x:c r="A34" s="113" t="str">
        <x:v>패션</x:v>
      </x:c>
      <x:c r="B34" s="112" t="n">
        <x:v>4</x:v>
      </x:c>
      <x:c r="C34" s="113" t="str">
        <x:v>브랜드·디자인·IP</x:v>
      </x:c>
      <x:c r="D34" s="122" t="str">
        <x:v>미국</x:v>
      </x:c>
      <x:c r="E34" s="113" t="str">
        <x:v>NIKE</x:v>
      </x:c>
      <x:c r="F34" s="124" t="str">
        <x:v>NKE</x:v>
      </x:c>
      <x:c r="G34" s="124" t="str">
        <x:v>NYSE</x:v>
      </x:c>
      <x:c r="H34" s="113" t="str">
        <x:v>스포츠 신발·의류의 디자인·브랜드·글로벌 판매</x:v>
      </x:c>
      <x:c r="I34" s="113" t="str">
        <x:v>Nike, Jordan, Converse</x:v>
      </x:c>
      <x:c r="J34" s="113" t="str">
        <x:v>외부 제조망과 자체 브랜드·직접판매/도매를 연결</x:v>
      </x:c>
      <x:c r="K34" s="113" t="str">
        <x:v>SEC 10-K에서 NYSE 상장과 글로벌 스포츠 제품 사업을 공시</x:v>
      </x:c>
      <x:c r="L34" s="113" t="str">
        <x:v>실제 사업</x:v>
      </x:c>
      <x:c r="M34" s="113" t="str">
        <x:v>해당 없음(단계 매핑)</x:v>
      </x:c>
      <x:c r="N34" s="125" t="str">
        <x:v>A</x:v>
      </x:c>
      <x:c r="O34" s="113" t="str">
        <x:v>브랜드 모멘텀·재고·중국·채널 전략</x:v>
      </x:c>
      <x:c r="P34" s="113" t="str">
        <x:v>S30</x:v>
      </x:c>
      <x:c r="Q34" s="113" t="str">
        <x:v>https://www.sec.gov/Archives/edgar/data/320187/000032018726000088/nke-20260531.htm</x:v>
      </x:c>
      <x:c r="R34" s="126" t="n">
        <x:v>46239</x:v>
      </x:c>
    </x:row>
    <x:row r="35">
      <x:c r="A35" s="113" t="str">
        <x:v>패션</x:v>
      </x:c>
      <x:c r="B35" s="112" t="n">
        <x:v>4</x:v>
      </x:c>
      <x:c r="C35" s="113" t="str">
        <x:v>브랜드·디자인·IP</x:v>
      </x:c>
      <x:c r="D35" s="122" t="str">
        <x:v>미국</x:v>
      </x:c>
      <x:c r="E35" s="113" t="str">
        <x:v>Tapestry</x:v>
      </x:c>
      <x:c r="F35" s="124" t="str">
        <x:v>TPR</x:v>
      </x:c>
      <x:c r="G35" s="124" t="str">
        <x:v>NYSE</x:v>
      </x:c>
      <x:c r="H35" s="113" t="str">
        <x:v>액세서리·라이프스타일 브랜드 그룹</x:v>
      </x:c>
      <x:c r="I35" s="113" t="str">
        <x:v>Coach, Kate Spade New York</x:v>
      </x:c>
      <x:c r="J35" s="113" t="str">
        <x:v>디자인·브랜드를 글로벌 매장과 디지털 채널로 판매</x:v>
      </x:c>
      <x:c r="K35" s="113" t="str">
        <x:v>공식 FAQ에서 브랜드 포트폴리오와 NYSE 티커를 명시</x:v>
      </x:c>
      <x:c r="L35" s="113" t="str">
        <x:v>실제 사업</x:v>
      </x:c>
      <x:c r="M35" s="113" t="str">
        <x:v>해당 없음(단계 매핑)</x:v>
      </x:c>
      <x:c r="N35" s="125" t="str">
        <x:v>A</x:v>
      </x:c>
      <x:c r="O35" s="113" t="str">
        <x:v>브랜드 집중·가죽 원가·소비경기</x:v>
      </x:c>
      <x:c r="P35" s="113" t="str">
        <x:v>S31</x:v>
      </x:c>
      <x:c r="Q35" s="113" t="str">
        <x:v>https://tapestry.gcs-web.com/shareholder-services/investor-faqs</x:v>
      </x:c>
      <x:c r="R35" s="126" t="n">
        <x:v>46239</x:v>
      </x:c>
    </x:row>
    <x:row r="36">
      <x:c r="A36" s="113" t="str">
        <x:v>패션</x:v>
      </x:c>
      <x:c r="B36" s="112" t="n">
        <x:v>5</x:v>
      </x:c>
      <x:c r="C36" s="113" t="str">
        <x:v>유통·플랫폼·리테일</x:v>
      </x:c>
      <x:c r="D36" s="122" t="str">
        <x:v>미국</x:v>
      </x:c>
      <x:c r="E36" s="113" t="str">
        <x:v>The TJX Companies</x:v>
      </x:c>
      <x:c r="F36" s="124" t="str">
        <x:v>TJX</x:v>
      </x:c>
      <x:c r="G36" s="124" t="str">
        <x:v>NYSE</x:v>
      </x:c>
      <x:c r="H36" s="113" t="str">
        <x:v>의류·홈패션 오프프라이스 리테일</x:v>
      </x:c>
      <x:c r="I36" s="113" t="str">
        <x:v>TJ Maxx, Marshalls, TK Maxx</x:v>
      </x:c>
      <x:c r="J36" s="113" t="str">
        <x:v>브랜드의 다양한 재고를 할인 유통 채널로 소비자에 연결</x:v>
      </x:c>
      <x:c r="K36" s="113" t="str">
        <x:v>공식 IR에서 글로벌 오프프라이스 의류·홈패션 리테일러로 설명</x:v>
      </x:c>
      <x:c r="L36" s="113" t="str">
        <x:v>실제 사업</x:v>
      </x:c>
      <x:c r="M36" s="113" t="str">
        <x:v>해당 없음(단계 매핑)</x:v>
      </x:c>
      <x:c r="N36" s="125" t="str">
        <x:v>A</x:v>
      </x:c>
      <x:c r="O36" s="113" t="str">
        <x:v>재고 조달·할인 경쟁·소비경기</x:v>
      </x:c>
      <x:c r="P36" s="113" t="str">
        <x:v>S32</x:v>
      </x:c>
      <x:c r="Q36" s="113" t="str">
        <x:v>https://investor.tjx.com/</x:v>
      </x:c>
      <x:c r="R36" s="126" t="n">
        <x:v>46239</x:v>
      </x:c>
    </x:row>
    <x:row r="37">
      <x:c r="A37" s="113" t="str">
        <x:v>패션</x:v>
      </x:c>
      <x:c r="B37" s="112" t="n">
        <x:v>2</x:v>
      </x:c>
      <x:c r="C37" s="113" t="str">
        <x:v>원사·직물·염색</x:v>
      </x:c>
      <x:c r="D37" s="122" t="str">
        <x:v>일본</x:v>
      </x:c>
      <x:c r="E37" s="113" t="str">
        <x:v>Toray Industries</x:v>
      </x:c>
      <x:c r="F37" s="127" t="str">
        <x:v>3402</x:v>
      </x:c>
      <x:c r="G37" s="124" t="str">
        <x:v>TSE Prime</x:v>
      </x:c>
      <x:c r="H37" s="113" t="str">
        <x:v>합성섬유·직물 및 첨단 소재</x:v>
      </x:c>
      <x:c r="I37" s="113" t="str">
        <x:v>fibers &amp; textiles</x:v>
      </x:c>
      <x:c r="J37" s="113" t="str">
        <x:v>고분자 기술을 섬유·직물로 전환해 의류·산업재에 공급</x:v>
      </x:c>
      <x:c r="K37" s="113" t="str">
        <x:v>공식 기업 개요에서 Fibers and Textiles를 핵심 사업으로 제시</x:v>
      </x:c>
      <x:c r="L37" s="113" t="str">
        <x:v>실제 사업</x:v>
      </x:c>
      <x:c r="M37" s="113" t="str">
        <x:v>해당 없음(단계 매핑)</x:v>
      </x:c>
      <x:c r="N37" s="125" t="str">
        <x:v>A</x:v>
      </x:c>
      <x:c r="O37" s="113" t="str">
        <x:v>원료가·다각화·가동률·환율</x:v>
      </x:c>
      <x:c r="P37" s="113" t="str">
        <x:v>S33</x:v>
      </x:c>
      <x:c r="Q37" s="113" t="str">
        <x:v>https://www.toray.com/aboutus/outline.html</x:v>
      </x:c>
      <x:c r="R37" s="126" t="n">
        <x:v>46239</x:v>
      </x:c>
    </x:row>
    <x:row r="38">
      <x:c r="A38" s="113" t="str">
        <x:v>패션</x:v>
      </x:c>
      <x:c r="B38" s="112" t="n">
        <x:v>5</x:v>
      </x:c>
      <x:c r="C38" s="113" t="str">
        <x:v>유통·플랫폼·리테일</x:v>
      </x:c>
      <x:c r="D38" s="122" t="str">
        <x:v>일본</x:v>
      </x:c>
      <x:c r="E38" s="113" t="str">
        <x:v>Fast Retailing</x:v>
      </x:c>
      <x:c r="F38" s="127" t="str">
        <x:v>9983</x:v>
      </x:c>
      <x:c r="G38" s="124" t="str">
        <x:v>TSE Prime</x:v>
      </x:c>
      <x:c r="H38" s="113" t="str">
        <x:v>기획·생산·유통·리테일을 통합한 SPA</x:v>
      </x:c>
      <x:c r="I38" s="113" t="str">
        <x:v>UNIQLO, GU</x:v>
      </x:c>
      <x:c r="J38" s="113" t="str">
        <x:v>소재개발·생산·물류·리테일을 한 사업모델로 통합</x:v>
      </x:c>
      <x:c r="K38" s="113" t="str">
        <x:v>공식 UNIQLO 모델에서 디자인·기획부터 생산·유통·소매까지 통합 관리 제시</x:v>
      </x:c>
      <x:c r="L38" s="113" t="str">
        <x:v>실제 사업</x:v>
      </x:c>
      <x:c r="M38" s="113" t="str">
        <x:v>해당 없음(단계 매핑)</x:v>
      </x:c>
      <x:c r="N38" s="125" t="str">
        <x:v>A</x:v>
      </x:c>
      <x:c r="O38" s="113" t="str">
        <x:v>중국·환율·매장 확장·공급망</x:v>
      </x:c>
      <x:c r="P38" s="113" t="str">
        <x:v>S34</x:v>
      </x:c>
      <x:c r="Q38" s="113" t="str">
        <x:v>https://www.fastretailing.com/eng/group/strategy/uniqlobusiness.html</x:v>
      </x:c>
      <x:c r="R38" s="126" t="n">
        <x:v>46239</x:v>
      </x:c>
    </x:row>
    <x:row r="39">
      <x:c r="A39" s="113" t="str">
        <x:v>패션</x:v>
      </x:c>
      <x:c r="B39" s="112" t="n">
        <x:v>4</x:v>
      </x:c>
      <x:c r="C39" s="113" t="str">
        <x:v>브랜드·디자인·IP</x:v>
      </x:c>
      <x:c r="D39" s="122" t="str">
        <x:v>일본</x:v>
      </x:c>
      <x:c r="E39" s="113" t="str">
        <x:v>Onward Holdings</x:v>
      </x:c>
      <x:c r="F39" s="127" t="str">
        <x:v>8016</x:v>
      </x:c>
      <x:c r="G39" s="124" t="str">
        <x:v>TSE Prime</x:v>
      </x:c>
      <x:c r="H39" s="113" t="str">
        <x:v>의류 기획·제조·브랜드·온오프라인 판매</x:v>
      </x:c>
      <x:c r="I39" s="113" t="str">
        <x:v>23ku, J.PRESS, KASHIYAMA, WEGO</x:v>
      </x:c>
      <x:c r="J39" s="113" t="str">
        <x:v>기획·제조와 백화점·SC·EC 채널을 연결</x:v>
      </x:c>
      <x:c r="K39" s="113" t="str">
        <x:v>공식 사업 소개에서 종합 의류 제조와 브랜드·EC·스마트공장을 제시</x:v>
      </x:c>
      <x:c r="L39" s="113" t="str">
        <x:v>실제 사업</x:v>
      </x:c>
      <x:c r="M39" s="113" t="str">
        <x:v>해당 없음(단계 매핑)</x:v>
      </x:c>
      <x:c r="N39" s="125" t="str">
        <x:v>A</x:v>
      </x:c>
      <x:c r="O39" s="113" t="str">
        <x:v>백화점 채널·브랜드 구조조정·재고</x:v>
      </x:c>
      <x:c r="P39" s="113" t="str">
        <x:v>S35</x:v>
      </x:c>
      <x:c r="Q39" s="113" t="str">
        <x:v>https://www.onward-hd.co.jp/en/business/domestic/fashion.html</x:v>
      </x:c>
      <x:c r="R39" s="126" t="n">
        <x:v>46239</x:v>
      </x:c>
    </x:row>
    <x:row r="40">
      <x:c r="A40" s="113" t="str">
        <x:v>패션</x:v>
      </x:c>
      <x:c r="B40" s="112" t="n">
        <x:v>5</x:v>
      </x:c>
      <x:c r="C40" s="113" t="str">
        <x:v>유통·플랫폼·리테일</x:v>
      </x:c>
      <x:c r="D40" s="122" t="str">
        <x:v>일본</x:v>
      </x:c>
      <x:c r="E40" s="113" t="str">
        <x:v>ZOZO</x:v>
      </x:c>
      <x:c r="F40" s="127" t="str">
        <x:v>3092</x:v>
      </x:c>
      <x:c r="G40" s="124" t="str">
        <x:v>TSE Prime</x:v>
      </x:c>
      <x:c r="H40" s="113" t="str">
        <x:v>패션 EC·미디어·중고 유통 플랫폼</x:v>
      </x:c>
      <x:c r="I40" s="113" t="str">
        <x:v>ZOZOTOWN, WEAR, ZOZOUSED</x:v>
      </x:c>
      <x:c r="J40" s="113" t="str">
        <x:v>브랜드 입점·물류·판매와 소비자 데이터를 연결</x:v>
      </x:c>
      <x:c r="K40" s="113" t="str">
        <x:v>공식 사업모델에서 ZOZOTOWN 위탁·매입·USED 판매를 제시</x:v>
      </x:c>
      <x:c r="L40" s="113" t="str">
        <x:v>실제 사업</x:v>
      </x:c>
      <x:c r="M40" s="113" t="str">
        <x:v>해당 없음(단계 매핑)</x:v>
      </x:c>
      <x:c r="N40" s="125" t="str">
        <x:v>A</x:v>
      </x:c>
      <x:c r="O40" s="113" t="str">
        <x:v>플랫폼 트래픽·입점사·수수료·반품</x:v>
      </x:c>
      <x:c r="P40" s="113" t="str">
        <x:v>S36</x:v>
      </x:c>
      <x:c r="Q40" s="113" t="str">
        <x:v>https://corp.zozo.com/en/ir-info/management-policy/business-model/</x:v>
      </x:c>
      <x:c r="R40" s="126" t="n">
        <x:v>46239</x:v>
      </x:c>
    </x:row>
  </x:sheetData>
  <x:mergeCells>
    <x:mergeCell ref="A1:R1"/>
    <x:mergeCell ref="A2:R2"/>
  </x:mergeCells>
  <x:dataValidations count="3">
    <x:dataValidation type="list" sqref="L5:L40">
      <x:formula1>"실제 사업,공식 제휴,테마·화제성"</x:formula1>
    </x:dataValidation>
    <x:dataValidation type="list" sqref="M5:M40">
      <x:formula1>"해당 없음(단계 매핑),확인,미확인"</x:formula1>
    </x:dataValidation>
    <x:dataValidation type="list" sqref="N5:N40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d996af2e0c42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6" hidden="0" customWidth="1"/>
    <x:col min="4" max="4" width="18" hidden="0" customWidth="1"/>
    <x:col min="5" max="5" width="34" hidden="0" customWidth="1"/>
    <x:col min="6" max="6" width="70" hidden="0" customWidth="1"/>
    <x:col min="7" max="7" width="14" hidden="0" customWidth="1"/>
  </x:cols>
  <x:sheetData>
    <x:row r="1" ht="38" customHeight="1">
      <x:c r="A1" s="79" t="str">
        <x:v>출처 및 감사 추적</x:v>
      </x:c>
      <x:c r="B1" s="80"/>
      <x:c r="C1" s="80"/>
      <x:c r="D1" s="80"/>
      <x:c r="E1" s="80"/>
      <x:c r="F1" s="80"/>
      <x:c r="G1" s="80"/>
    </x:row>
    <x:row r="2" ht="30" customHeight="1">
      <x:c r="A2" s="81" t="str">
        <x:v>기업 역할과 상장 정보는 공식 기업·IR·공시 자료를 우선 사용 | URL은 원문 확인용</x:v>
      </x:c>
      <x:c r="B2" s="81"/>
      <x:c r="C2" s="81"/>
      <x:c r="D2" s="81"/>
      <x:c r="E2" s="81"/>
      <x:c r="F2" s="81"/>
      <x:c r="G2" s="81"/>
    </x:row>
    <x:row r="3">
      <x:c r="A3" s="80"/>
      <x:c r="B3" s="80"/>
      <x:c r="C3" s="80"/>
      <x:c r="D3" s="80"/>
      <x:c r="E3" s="80"/>
      <x:c r="F3" s="80"/>
      <x:c r="G3" s="80"/>
    </x:row>
    <x:row r="4">
      <x:c r="A4" s="94" t="str">
        <x:v>출처ID</x:v>
      </x:c>
      <x:c r="B4" s="95" t="str">
        <x:v>산업</x:v>
      </x:c>
      <x:c r="C4" s="95" t="str">
        <x:v>기업명</x:v>
      </x:c>
      <x:c r="D4" s="95" t="str">
        <x:v>출처 유형</x:v>
      </x:c>
      <x:c r="E4" s="95" t="str">
        <x:v>출처명</x:v>
      </x:c>
      <x:c r="F4" s="95" t="str">
        <x:v>URL</x:v>
      </x:c>
      <x:c r="G4" s="96" t="str">
        <x:v>확인일</x:v>
      </x:c>
    </x:row>
    <x:row r="5">
      <x:c r="A5" s="113" t="str">
        <x:v>S01</x:v>
      </x:c>
      <x:c r="B5" s="113" t="str">
        <x:v>식품</x:v>
      </x:c>
      <x:c r="C5" s="113" t="str">
        <x:v>CJ제일제당</x:v>
      </x:c>
      <x:c r="D5" s="113" t="str">
        <x:v>기업 공식/IR</x:v>
      </x:c>
      <x:c r="E5" s="113" t="str">
        <x:v>CJ제일제당 공식 사업·IR 자료</x:v>
      </x:c>
      <x:c r="F5" s="113" t="str">
        <x:v>https://www.cj.co.kr/en/aboutus/business/food</x:v>
      </x:c>
      <x:c r="G5" s="126" t="n">
        <x:v>46239</x:v>
      </x:c>
    </x:row>
    <x:row r="6">
      <x:c r="A6" s="113" t="str">
        <x:v>S02</x:v>
      </x:c>
      <x:c r="B6" s="113" t="str">
        <x:v>식품</x:v>
      </x:c>
      <x:c r="C6" s="113" t="str">
        <x:v>대상</x:v>
      </x:c>
      <x:c r="D6" s="113" t="str">
        <x:v>기업 공식/IR</x:v>
      </x:c>
      <x:c r="E6" s="113" t="str">
        <x:v>대상 공식 사업·IR 자료</x:v>
      </x:c>
      <x:c r="F6" s="113" t="str">
        <x:v>https://www.daesang.com/en/m/business/raw_material/bio.jsp</x:v>
      </x:c>
      <x:c r="G6" s="126" t="n">
        <x:v>46239</x:v>
      </x:c>
    </x:row>
    <x:row r="7">
      <x:c r="A7" s="113" t="str">
        <x:v>S03</x:v>
      </x:c>
      <x:c r="B7" s="113" t="str">
        <x:v>식품</x:v>
      </x:c>
      <x:c r="C7" s="113" t="str">
        <x:v>삼양식품</x:v>
      </x:c>
      <x:c r="D7" s="113" t="str">
        <x:v>기업 공식/IR</x:v>
      </x:c>
      <x:c r="E7" s="113" t="str">
        <x:v>삼양식품 공식 사업·IR 자료</x:v>
      </x:c>
      <x:c r="F7" s="113" t="str">
        <x:v>https://www.samyangfoods.com/eng/information/company/index.do</x:v>
      </x:c>
      <x:c r="G7" s="126" t="n">
        <x:v>46239</x:v>
      </x:c>
    </x:row>
    <x:row r="8">
      <x:c r="A8" s="113" t="str">
        <x:v>S04</x:v>
      </x:c>
      <x:c r="B8" s="113" t="str">
        <x:v>식품</x:v>
      </x:c>
      <x:c r="C8" s="113" t="str">
        <x:v>GS리테일</x:v>
      </x:c>
      <x:c r="D8" s="113" t="str">
        <x:v>기업 공식/IR</x:v>
      </x:c>
      <x:c r="E8" s="113" t="str">
        <x:v>GS리테일 공식 사업·IR 자료</x:v>
      </x:c>
      <x:c r="F8" s="113" t="str">
        <x:v>https://hpimg.gsretail.com/_ui/desktop/common/docs/gsr_sustainability_report_2023_eng.pdf</x:v>
      </x:c>
      <x:c r="G8" s="126" t="n">
        <x:v>46239</x:v>
      </x:c>
    </x:row>
    <x:row r="9">
      <x:c r="A9" s="113" t="str">
        <x:v>S05</x:v>
      </x:c>
      <x:c r="B9" s="113" t="str">
        <x:v>식품</x:v>
      </x:c>
      <x:c r="C9" s="113" t="str">
        <x:v>Archer-Daniels-Midland</x:v>
      </x:c>
      <x:c r="D9" s="113" t="str">
        <x:v>기업 공식/IR</x:v>
      </x:c>
      <x:c r="E9" s="113" t="str">
        <x:v>Archer-Daniels-Midland 공식 사업·IR 자료</x:v>
      </x:c>
      <x:c r="F9" s="113" t="str">
        <x:v>https://www.adm.com/en-us/about/</x:v>
      </x:c>
      <x:c r="G9" s="126" t="n">
        <x:v>46239</x:v>
      </x:c>
    </x:row>
    <x:row r="10">
      <x:c r="A10" s="113" t="str">
        <x:v>S06</x:v>
      </x:c>
      <x:c r="B10" s="113" t="str">
        <x:v>식품</x:v>
      </x:c>
      <x:c r="C10" s="113" t="str">
        <x:v>Ingredion</x:v>
      </x:c>
      <x:c r="D10" s="113" t="str">
        <x:v>규제기관 공시</x:v>
      </x:c>
      <x:c r="E10" s="113" t="str">
        <x:v>Ingredion 공식 사업·IR 자료</x:v>
      </x:c>
      <x:c r="F10" s="113" t="str">
        <x:v>https://www.sec.gov/Archives/edgar/data/1046257/000104625725000018/ingr-20241231.htm</x:v>
      </x:c>
      <x:c r="G10" s="126" t="n">
        <x:v>46239</x:v>
      </x:c>
    </x:row>
    <x:row r="11">
      <x:c r="A11" s="113" t="str">
        <x:v>S07</x:v>
      </x:c>
      <x:c r="B11" s="113" t="str">
        <x:v>식품</x:v>
      </x:c>
      <x:c r="C11" s="113" t="str">
        <x:v>PepsiCo</x:v>
      </x:c>
      <x:c r="D11" s="113" t="str">
        <x:v>기업 공식/IR</x:v>
      </x:c>
      <x:c r="E11" s="113" t="str">
        <x:v>PepsiCo 공식 사업·IR 자료</x:v>
      </x:c>
      <x:c r="F11" s="113" t="str">
        <x:v>https://www.pepsico.com/en/investors</x:v>
      </x:c>
      <x:c r="G11" s="126" t="n">
        <x:v>46239</x:v>
      </x:c>
    </x:row>
    <x:row r="12">
      <x:c r="A12" s="113" t="str">
        <x:v>S08</x:v>
      </x:c>
      <x:c r="B12" s="113" t="str">
        <x:v>식품</x:v>
      </x:c>
      <x:c r="C12" s="113" t="str">
        <x:v>Sysco</x:v>
      </x:c>
      <x:c r="D12" s="113" t="str">
        <x:v>규제기관 공시</x:v>
      </x:c>
      <x:c r="E12" s="113" t="str">
        <x:v>Sysco 공식 사업·IR 자료</x:v>
      </x:c>
      <x:c r="F12" s="113" t="str">
        <x:v>https://www.sec.gov/Archives/edgar/data/96021/000009602125000099/syy-20250628.htm</x:v>
      </x:c>
      <x:c r="G12" s="126" t="n">
        <x:v>46239</x:v>
      </x:c>
    </x:row>
    <x:row r="13">
      <x:c r="A13" s="113" t="str">
        <x:v>S09</x:v>
      </x:c>
      <x:c r="B13" s="113" t="str">
        <x:v>식품</x:v>
      </x:c>
      <x:c r="C13" s="113" t="str">
        <x:v>Ajinomoto</x:v>
      </x:c>
      <x:c r="D13" s="113" t="str">
        <x:v>기업 공식/IR</x:v>
      </x:c>
      <x:c r="E13" s="113" t="str">
        <x:v>Ajinomoto 공식 사업·IR 자료</x:v>
      </x:c>
      <x:c r="F13" s="113" t="str">
        <x:v>https://www.ajinomoto.co.jp/company/en/ir/library/annual.html</x:v>
      </x:c>
      <x:c r="G13" s="126" t="n">
        <x:v>46239</x:v>
      </x:c>
    </x:row>
    <x:row r="14">
      <x:c r="A14" s="113" t="str">
        <x:v>S10</x:v>
      </x:c>
      <x:c r="B14" s="113" t="str">
        <x:v>식품</x:v>
      </x:c>
      <x:c r="C14" s="113" t="str">
        <x:v>Nissin Foods Holdings</x:v>
      </x:c>
      <x:c r="D14" s="113" t="str">
        <x:v>기업 공식/IR</x:v>
      </x:c>
      <x:c r="E14" s="113" t="str">
        <x:v>Nissin Foods Holdings 공식 사업·IR 자료</x:v>
      </x:c>
      <x:c r="F14" s="113" t="str">
        <x:v>https://www.nissin.com/en_jp/about/</x:v>
      </x:c>
      <x:c r="G14" s="126" t="n">
        <x:v>46239</x:v>
      </x:c>
    </x:row>
    <x:row r="15">
      <x:c r="A15" s="113" t="str">
        <x:v>S11</x:v>
      </x:c>
      <x:c r="B15" s="113" t="str">
        <x:v>식품</x:v>
      </x:c>
      <x:c r="C15" s="113" t="str">
        <x:v>Kikkoman</x:v>
      </x:c>
      <x:c r="D15" s="113" t="str">
        <x:v>기업 공식/IR</x:v>
      </x:c>
      <x:c r="E15" s="113" t="str">
        <x:v>Kikkoman 공식 사업·IR 자료</x:v>
      </x:c>
      <x:c r="F15" s="113" t="str">
        <x:v>https://www.kikkoman.com/en/corporate/business/</x:v>
      </x:c>
      <x:c r="G15" s="126" t="n">
        <x:v>46239</x:v>
      </x:c>
    </x:row>
    <x:row r="16">
      <x:c r="A16" s="113" t="str">
        <x:v>S12</x:v>
      </x:c>
      <x:c r="B16" s="113" t="str">
        <x:v>식품</x:v>
      </x:c>
      <x:c r="C16" s="113" t="str">
        <x:v>Seven &amp; i Holdings</x:v>
      </x:c>
      <x:c r="D16" s="113" t="str">
        <x:v>기업 공식/IR</x:v>
      </x:c>
      <x:c r="E16" s="113" t="str">
        <x:v>Seven &amp; i Holdings 공식 사업·IR 자료</x:v>
      </x:c>
      <x:c r="F16" s="113" t="str">
        <x:v>https://www.7andi.com/en/company/profile.html</x:v>
      </x:c>
      <x:c r="G16" s="126" t="n">
        <x:v>46239</x:v>
      </x:c>
    </x:row>
    <x:row r="17">
      <x:c r="A17" s="113" t="str">
        <x:v>S13</x:v>
      </x:c>
      <x:c r="B17" s="113" t="str">
        <x:v>뷰티</x:v>
      </x:c>
      <x:c r="C17" s="113" t="str">
        <x:v>COSMAX</x:v>
      </x:c>
      <x:c r="D17" s="113" t="str">
        <x:v>기업 공식/IR</x:v>
      </x:c>
      <x:c r="E17" s="113" t="str">
        <x:v>COSMAX 공식 사업·IR 자료</x:v>
      </x:c>
      <x:c r="F17" s="113" t="str">
        <x:v>https://cosmax.com/new/download/2023_COSMAX_Sustainability_Report_EN.pdf</x:v>
      </x:c>
      <x:c r="G17" s="126" t="n">
        <x:v>46239</x:v>
      </x:c>
    </x:row>
    <x:row r="18">
      <x:c r="A18" s="113" t="str">
        <x:v>S14</x:v>
      </x:c>
      <x:c r="B18" s="113" t="str">
        <x:v>뷰티</x:v>
      </x:c>
      <x:c r="C18" s="113" t="str">
        <x:v>한국콜마</x:v>
      </x:c>
      <x:c r="D18" s="113" t="str">
        <x:v>기업 공식/IR</x:v>
      </x:c>
      <x:c r="E18" s="113" t="str">
        <x:v>한국콜마 공식 사업·IR 자료</x:v>
      </x:c>
      <x:c r="F18" s="113" t="str">
        <x:v>https://www.kolmar.co.kr/eng/about/summary.php</x:v>
      </x:c>
      <x:c r="G18" s="126" t="n">
        <x:v>46239</x:v>
      </x:c>
    </x:row>
    <x:row r="19">
      <x:c r="A19" s="113" t="str">
        <x:v>S15</x:v>
      </x:c>
      <x:c r="B19" s="113" t="str">
        <x:v>뷰티</x:v>
      </x:c>
      <x:c r="C19" s="113" t="str">
        <x:v>아모레퍼시픽</x:v>
      </x:c>
      <x:c r="D19" s="113" t="str">
        <x:v>기업 공식/IR</x:v>
      </x:c>
      <x:c r="E19" s="113" t="str">
        <x:v>아모레퍼시픽 공식 사업·IR 자료</x:v>
      </x:c>
      <x:c r="F19" s="113" t="str">
        <x:v>https://us.amorepacific.com/pages/company</x:v>
      </x:c>
      <x:c r="G19" s="126" t="n">
        <x:v>46239</x:v>
      </x:c>
    </x:row>
    <x:row r="20">
      <x:c r="A20" s="113" t="str">
        <x:v>S16</x:v>
      </x:c>
      <x:c r="B20" s="113" t="str">
        <x:v>뷰티</x:v>
      </x:c>
      <x:c r="C20" s="113" t="str">
        <x:v>펌텍코리아</x:v>
      </x:c>
      <x:c r="D20" s="113" t="str">
        <x:v>기업 공식/IR</x:v>
      </x:c>
      <x:c r="E20" s="113" t="str">
        <x:v>펌텍코리아 공식 사업·IR 자료</x:v>
      </x:c>
      <x:c r="F20" s="113" t="str">
        <x:v>https://en.epumtech.com/</x:v>
      </x:c>
      <x:c r="G20" s="126" t="n">
        <x:v>46239</x:v>
      </x:c>
    </x:row>
    <x:row r="21">
      <x:c r="A21" s="113" t="str">
        <x:v>S17</x:v>
      </x:c>
      <x:c r="B21" s="113" t="str">
        <x:v>뷰티</x:v>
      </x:c>
      <x:c r="C21" s="113" t="str">
        <x:v>International Flavors &amp; Fragrances</x:v>
      </x:c>
      <x:c r="D21" s="113" t="str">
        <x:v>기업 공식/IR</x:v>
      </x:c>
      <x:c r="E21" s="113" t="str">
        <x:v>International Flavors &amp; Fragrances 공식 사업·IR 자료</x:v>
      </x:c>
      <x:c r="F21" s="113" t="str">
        <x:v>https://www.iff.com/</x:v>
      </x:c>
      <x:c r="G21" s="126" t="n">
        <x:v>46239</x:v>
      </x:c>
    </x:row>
    <x:row r="22">
      <x:c r="A22" s="113" t="str">
        <x:v>S18</x:v>
      </x:c>
      <x:c r="B22" s="113" t="str">
        <x:v>뷰티</x:v>
      </x:c>
      <x:c r="C22" s="113" t="str">
        <x:v>The Estée Lauder Companies</x:v>
      </x:c>
      <x:c r="D22" s="113" t="str">
        <x:v>기업 공식/IR</x:v>
      </x:c>
      <x:c r="E22" s="113" t="str">
        <x:v>The Estée Lauder Companies 공식 사업·IR 자료</x:v>
      </x:c>
      <x:c r="F22" s="113" t="str">
        <x:v>https://investors.elcompanies.com/en/who-we-are/about-us</x:v>
      </x:c>
      <x:c r="G22" s="126" t="n">
        <x:v>46239</x:v>
      </x:c>
    </x:row>
    <x:row r="23">
      <x:c r="A23" s="113" t="str">
        <x:v>S19</x:v>
      </x:c>
      <x:c r="B23" s="113" t="str">
        <x:v>뷰티</x:v>
      </x:c>
      <x:c r="C23" s="113" t="str">
        <x:v>e.l.f. Beauty</x:v>
      </x:c>
      <x:c r="D23" s="113" t="str">
        <x:v>규제기관 공시</x:v>
      </x:c>
      <x:c r="E23" s="113" t="str">
        <x:v>e.l.f. Beauty 공식 사업·IR 자료</x:v>
      </x:c>
      <x:c r="F23" s="113" t="str">
        <x:v>https://www.sec.gov/Archives/edgar/data/1600033/000160003326000020/elf-20260331.htm</x:v>
      </x:c>
      <x:c r="G23" s="126" t="n">
        <x:v>46239</x:v>
      </x:c>
    </x:row>
    <x:row r="24">
      <x:c r="A24" s="113" t="str">
        <x:v>S20</x:v>
      </x:c>
      <x:c r="B24" s="113" t="str">
        <x:v>뷰티</x:v>
      </x:c>
      <x:c r="C24" s="113" t="str">
        <x:v>Ulta Beauty</x:v>
      </x:c>
      <x:c r="D24" s="113" t="str">
        <x:v>기업 공식/IR</x:v>
      </x:c>
      <x:c r="E24" s="113" t="str">
        <x:v>Ulta Beauty 공식 사업·IR 자료</x:v>
      </x:c>
      <x:c r="F24" s="113" t="str">
        <x:v>https://www.ulta.com/investor</x:v>
      </x:c>
      <x:c r="G24" s="126" t="n">
        <x:v>46239</x:v>
      </x:c>
    </x:row>
    <x:row r="25">
      <x:c r="A25" s="113" t="str">
        <x:v>S21</x:v>
      </x:c>
      <x:c r="B25" s="113" t="str">
        <x:v>뷰티</x:v>
      </x:c>
      <x:c r="C25" s="113" t="str">
        <x:v>Shiseido</x:v>
      </x:c>
      <x:c r="D25" s="113" t="str">
        <x:v>기업 공식/IR</x:v>
      </x:c>
      <x:c r="E25" s="113" t="str">
        <x:v>Shiseido 공식 사업·IR 자료</x:v>
      </x:c>
      <x:c r="F25" s="113" t="str">
        <x:v>https://corp.shiseido.com/en/ir/index.html</x:v>
      </x:c>
      <x:c r="G25" s="126" t="n">
        <x:v>46239</x:v>
      </x:c>
    </x:row>
    <x:row r="26">
      <x:c r="A26" s="113" t="str">
        <x:v>S22</x:v>
      </x:c>
      <x:c r="B26" s="113" t="str">
        <x:v>뷰티</x:v>
      </x:c>
      <x:c r="C26" s="113" t="str">
        <x:v>Kao</x:v>
      </x:c>
      <x:c r="D26" s="113" t="str">
        <x:v>기업 공식/IR</x:v>
      </x:c>
      <x:c r="E26" s="113" t="str">
        <x:v>Kao 공식 사업·IR 자료</x:v>
      </x:c>
      <x:c r="F26" s="113" t="str">
        <x:v>https://www.kao.com/global/en/corporate/data/</x:v>
      </x:c>
      <x:c r="G26" s="126" t="n">
        <x:v>46239</x:v>
      </x:c>
    </x:row>
    <x:row r="27">
      <x:c r="A27" s="113" t="str">
        <x:v>S23</x:v>
      </x:c>
      <x:c r="B27" s="113" t="str">
        <x:v>뷰티</x:v>
      </x:c>
      <x:c r="C27" s="113" t="str">
        <x:v>KOSÉ Holdings</x:v>
      </x:c>
      <x:c r="D27" s="113" t="str">
        <x:v>기업 공식/IR</x:v>
      </x:c>
      <x:c r="E27" s="113" t="str">
        <x:v>KOSÉ Holdings 공식 사업·IR 자료</x:v>
      </x:c>
      <x:c r="F27" s="113" t="str">
        <x:v>https://koseholdings.co.jp/en/ir/faq/</x:v>
      </x:c>
      <x:c r="G27" s="126" t="n">
        <x:v>46239</x:v>
      </x:c>
    </x:row>
    <x:row r="28">
      <x:c r="A28" s="113" t="str">
        <x:v>S24</x:v>
      </x:c>
      <x:c r="B28" s="113" t="str">
        <x:v>뷰티</x:v>
      </x:c>
      <x:c r="C28" s="113" t="str">
        <x:v>istyle</x:v>
      </x:c>
      <x:c r="D28" s="113" t="str">
        <x:v>기업 공식/IR</x:v>
      </x:c>
      <x:c r="E28" s="113" t="str">
        <x:v>istyle 공식 사업·IR 자료</x:v>
      </x:c>
      <x:c r="F28" s="113" t="str">
        <x:v>https://www.istyle.co.jp/en/about/business-concept/</x:v>
      </x:c>
      <x:c r="G28" s="126" t="n">
        <x:v>46239</x:v>
      </x:c>
    </x:row>
    <x:row r="29">
      <x:c r="A29" s="113" t="str">
        <x:v>S25</x:v>
      </x:c>
      <x:c r="B29" s="113" t="str">
        <x:v>패션</x:v>
      </x:c>
      <x:c r="C29" s="113" t="str">
        <x:v>효성티앤씨</x:v>
      </x:c>
      <x:c r="D29" s="113" t="str">
        <x:v>기업 공식/IR</x:v>
      </x:c>
      <x:c r="E29" s="113" t="str">
        <x:v>효성티앤씨 공식 사업·IR 자료</x:v>
      </x:c>
      <x:c r="F29" s="113" t="str">
        <x:v>https://www.hyosungtnc.com/en</x:v>
      </x:c>
      <x:c r="G29" s="126" t="n">
        <x:v>46239</x:v>
      </x:c>
    </x:row>
    <x:row r="30">
      <x:c r="A30" s="113" t="str">
        <x:v>S26</x:v>
      </x:c>
      <x:c r="B30" s="113" t="str">
        <x:v>패션</x:v>
      </x:c>
      <x:c r="C30" s="113" t="str">
        <x:v>한세실업</x:v>
      </x:c>
      <x:c r="D30" s="113" t="str">
        <x:v>기업 공식/IR</x:v>
      </x:c>
      <x:c r="E30" s="113" t="str">
        <x:v>한세실업 공식 사업·IR 자료</x:v>
      </x:c>
      <x:c r="F30" s="113" t="str">
        <x:v>https://www.hansae.com/en/common/file/2025_HANSAE_IR_PRESENTATION.pdf</x:v>
      </x:c>
      <x:c r="G30" s="126" t="n">
        <x:v>46239</x:v>
      </x:c>
    </x:row>
    <x:row r="31">
      <x:c r="A31" s="113" t="str">
        <x:v>S27</x:v>
      </x:c>
      <x:c r="B31" s="113" t="str">
        <x:v>패션</x:v>
      </x:c>
      <x:c r="C31" s="113" t="str">
        <x:v>F&amp;F</x:v>
      </x:c>
      <x:c r="D31" s="113" t="str">
        <x:v>기업 공식/IR</x:v>
      </x:c>
      <x:c r="E31" s="113" t="str">
        <x:v>F&amp;F 공식 사업·IR 자료</x:v>
      </x:c>
      <x:c r="F31" s="113" t="str">
        <x:v>https://www.fnf.co.kr/about/identity</x:v>
      </x:c>
      <x:c r="G31" s="126" t="n">
        <x:v>46239</x:v>
      </x:c>
    </x:row>
    <x:row r="32">
      <x:c r="A32" s="113" t="str">
        <x:v>S28</x:v>
      </x:c>
      <x:c r="B32" s="113" t="str">
        <x:v>패션</x:v>
      </x:c>
      <x:c r="C32" s="113" t="str">
        <x:v>신세계인터내셔날</x:v>
      </x:c>
      <x:c r="D32" s="113" t="str">
        <x:v>기업 공식/IR</x:v>
      </x:c>
      <x:c r="E32" s="113" t="str">
        <x:v>신세계인터내셔날 공식 사업·IR 자료</x:v>
      </x:c>
      <x:c r="F32" s="113" t="str">
        <x:v>https://www.sikorea.co.kr/company/introduction</x:v>
      </x:c>
      <x:c r="G32" s="126" t="n">
        <x:v>46239</x:v>
      </x:c>
    </x:row>
    <x:row r="33">
      <x:c r="A33" s="113" t="str">
        <x:v>S29</x:v>
      </x:c>
      <x:c r="B33" s="113" t="str">
        <x:v>패션</x:v>
      </x:c>
      <x:c r="C33" s="113" t="str">
        <x:v>Unifi</x:v>
      </x:c>
      <x:c r="D33" s="113" t="str">
        <x:v>기업 공식/IR</x:v>
      </x:c>
      <x:c r="E33" s="113" t="str">
        <x:v>Unifi 공식 사업·IR 자료</x:v>
      </x:c>
      <x:c r="F33" s="113" t="str">
        <x:v>https://investor.unifi.com/</x:v>
      </x:c>
      <x:c r="G33" s="126" t="n">
        <x:v>46239</x:v>
      </x:c>
    </x:row>
    <x:row r="34">
      <x:c r="A34" s="113" t="str">
        <x:v>S30</x:v>
      </x:c>
      <x:c r="B34" s="113" t="str">
        <x:v>패션</x:v>
      </x:c>
      <x:c r="C34" s="113" t="str">
        <x:v>NIKE</x:v>
      </x:c>
      <x:c r="D34" s="113" t="str">
        <x:v>규제기관 공시</x:v>
      </x:c>
      <x:c r="E34" s="113" t="str">
        <x:v>NIKE 공식 사업·IR 자료</x:v>
      </x:c>
      <x:c r="F34" s="113" t="str">
        <x:v>https://www.sec.gov/Archives/edgar/data/320187/000032018726000088/nke-20260531.htm</x:v>
      </x:c>
      <x:c r="G34" s="126" t="n">
        <x:v>46239</x:v>
      </x:c>
    </x:row>
    <x:row r="35">
      <x:c r="A35" s="113" t="str">
        <x:v>S31</x:v>
      </x:c>
      <x:c r="B35" s="113" t="str">
        <x:v>패션</x:v>
      </x:c>
      <x:c r="C35" s="113" t="str">
        <x:v>Tapestry</x:v>
      </x:c>
      <x:c r="D35" s="113" t="str">
        <x:v>기업 공식/IR</x:v>
      </x:c>
      <x:c r="E35" s="113" t="str">
        <x:v>Tapestry 공식 사업·IR 자료</x:v>
      </x:c>
      <x:c r="F35" s="113" t="str">
        <x:v>https://tapestry.gcs-web.com/shareholder-services/investor-faqs</x:v>
      </x:c>
      <x:c r="G35" s="126" t="n">
        <x:v>46239</x:v>
      </x:c>
    </x:row>
    <x:row r="36">
      <x:c r="A36" s="113" t="str">
        <x:v>S32</x:v>
      </x:c>
      <x:c r="B36" s="113" t="str">
        <x:v>패션</x:v>
      </x:c>
      <x:c r="C36" s="113" t="str">
        <x:v>The TJX Companies</x:v>
      </x:c>
      <x:c r="D36" s="113" t="str">
        <x:v>기업 공식/IR</x:v>
      </x:c>
      <x:c r="E36" s="113" t="str">
        <x:v>The TJX Companies 공식 사업·IR 자료</x:v>
      </x:c>
      <x:c r="F36" s="113" t="str">
        <x:v>https://investor.tjx.com/</x:v>
      </x:c>
      <x:c r="G36" s="126" t="n">
        <x:v>46239</x:v>
      </x:c>
    </x:row>
    <x:row r="37">
      <x:c r="A37" s="113" t="str">
        <x:v>S33</x:v>
      </x:c>
      <x:c r="B37" s="113" t="str">
        <x:v>패션</x:v>
      </x:c>
      <x:c r="C37" s="113" t="str">
        <x:v>Toray Industries</x:v>
      </x:c>
      <x:c r="D37" s="113" t="str">
        <x:v>기업 공식/IR</x:v>
      </x:c>
      <x:c r="E37" s="113" t="str">
        <x:v>Toray Industries 공식 사업·IR 자료</x:v>
      </x:c>
      <x:c r="F37" s="113" t="str">
        <x:v>https://www.toray.com/aboutus/outline.html</x:v>
      </x:c>
      <x:c r="G37" s="126" t="n">
        <x:v>46239</x:v>
      </x:c>
    </x:row>
    <x:row r="38">
      <x:c r="A38" s="113" t="str">
        <x:v>S34</x:v>
      </x:c>
      <x:c r="B38" s="113" t="str">
        <x:v>패션</x:v>
      </x:c>
      <x:c r="C38" s="113" t="str">
        <x:v>Fast Retailing</x:v>
      </x:c>
      <x:c r="D38" s="113" t="str">
        <x:v>기업 공식/IR</x:v>
      </x:c>
      <x:c r="E38" s="113" t="str">
        <x:v>Fast Retailing 공식 사업·IR 자료</x:v>
      </x:c>
      <x:c r="F38" s="113" t="str">
        <x:v>https://www.fastretailing.com/eng/group/strategy/uniqlobusiness.html</x:v>
      </x:c>
      <x:c r="G38" s="126" t="n">
        <x:v>46239</x:v>
      </x:c>
    </x:row>
    <x:row r="39">
      <x:c r="A39" s="113" t="str">
        <x:v>S35</x:v>
      </x:c>
      <x:c r="B39" s="113" t="str">
        <x:v>패션</x:v>
      </x:c>
      <x:c r="C39" s="113" t="str">
        <x:v>Onward Holdings</x:v>
      </x:c>
      <x:c r="D39" s="113" t="str">
        <x:v>기업 공식/IR</x:v>
      </x:c>
      <x:c r="E39" s="113" t="str">
        <x:v>Onward Holdings 공식 사업·IR 자료</x:v>
      </x:c>
      <x:c r="F39" s="113" t="str">
        <x:v>https://www.onward-hd.co.jp/en/business/domestic/fashion.html</x:v>
      </x:c>
      <x:c r="G39" s="126" t="n">
        <x:v>46239</x:v>
      </x:c>
    </x:row>
    <x:row r="40">
      <x:c r="A40" s="113" t="str">
        <x:v>S36</x:v>
      </x:c>
      <x:c r="B40" s="113" t="str">
        <x:v>패션</x:v>
      </x:c>
      <x:c r="C40" s="113" t="str">
        <x:v>ZOZO</x:v>
      </x:c>
      <x:c r="D40" s="113" t="str">
        <x:v>기업 공식/IR</x:v>
      </x:c>
      <x:c r="E40" s="113" t="str">
        <x:v>ZOZO 공식 사업·IR 자료</x:v>
      </x:c>
      <x:c r="F40" s="113" t="str">
        <x:v>https://corp.zozo.com/en/ir-info/management-policy/business-model/</x:v>
      </x:c>
      <x:c r="G40" s="126" t="n">
        <x:v>46239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5a52e82ce0a48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0" hidden="0" customWidth="1"/>
    <x:col min="5" max="5" width="12" hidden="0" customWidth="1"/>
    <x:col min="6" max="6" width="16" hidden="0" customWidth="1"/>
    <x:col min="7" max="7" width="34" hidden="0" customWidth="1"/>
  </x:cols>
  <x:sheetData>
    <x:row r="1" ht="38" customHeight="1">
      <x:c r="A1" s="79" t="str">
        <x:v>검증 체크</x:v>
      </x:c>
      <x:c r="B1" s="80"/>
      <x:c r="C1" s="80"/>
      <x:c r="D1" s="80"/>
      <x:c r="E1" s="80"/>
      <x:c r="F1" s="80"/>
      <x:c r="G1" s="80"/>
    </x:row>
    <x:row r="2" ht="30" customHeight="1">
      <x:c r="A2" s="81" t="str">
        <x:v>데이터 완전성과 범위 균형을 수식으로 확인</x:v>
      </x:c>
      <x:c r="B2" s="81"/>
      <x:c r="C2" s="81"/>
      <x:c r="D2" s="81"/>
      <x:c r="E2" s="81"/>
      <x:c r="F2" s="81"/>
      <x:c r="G2" s="81"/>
    </x:row>
    <x:row r="3">
      <x:c r="A3" s="80"/>
      <x:c r="B3" s="80"/>
      <x:c r="C3" s="80"/>
      <x:c r="D3" s="80"/>
      <x:c r="E3" s="80"/>
      <x:c r="F3" s="80"/>
      <x:c r="G3" s="80"/>
    </x:row>
    <x:row r="4">
      <x:c r="A4" s="94" t="str">
        <x:v>검증 항목</x:v>
      </x:c>
      <x:c r="B4" s="95" t="str">
        <x:v>실제값</x:v>
      </x:c>
      <x:c r="C4" s="95" t="str">
        <x:v>기대값</x:v>
      </x:c>
      <x:c r="D4" s="95" t="str">
        <x:v>차이</x:v>
      </x:c>
      <x:c r="E4" s="95" t="str">
        <x:v>허용오차</x:v>
      </x:c>
      <x:c r="F4" s="95" t="str">
        <x:v>상태</x:v>
      </x:c>
      <x:c r="G4" s="96" t="str">
        <x:v>비고</x:v>
      </x:c>
    </x:row>
    <x:row r="5">
      <x:c r="A5" s="148" t="str">
        <x:v>전체 기업 수</x:v>
      </x:c>
      <x:c r="B5" s="149" t="n">
        <x:f>COUNTA('기업매핑'!E5:E40)</x:f>
        <x:v>36</x:v>
      </x:c>
      <x:c r="C5" s="149" t="n">
        <x:v>36</x:v>
      </x:c>
      <x:c r="D5" s="149" t="n">
        <x:f>B5-C5</x:f>
        <x:v>0</x:v>
      </x:c>
      <x:c r="E5" s="149" t="n">
        <x:v>0</x:v>
      </x:c>
      <x:c r="F5" s="149" t="str">
        <x:f>IF(ABS(D5)&lt;=E5,"OK","확인 필요")</x:f>
        <x:v>OK</x:v>
      </x:c>
      <x:c r="G5" s="148" t="str">
        <x:v>기업매핑 행 수</x:v>
      </x:c>
    </x:row>
    <x:row r="6">
      <x:c r="A6" s="148" t="str">
        <x:v>식품 기업 수</x:v>
      </x:c>
      <x:c r="B6" s="149" t="n">
        <x:f>COUNTIF('기업매핑'!A5:A40,"식품")</x:f>
        <x:v>12</x:v>
      </x:c>
      <x:c r="C6" s="149" t="n">
        <x:v>12</x:v>
      </x:c>
      <x:c r="D6" s="149" t="n">
        <x:f>B6-C6</x:f>
        <x:v>0</x:v>
      </x:c>
      <x:c r="E6" s="149" t="n">
        <x:v>0</x:v>
      </x:c>
      <x:c r="F6" s="149" t="str">
        <x:f>IF(ABS(D6)&lt;=E6,"OK","확인 필요")</x:f>
        <x:v>OK</x:v>
      </x:c>
      <x:c r="G6" s="148" t="str">
        <x:v>산업별 균형</x:v>
      </x:c>
    </x:row>
    <x:row r="7">
      <x:c r="A7" s="148" t="str">
        <x:v>뷰티 기업 수</x:v>
      </x:c>
      <x:c r="B7" s="149" t="n">
        <x:f>COUNTIF('기업매핑'!A5:A40,"뷰티")</x:f>
        <x:v>12</x:v>
      </x:c>
      <x:c r="C7" s="149" t="n">
        <x:v>12</x:v>
      </x:c>
      <x:c r="D7" s="149" t="n">
        <x:f>B7-C7</x:f>
        <x:v>0</x:v>
      </x:c>
      <x:c r="E7" s="149" t="n">
        <x:v>0</x:v>
      </x:c>
      <x:c r="F7" s="149" t="str">
        <x:f>IF(ABS(D7)&lt;=E7,"OK","확인 필요")</x:f>
        <x:v>OK</x:v>
      </x:c>
      <x:c r="G7" s="148" t="str">
        <x:v>산업별 균형</x:v>
      </x:c>
    </x:row>
    <x:row r="8">
      <x:c r="A8" s="148" t="str">
        <x:v>패션 기업 수</x:v>
      </x:c>
      <x:c r="B8" s="149" t="n">
        <x:f>COUNTIF('기업매핑'!A5:A40,"패션")</x:f>
        <x:v>12</x:v>
      </x:c>
      <x:c r="C8" s="149" t="n">
        <x:v>12</x:v>
      </x:c>
      <x:c r="D8" s="149" t="n">
        <x:f>B8-C8</x:f>
        <x:v>0</x:v>
      </x:c>
      <x:c r="E8" s="149" t="n">
        <x:v>0</x:v>
      </x:c>
      <x:c r="F8" s="149" t="str">
        <x:f>IF(ABS(D8)&lt;=E8,"OK","확인 필요")</x:f>
        <x:v>OK</x:v>
      </x:c>
      <x:c r="G8" s="148" t="str">
        <x:v>산업별 균형</x:v>
      </x:c>
    </x:row>
    <x:row r="9">
      <x:c r="A9" s="148" t="str">
        <x:v>한국 기업 수</x:v>
      </x:c>
      <x:c r="B9" s="149" t="n">
        <x:f>COUNTIF('기업매핑'!D5:D40,"한국")</x:f>
        <x:v>12</x:v>
      </x:c>
      <x:c r="C9" s="149" t="n">
        <x:v>12</x:v>
      </x:c>
      <x:c r="D9" s="149" t="n">
        <x:f>B9-C9</x:f>
        <x:v>0</x:v>
      </x:c>
      <x:c r="E9" s="149" t="n">
        <x:v>0</x:v>
      </x:c>
      <x:c r="F9" s="149" t="str">
        <x:f>IF(ABS(D9)&lt;=E9,"OK","확인 필요")</x:f>
        <x:v>OK</x:v>
      </x:c>
      <x:c r="G9" s="148" t="str">
        <x:v>국가별 균형</x:v>
      </x:c>
    </x:row>
    <x:row r="10">
      <x:c r="A10" s="148" t="str">
        <x:v>미국 기업 수</x:v>
      </x:c>
      <x:c r="B10" s="149" t="n">
        <x:f>COUNTIF('기업매핑'!D5:D40,"미국")</x:f>
        <x:v>12</x:v>
      </x:c>
      <x:c r="C10" s="149" t="n">
        <x:v>12</x:v>
      </x:c>
      <x:c r="D10" s="149" t="n">
        <x:f>B10-C10</x:f>
        <x:v>0</x:v>
      </x:c>
      <x:c r="E10" s="149" t="n">
        <x:v>0</x:v>
      </x:c>
      <x:c r="F10" s="149" t="str">
        <x:f>IF(ABS(D10)&lt;=E10,"OK","확인 필요")</x:f>
        <x:v>OK</x:v>
      </x:c>
      <x:c r="G10" s="148" t="str">
        <x:v>국가별 균형</x:v>
      </x:c>
    </x:row>
    <x:row r="11">
      <x:c r="A11" s="148" t="str">
        <x:v>일본 기업 수</x:v>
      </x:c>
      <x:c r="B11" s="149" t="n">
        <x:f>COUNTIF('기업매핑'!D5:D40,"일본")</x:f>
        <x:v>12</x:v>
      </x:c>
      <x:c r="C11" s="149" t="n">
        <x:v>12</x:v>
      </x:c>
      <x:c r="D11" s="149" t="n">
        <x:f>B11-C11</x:f>
        <x:v>0</x:v>
      </x:c>
      <x:c r="E11" s="149" t="n">
        <x:v>0</x:v>
      </x:c>
      <x:c r="F11" s="149" t="str">
        <x:f>IF(ABS(D11)&lt;=E11,"OK","확인 필요")</x:f>
        <x:v>OK</x:v>
      </x:c>
      <x:c r="G11" s="148" t="str">
        <x:v>국가별 균형</x:v>
      </x:c>
    </x:row>
    <x:row r="12">
      <x:c r="A12" s="148" t="str">
        <x:v>공식 URL 수</x:v>
      </x:c>
      <x:c r="B12" s="149" t="n">
        <x:f>COUNTA('기업매핑'!Q5:Q40)</x:f>
        <x:v>36</x:v>
      </x:c>
      <x:c r="C12" s="149" t="n">
        <x:v>36</x:v>
      </x:c>
      <x:c r="D12" s="149" t="n">
        <x:f>B12-C12</x:f>
        <x:v>0</x:v>
      </x:c>
      <x:c r="E12" s="149" t="n">
        <x:v>0</x:v>
      </x:c>
      <x:c r="F12" s="149" t="str">
        <x:f>IF(ABS(D12)&lt;=E12,"OK","확인 필요")</x:f>
        <x:v>OK</x:v>
      </x:c>
      <x:c r="G12" s="148" t="str">
        <x:v>모든 기업 근거</x:v>
      </x:c>
    </x:row>
    <x:row r="13">
      <x:c r="A13" s="148" t="str">
        <x:v>티커 입력 수</x:v>
      </x:c>
      <x:c r="B13" s="149" t="n">
        <x:f>COUNTA('기업매핑'!F5:F40)</x:f>
        <x:v>36</x:v>
      </x:c>
      <x:c r="C13" s="149" t="n">
        <x:v>36</x:v>
      </x:c>
      <x:c r="D13" s="149" t="n">
        <x:f>B13-C13</x:f>
        <x:v>0</x:v>
      </x:c>
      <x:c r="E13" s="149" t="n">
        <x:v>0</x:v>
      </x:c>
      <x:c r="F13" s="149" t="str">
        <x:f>IF(ABS(D13)&lt;=E13,"OK","확인 필요")</x:f>
        <x:v>OK</x:v>
      </x:c>
      <x:c r="G13" s="148" t="str">
        <x:v>상장기업 기준</x:v>
      </x:c>
    </x:row>
    <x:row r="14">
      <x:c r="A14" s="80"/>
      <x:c r="B14" s="80"/>
      <x:c r="C14" s="80"/>
      <x:c r="D14" s="80"/>
      <x:c r="E14" s="80"/>
      <x:c r="F14" s="80"/>
      <x:c r="G14" s="80"/>
    </x:row>
    <x:row r="15">
      <x:c r="A15" s="150" t="str">
        <x:v>신뢰도 기준 | A: 공식 기업·IR·공시 / B: 정부·협회 / C: 신뢰 가능한 2차 자료. 이번 1차본은 모든 기업 역할을 A 근거로 매핑했습니다.</x:v>
      </x:c>
      <x:c r="B15" s="151"/>
      <x:c r="C15" s="151"/>
      <x:c r="D15" s="151"/>
      <x:c r="E15" s="151"/>
      <x:c r="F15" s="151"/>
      <x:c r="G15" s="152"/>
    </x:row>
    <x:row r="16">
      <x:c r="A16" s="153"/>
      <x:c r="B16" s="154"/>
      <x:c r="C16" s="154"/>
      <x:c r="D16" s="154"/>
      <x:c r="E16" s="154"/>
      <x:c r="F16" s="154"/>
      <x:c r="G16" s="155"/>
    </x:row>
  </x:sheetData>
  <x:mergeCells>
    <x:mergeCell ref="A1:G1"/>
    <x:mergeCell ref="A2:G2"/>
    <x:mergeCell ref="A15:G16"/>
  </x:mergeCells>
  <x:conditionalFormatting sqref="F5:F13">
    <x:cfRule type="containsText" dxfId="0" priority="1" operator="containsText" text="OK"/>
    <x:cfRule type="containsText" dxfId="1" priority="2" operator="containsText" text="확인 필요"/>
  </x:conditionalFormatting>
  <x:pageMargins left="0.7" right="0.7" top="0.75" bottom="0.75" header="0.3" footer="0.3"/>
</x:worksheet>
</file>