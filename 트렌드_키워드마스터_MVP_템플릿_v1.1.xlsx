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js72\Downloads\"/>
    </mc:Choice>
  </mc:AlternateContent>
  <xr:revisionPtr revIDLastSave="0" documentId="13_ncr:1_{1F26EC01-08BF-46FA-92B6-9F0E5346456A}" xr6:coauthVersionLast="47" xr6:coauthVersionMax="47" xr10:uidLastSave="{00000000-0000-0000-0000-000000000000}"/>
  <bookViews>
    <workbookView xWindow="12540" yWindow="3570" windowWidth="10280" windowHeight="10810" activeTab="1" xr2:uid="{00000000-000D-0000-FFFF-FFFF00000000}"/>
  </bookViews>
  <sheets>
    <sheet name="트렌드 마스터" sheetId="1" r:id="rId1"/>
    <sheet name="키워드 마스터" sheetId="2" r:id="rId2"/>
  </sheets>
  <calcPr calcId="191029"/>
</workbook>
</file>

<file path=xl/calcChain.xml><?xml version="1.0" encoding="utf-8"?>
<calcChain xmlns="http://schemas.openxmlformats.org/spreadsheetml/2006/main">
  <c r="T21" i="2" l="1"/>
  <c r="U21" i="2" s="1"/>
  <c r="V21" i="2"/>
  <c r="T22" i="2"/>
  <c r="U22" i="2" s="1"/>
  <c r="T23" i="2"/>
  <c r="U23" i="2"/>
  <c r="V23" i="2"/>
  <c r="T24" i="2"/>
  <c r="U24" i="2"/>
  <c r="V24" i="2"/>
  <c r="T25" i="2"/>
  <c r="U25" i="2"/>
  <c r="V25" i="2"/>
  <c r="T20" i="2"/>
  <c r="V20" i="2" s="1"/>
  <c r="T7" i="2"/>
  <c r="V7" i="2" s="1"/>
  <c r="U7" i="2"/>
  <c r="T8" i="2"/>
  <c r="U8" i="2"/>
  <c r="V8" i="2"/>
  <c r="T9" i="2"/>
  <c r="U9" i="2"/>
  <c r="V9" i="2"/>
  <c r="T10" i="2"/>
  <c r="U10" i="2" s="1"/>
  <c r="T11" i="2"/>
  <c r="V11" i="2" s="1"/>
  <c r="U11" i="2"/>
  <c r="T12" i="2"/>
  <c r="U12" i="2"/>
  <c r="V12" i="2"/>
  <c r="T6" i="2"/>
  <c r="U6" i="2" s="1"/>
  <c r="V14" i="2"/>
  <c r="V15" i="2"/>
  <c r="V16" i="2"/>
  <c r="V17" i="2"/>
  <c r="V18" i="2"/>
  <c r="V19" i="2"/>
  <c r="V13" i="2"/>
  <c r="U14" i="2"/>
  <c r="U15" i="2"/>
  <c r="U16" i="2"/>
  <c r="U17" i="2"/>
  <c r="U18" i="2"/>
  <c r="U19" i="2"/>
  <c r="U13" i="2"/>
  <c r="T14" i="2"/>
  <c r="T15" i="2"/>
  <c r="T16" i="2"/>
  <c r="T17" i="2"/>
  <c r="T18" i="2"/>
  <c r="T19" i="2"/>
  <c r="T13" i="2"/>
  <c r="T26" i="2"/>
  <c r="U26" i="2"/>
  <c r="V26" i="2"/>
  <c r="T27" i="2"/>
  <c r="U27" i="2"/>
  <c r="V27" i="2"/>
  <c r="T28" i="2"/>
  <c r="U28" i="2" s="1"/>
  <c r="T29" i="2"/>
  <c r="U29" i="2"/>
  <c r="V29" i="2"/>
  <c r="T30" i="2"/>
  <c r="U30" i="2"/>
  <c r="V30" i="2"/>
  <c r="T31" i="2"/>
  <c r="U31" i="2" s="1"/>
  <c r="V31" i="2"/>
  <c r="T32" i="2"/>
  <c r="U32" i="2"/>
  <c r="V32" i="2"/>
  <c r="T33" i="2"/>
  <c r="V33" i="2" s="1"/>
  <c r="U33" i="2"/>
  <c r="T34" i="2"/>
  <c r="U34" i="2"/>
  <c r="V34" i="2"/>
  <c r="T35" i="2"/>
  <c r="U35" i="2"/>
  <c r="V35" i="2"/>
  <c r="T36" i="2"/>
  <c r="U36" i="2" s="1"/>
  <c r="T37" i="2"/>
  <c r="U37" i="2"/>
  <c r="V37" i="2"/>
  <c r="T38" i="2"/>
  <c r="U38" i="2"/>
  <c r="V38" i="2"/>
  <c r="T39" i="2"/>
  <c r="U39" i="2" s="1"/>
  <c r="V39" i="2"/>
  <c r="T40" i="2"/>
  <c r="U40" i="2"/>
  <c r="V40" i="2"/>
  <c r="T41" i="2"/>
  <c r="V41" i="2" s="1"/>
  <c r="U41" i="2"/>
  <c r="T42" i="2"/>
  <c r="U42" i="2"/>
  <c r="V42" i="2"/>
  <c r="T43" i="2"/>
  <c r="U43" i="2"/>
  <c r="V43" i="2"/>
  <c r="T44" i="2"/>
  <c r="U44" i="2" s="1"/>
  <c r="T45" i="2"/>
  <c r="U45" i="2"/>
  <c r="V45" i="2"/>
  <c r="T46" i="2"/>
  <c r="U46" i="2"/>
  <c r="V46" i="2"/>
  <c r="T47" i="2"/>
  <c r="U47" i="2" s="1"/>
  <c r="V47" i="2"/>
  <c r="T48" i="2"/>
  <c r="U48" i="2"/>
  <c r="V48" i="2"/>
  <c r="T49" i="2"/>
  <c r="V49" i="2" s="1"/>
  <c r="U49" i="2"/>
  <c r="T50" i="2"/>
  <c r="U50" i="2"/>
  <c r="V50" i="2"/>
  <c r="T51" i="2"/>
  <c r="U51" i="2"/>
  <c r="V51" i="2"/>
  <c r="T52" i="2"/>
  <c r="U52" i="2" s="1"/>
  <c r="T53" i="2"/>
  <c r="U53" i="2"/>
  <c r="V53" i="2"/>
  <c r="T54" i="2"/>
  <c r="U54" i="2"/>
  <c r="V54" i="2"/>
  <c r="T55" i="2"/>
  <c r="U55" i="2" s="1"/>
  <c r="V55" i="2"/>
  <c r="T56" i="2"/>
  <c r="U56" i="2"/>
  <c r="V56" i="2"/>
  <c r="T57" i="2"/>
  <c r="V57" i="2" s="1"/>
  <c r="U57" i="2"/>
  <c r="T58" i="2"/>
  <c r="U58" i="2"/>
  <c r="V58" i="2"/>
  <c r="T59" i="2"/>
  <c r="U59" i="2"/>
  <c r="V59" i="2"/>
  <c r="T249" i="2"/>
  <c r="V249" i="2" s="1"/>
  <c r="T248" i="2"/>
  <c r="V248" i="2" s="1"/>
  <c r="T247" i="2"/>
  <c r="V247" i="2" s="1"/>
  <c r="T246" i="2"/>
  <c r="U246" i="2" s="1"/>
  <c r="T245" i="2"/>
  <c r="V245" i="2" s="1"/>
  <c r="T244" i="2"/>
  <c r="V244" i="2" s="1"/>
  <c r="T243" i="2"/>
  <c r="U243" i="2" s="1"/>
  <c r="T242" i="2"/>
  <c r="U242" i="2" s="1"/>
  <c r="T241" i="2"/>
  <c r="T240" i="2"/>
  <c r="V240" i="2" s="1"/>
  <c r="T239" i="2"/>
  <c r="U239" i="2" s="1"/>
  <c r="T238" i="2"/>
  <c r="V238" i="2" s="1"/>
  <c r="T237" i="2"/>
  <c r="T236" i="2"/>
  <c r="T235" i="2"/>
  <c r="U235" i="2" s="1"/>
  <c r="T234" i="2"/>
  <c r="U234" i="2" s="1"/>
  <c r="T233" i="2"/>
  <c r="V233" i="2" s="1"/>
  <c r="T232" i="2"/>
  <c r="V232" i="2" s="1"/>
  <c r="T231" i="2"/>
  <c r="U231" i="2" s="1"/>
  <c r="T230" i="2"/>
  <c r="U230" i="2" s="1"/>
  <c r="T229" i="2"/>
  <c r="T228" i="2"/>
  <c r="T227" i="2"/>
  <c r="U227" i="2" s="1"/>
  <c r="T226" i="2"/>
  <c r="V226" i="2" s="1"/>
  <c r="T225" i="2"/>
  <c r="V225" i="2" s="1"/>
  <c r="T224" i="2"/>
  <c r="T223" i="2"/>
  <c r="U223" i="2" s="1"/>
  <c r="T222" i="2"/>
  <c r="U222" i="2" s="1"/>
  <c r="T221" i="2"/>
  <c r="V221" i="2" s="1"/>
  <c r="T220" i="2"/>
  <c r="T219" i="2"/>
  <c r="U219" i="2" s="1"/>
  <c r="T218" i="2"/>
  <c r="V218" i="2" s="1"/>
  <c r="T217" i="2"/>
  <c r="V217" i="2" s="1"/>
  <c r="T216" i="2"/>
  <c r="T215" i="2"/>
  <c r="U215" i="2" s="1"/>
  <c r="T214" i="2"/>
  <c r="U214" i="2" s="1"/>
  <c r="T213" i="2"/>
  <c r="V213" i="2" s="1"/>
  <c r="T212" i="2"/>
  <c r="T211" i="2"/>
  <c r="U211" i="2" s="1"/>
  <c r="T210" i="2"/>
  <c r="V210" i="2" s="1"/>
  <c r="T209" i="2"/>
  <c r="V209" i="2" s="1"/>
  <c r="T208" i="2"/>
  <c r="T207" i="2"/>
  <c r="U207" i="2" s="1"/>
  <c r="T206" i="2"/>
  <c r="V206" i="2" s="1"/>
  <c r="T205" i="2"/>
  <c r="V205" i="2" s="1"/>
  <c r="T204" i="2"/>
  <c r="T203" i="2"/>
  <c r="U203" i="2" s="1"/>
  <c r="T202" i="2"/>
  <c r="U202" i="2" s="1"/>
  <c r="T201" i="2"/>
  <c r="V201" i="2" s="1"/>
  <c r="T200" i="2"/>
  <c r="T199" i="2"/>
  <c r="U199" i="2" s="1"/>
  <c r="T198" i="2"/>
  <c r="U198" i="2" s="1"/>
  <c r="T197" i="2"/>
  <c r="V197" i="2" s="1"/>
  <c r="T196" i="2"/>
  <c r="T195" i="2"/>
  <c r="U195" i="2" s="1"/>
  <c r="T194" i="2"/>
  <c r="U194" i="2" s="1"/>
  <c r="T193" i="2"/>
  <c r="V193" i="2" s="1"/>
  <c r="T192" i="2"/>
  <c r="T191" i="2"/>
  <c r="U191" i="2" s="1"/>
  <c r="T190" i="2"/>
  <c r="V190" i="2" s="1"/>
  <c r="T189" i="2"/>
  <c r="V189" i="2" s="1"/>
  <c r="T188" i="2"/>
  <c r="T187" i="2"/>
  <c r="U187" i="2" s="1"/>
  <c r="T186" i="2"/>
  <c r="V186" i="2" s="1"/>
  <c r="T185" i="2"/>
  <c r="V185" i="2" s="1"/>
  <c r="T184" i="2"/>
  <c r="T183" i="2"/>
  <c r="U183" i="2" s="1"/>
  <c r="T182" i="2"/>
  <c r="U182" i="2" s="1"/>
  <c r="T181" i="2"/>
  <c r="V181" i="2" s="1"/>
  <c r="T180" i="2"/>
  <c r="T179" i="2"/>
  <c r="U179" i="2" s="1"/>
  <c r="T178" i="2"/>
  <c r="V178" i="2" s="1"/>
  <c r="T177" i="2"/>
  <c r="V177" i="2" s="1"/>
  <c r="T176" i="2"/>
  <c r="T175" i="2"/>
  <c r="U175" i="2" s="1"/>
  <c r="T174" i="2"/>
  <c r="V174" i="2" s="1"/>
  <c r="T173" i="2"/>
  <c r="V173" i="2" s="1"/>
  <c r="T172" i="2"/>
  <c r="T171" i="2"/>
  <c r="U171" i="2" s="1"/>
  <c r="T170" i="2"/>
  <c r="U170" i="2" s="1"/>
  <c r="T169" i="2"/>
  <c r="V169" i="2" s="1"/>
  <c r="T168" i="2"/>
  <c r="T167" i="2"/>
  <c r="U167" i="2" s="1"/>
  <c r="T166" i="2"/>
  <c r="V166" i="2" s="1"/>
  <c r="T165" i="2"/>
  <c r="V165" i="2" s="1"/>
  <c r="T164" i="2"/>
  <c r="T163" i="2"/>
  <c r="U163" i="2" s="1"/>
  <c r="T162" i="2"/>
  <c r="V162" i="2" s="1"/>
  <c r="T161" i="2"/>
  <c r="V161" i="2" s="1"/>
  <c r="T160" i="2"/>
  <c r="T159" i="2"/>
  <c r="U159" i="2" s="1"/>
  <c r="T158" i="2"/>
  <c r="V158" i="2" s="1"/>
  <c r="T157" i="2"/>
  <c r="V157" i="2" s="1"/>
  <c r="T156" i="2"/>
  <c r="T155" i="2"/>
  <c r="U155" i="2" s="1"/>
  <c r="T154" i="2"/>
  <c r="V154" i="2" s="1"/>
  <c r="T153" i="2"/>
  <c r="V153" i="2" s="1"/>
  <c r="T152" i="2"/>
  <c r="T151" i="2"/>
  <c r="U151" i="2" s="1"/>
  <c r="T150" i="2"/>
  <c r="U150" i="2" s="1"/>
  <c r="T149" i="2"/>
  <c r="V149" i="2" s="1"/>
  <c r="T148" i="2"/>
  <c r="T147" i="2"/>
  <c r="U147" i="2" s="1"/>
  <c r="T146" i="2"/>
  <c r="U146" i="2" s="1"/>
  <c r="T145" i="2"/>
  <c r="V145" i="2" s="1"/>
  <c r="T144" i="2"/>
  <c r="T143" i="2"/>
  <c r="U143" i="2" s="1"/>
  <c r="T142" i="2"/>
  <c r="V142" i="2" s="1"/>
  <c r="T141" i="2"/>
  <c r="V141" i="2" s="1"/>
  <c r="T140" i="2"/>
  <c r="T139" i="2"/>
  <c r="U139" i="2" s="1"/>
  <c r="T138" i="2"/>
  <c r="U138" i="2" s="1"/>
  <c r="T137" i="2"/>
  <c r="V137" i="2" s="1"/>
  <c r="T136" i="2"/>
  <c r="T135" i="2"/>
  <c r="U135" i="2" s="1"/>
  <c r="T134" i="2"/>
  <c r="V134" i="2" s="1"/>
  <c r="T133" i="2"/>
  <c r="V133" i="2" s="1"/>
  <c r="T132" i="2"/>
  <c r="T131" i="2"/>
  <c r="U131" i="2" s="1"/>
  <c r="T130" i="2"/>
  <c r="U130" i="2" s="1"/>
  <c r="T129" i="2"/>
  <c r="V129" i="2" s="1"/>
  <c r="T128" i="2"/>
  <c r="T127" i="2"/>
  <c r="U127" i="2" s="1"/>
  <c r="T126" i="2"/>
  <c r="V126" i="2" s="1"/>
  <c r="T125" i="2"/>
  <c r="V125" i="2" s="1"/>
  <c r="T124" i="2"/>
  <c r="T123" i="2"/>
  <c r="U123" i="2" s="1"/>
  <c r="T122" i="2"/>
  <c r="V122" i="2" s="1"/>
  <c r="T121" i="2"/>
  <c r="V121" i="2" s="1"/>
  <c r="T120" i="2"/>
  <c r="T119" i="2"/>
  <c r="U119" i="2" s="1"/>
  <c r="T118" i="2"/>
  <c r="U118" i="2" s="1"/>
  <c r="T117" i="2"/>
  <c r="V117" i="2" s="1"/>
  <c r="T116" i="2"/>
  <c r="T115" i="2"/>
  <c r="U115" i="2" s="1"/>
  <c r="T114" i="2"/>
  <c r="U114" i="2" s="1"/>
  <c r="T113" i="2"/>
  <c r="V113" i="2" s="1"/>
  <c r="T112" i="2"/>
  <c r="T111" i="2"/>
  <c r="U111" i="2" s="1"/>
  <c r="T110" i="2"/>
  <c r="V110" i="2" s="1"/>
  <c r="T109" i="2"/>
  <c r="V109" i="2" s="1"/>
  <c r="T108" i="2"/>
  <c r="T107" i="2"/>
  <c r="U107" i="2" s="1"/>
  <c r="T106" i="2"/>
  <c r="V106" i="2" s="1"/>
  <c r="T105" i="2"/>
  <c r="V105" i="2" s="1"/>
  <c r="T104" i="2"/>
  <c r="T103" i="2"/>
  <c r="U103" i="2" s="1"/>
  <c r="T102" i="2"/>
  <c r="V102" i="2" s="1"/>
  <c r="T101" i="2"/>
  <c r="V101" i="2" s="1"/>
  <c r="T100" i="2"/>
  <c r="T99" i="2"/>
  <c r="U99" i="2" s="1"/>
  <c r="T98" i="2"/>
  <c r="U98" i="2" s="1"/>
  <c r="T97" i="2"/>
  <c r="V97" i="2" s="1"/>
  <c r="T96" i="2"/>
  <c r="T95" i="2"/>
  <c r="U95" i="2" s="1"/>
  <c r="T94" i="2"/>
  <c r="V94" i="2" s="1"/>
  <c r="T93" i="2"/>
  <c r="V93" i="2" s="1"/>
  <c r="T92" i="2"/>
  <c r="T91" i="2"/>
  <c r="U91" i="2" s="1"/>
  <c r="T90" i="2"/>
  <c r="U90" i="2" s="1"/>
  <c r="T89" i="2"/>
  <c r="V89" i="2" s="1"/>
  <c r="T88" i="2"/>
  <c r="T87" i="2"/>
  <c r="U87" i="2" s="1"/>
  <c r="T86" i="2"/>
  <c r="V86" i="2" s="1"/>
  <c r="T85" i="2"/>
  <c r="V85" i="2" s="1"/>
  <c r="T84" i="2"/>
  <c r="T83" i="2"/>
  <c r="U83" i="2" s="1"/>
  <c r="T82" i="2"/>
  <c r="V82" i="2" s="1"/>
  <c r="T81" i="2"/>
  <c r="V81" i="2" s="1"/>
  <c r="T80" i="2"/>
  <c r="T79" i="2"/>
  <c r="U79" i="2" s="1"/>
  <c r="T78" i="2"/>
  <c r="V78" i="2" s="1"/>
  <c r="T77" i="2"/>
  <c r="V77" i="2" s="1"/>
  <c r="T76" i="2"/>
  <c r="T75" i="2"/>
  <c r="U75" i="2" s="1"/>
  <c r="T74" i="2"/>
  <c r="U74" i="2" s="1"/>
  <c r="T73" i="2"/>
  <c r="V73" i="2" s="1"/>
  <c r="T72" i="2"/>
  <c r="T71" i="2"/>
  <c r="U71" i="2" s="1"/>
  <c r="T69" i="2"/>
  <c r="V69" i="2" s="1"/>
  <c r="T68" i="2"/>
  <c r="V68" i="2" s="1"/>
  <c r="T67" i="2"/>
  <c r="T66" i="2"/>
  <c r="U66" i="2" s="1"/>
  <c r="T65" i="2"/>
  <c r="V65" i="2" s="1"/>
  <c r="T64" i="2"/>
  <c r="V64" i="2" s="1"/>
  <c r="T63" i="2"/>
  <c r="T62" i="2"/>
  <c r="U62" i="2" s="1"/>
  <c r="T61" i="2"/>
  <c r="V61" i="2" s="1"/>
  <c r="V22" i="2" l="1"/>
  <c r="U20" i="2"/>
  <c r="V10" i="2"/>
  <c r="V6" i="2"/>
  <c r="V52" i="2"/>
  <c r="V44" i="2"/>
  <c r="V36" i="2"/>
  <c r="V28" i="2"/>
  <c r="V242" i="2"/>
  <c r="U86" i="2"/>
  <c r="V74" i="2"/>
  <c r="V83" i="2"/>
  <c r="V130" i="2"/>
  <c r="U206" i="2"/>
  <c r="V138" i="2"/>
  <c r="U162" i="2"/>
  <c r="U106" i="2"/>
  <c r="V127" i="2"/>
  <c r="V214" i="2"/>
  <c r="V90" i="2"/>
  <c r="V114" i="2"/>
  <c r="U69" i="2"/>
  <c r="U134" i="2"/>
  <c r="V194" i="2"/>
  <c r="V207" i="2"/>
  <c r="V219" i="2"/>
  <c r="V87" i="2"/>
  <c r="V111" i="2"/>
  <c r="V146" i="2"/>
  <c r="V159" i="2"/>
  <c r="V170" i="2"/>
  <c r="V182" i="2"/>
  <c r="U226" i="2"/>
  <c r="V239" i="2"/>
  <c r="V91" i="2"/>
  <c r="V150" i="2"/>
  <c r="V230" i="2"/>
  <c r="V191" i="2"/>
  <c r="V175" i="2"/>
  <c r="U78" i="2"/>
  <c r="V147" i="2"/>
  <c r="U166" i="2"/>
  <c r="U178" i="2"/>
  <c r="V66" i="2"/>
  <c r="U102" i="2"/>
  <c r="V118" i="2"/>
  <c r="V143" i="2"/>
  <c r="U210" i="2"/>
  <c r="V99" i="2"/>
  <c r="V115" i="2"/>
  <c r="V198" i="2"/>
  <c r="V223" i="2"/>
  <c r="V179" i="2"/>
  <c r="V202" i="2"/>
  <c r="V211" i="2"/>
  <c r="V234" i="2"/>
  <c r="V243" i="2"/>
  <c r="V79" i="2"/>
  <c r="U126" i="2"/>
  <c r="U158" i="2"/>
  <c r="U190" i="2"/>
  <c r="V75" i="2"/>
  <c r="U94" i="2"/>
  <c r="V98" i="2"/>
  <c r="U122" i="2"/>
  <c r="V135" i="2"/>
  <c r="U154" i="2"/>
  <c r="V167" i="2"/>
  <c r="U186" i="2"/>
  <c r="V199" i="2"/>
  <c r="U218" i="2"/>
  <c r="V222" i="2"/>
  <c r="V231" i="2"/>
  <c r="U65" i="2"/>
  <c r="V107" i="2"/>
  <c r="V139" i="2"/>
  <c r="V171" i="2"/>
  <c r="V203" i="2"/>
  <c r="V235" i="2"/>
  <c r="U61" i="2"/>
  <c r="V71" i="2"/>
  <c r="V131" i="2"/>
  <c r="V163" i="2"/>
  <c r="V195" i="2"/>
  <c r="V227" i="2"/>
  <c r="V246" i="2"/>
  <c r="V62" i="2"/>
  <c r="U82" i="2"/>
  <c r="V95" i="2"/>
  <c r="U110" i="2"/>
  <c r="V123" i="2"/>
  <c r="U142" i="2"/>
  <c r="V155" i="2"/>
  <c r="U174" i="2"/>
  <c r="V187" i="2"/>
  <c r="U238" i="2"/>
  <c r="V119" i="2"/>
  <c r="V151" i="2"/>
  <c r="V183" i="2"/>
  <c r="V215" i="2"/>
  <c r="V103" i="2"/>
  <c r="V63" i="2"/>
  <c r="U63" i="2"/>
  <c r="V72" i="2"/>
  <c r="U72" i="2"/>
  <c r="U84" i="2"/>
  <c r="V84" i="2"/>
  <c r="U92" i="2"/>
  <c r="V92" i="2"/>
  <c r="U100" i="2"/>
  <c r="V100" i="2"/>
  <c r="V112" i="2"/>
  <c r="U112" i="2"/>
  <c r="V120" i="2"/>
  <c r="U120" i="2"/>
  <c r="V132" i="2"/>
  <c r="U132" i="2"/>
  <c r="V144" i="2"/>
  <c r="U144" i="2"/>
  <c r="V148" i="2"/>
  <c r="U148" i="2"/>
  <c r="V156" i="2"/>
  <c r="U156" i="2"/>
  <c r="V160" i="2"/>
  <c r="U160" i="2"/>
  <c r="V164" i="2"/>
  <c r="U164" i="2"/>
  <c r="V168" i="2"/>
  <c r="U168" i="2"/>
  <c r="V172" i="2"/>
  <c r="U172" i="2"/>
  <c r="V176" i="2"/>
  <c r="U176" i="2"/>
  <c r="V180" i="2"/>
  <c r="U180" i="2"/>
  <c r="V184" i="2"/>
  <c r="U184" i="2"/>
  <c r="V188" i="2"/>
  <c r="U188" i="2"/>
  <c r="V192" i="2"/>
  <c r="U192" i="2"/>
  <c r="V196" i="2"/>
  <c r="U196" i="2"/>
  <c r="V200" i="2"/>
  <c r="U200" i="2"/>
  <c r="V204" i="2"/>
  <c r="U204" i="2"/>
  <c r="V208" i="2"/>
  <c r="U208" i="2"/>
  <c r="V212" i="2"/>
  <c r="U212" i="2"/>
  <c r="V216" i="2"/>
  <c r="U216" i="2"/>
  <c r="V220" i="2"/>
  <c r="U220" i="2"/>
  <c r="V224" i="2"/>
  <c r="U224" i="2"/>
  <c r="V228" i="2"/>
  <c r="U228" i="2"/>
  <c r="V237" i="2"/>
  <c r="U237" i="2"/>
  <c r="V236" i="2"/>
  <c r="U236" i="2"/>
  <c r="U241" i="2"/>
  <c r="V241" i="2"/>
  <c r="U67" i="2"/>
  <c r="V67" i="2"/>
  <c r="U76" i="2"/>
  <c r="V76" i="2"/>
  <c r="V80" i="2"/>
  <c r="U80" i="2"/>
  <c r="V88" i="2"/>
  <c r="U88" i="2"/>
  <c r="V96" i="2"/>
  <c r="U96" i="2"/>
  <c r="V104" i="2"/>
  <c r="U104" i="2"/>
  <c r="V108" i="2"/>
  <c r="U108" i="2"/>
  <c r="V116" i="2"/>
  <c r="U116" i="2"/>
  <c r="V124" i="2"/>
  <c r="U124" i="2"/>
  <c r="V128" i="2"/>
  <c r="U128" i="2"/>
  <c r="V136" i="2"/>
  <c r="U136" i="2"/>
  <c r="V140" i="2"/>
  <c r="U140" i="2"/>
  <c r="V152" i="2"/>
  <c r="U152" i="2"/>
  <c r="U68" i="2"/>
  <c r="U77" i="2"/>
  <c r="U85" i="2"/>
  <c r="U93" i="2"/>
  <c r="U105" i="2"/>
  <c r="U113" i="2"/>
  <c r="U121" i="2"/>
  <c r="U129" i="2"/>
  <c r="U137" i="2"/>
  <c r="U145" i="2"/>
  <c r="U153" i="2"/>
  <c r="U157" i="2"/>
  <c r="U169" i="2"/>
  <c r="U177" i="2"/>
  <c r="U185" i="2"/>
  <c r="U189" i="2"/>
  <c r="U197" i="2"/>
  <c r="U205" i="2"/>
  <c r="U213" i="2"/>
  <c r="U225" i="2"/>
  <c r="V229" i="2"/>
  <c r="U229" i="2"/>
  <c r="U233" i="2"/>
  <c r="U64" i="2"/>
  <c r="U73" i="2"/>
  <c r="U81" i="2"/>
  <c r="U89" i="2"/>
  <c r="U97" i="2"/>
  <c r="U101" i="2"/>
  <c r="U109" i="2"/>
  <c r="U117" i="2"/>
  <c r="U125" i="2"/>
  <c r="U133" i="2"/>
  <c r="U141" i="2"/>
  <c r="U149" i="2"/>
  <c r="U161" i="2"/>
  <c r="U165" i="2"/>
  <c r="U173" i="2"/>
  <c r="U181" i="2"/>
  <c r="U193" i="2"/>
  <c r="U201" i="2"/>
  <c r="U209" i="2"/>
  <c r="U217" i="2"/>
  <c r="U221" i="2"/>
  <c r="U244" i="2"/>
  <c r="U247" i="2"/>
  <c r="U245" i="2"/>
  <c r="U232" i="2"/>
  <c r="U240" i="2"/>
  <c r="U248" i="2"/>
  <c r="U249" i="2"/>
</calcChain>
</file>

<file path=xl/sharedStrings.xml><?xml version="1.0" encoding="utf-8"?>
<sst xmlns="http://schemas.openxmlformats.org/spreadsheetml/2006/main" count="392" uniqueCount="129">
  <si>
    <t>트렌드 마스터</t>
  </si>
  <si>
    <t>기존 「트렌드 후보 알고리즘 테스트표」의 결과를 가져오는 원본 탭. 이 탭은 키워드 마스터의 trend_id 기준표다.</t>
  </si>
  <si>
    <t>작성 원칙: 1행 = 트렌드 1건. 기존 판정과 최초 확산월 가설을 그대로 유지하고, 키워드 관련 수집·점수는 「키워드 마스터」에서만 한다.</t>
  </si>
  <si>
    <t>trend_id</t>
  </si>
  <si>
    <t>대표 트렌드명</t>
  </si>
  <si>
    <t>유형</t>
  </si>
  <si>
    <t>최초 확산월 가설</t>
  </si>
  <si>
    <t>상태</t>
  </si>
  <si>
    <t>관찰 시작월</t>
  </si>
  <si>
    <t>관찰 종료월</t>
  </si>
  <si>
    <t>판정/검증 메모</t>
  </si>
  <si>
    <t>대표 근거 URL</t>
  </si>
  <si>
    <t>다음 검증</t>
  </si>
  <si>
    <t>두바이 쫀득 쿠키</t>
  </si>
  <si>
    <t>소비·디저트</t>
  </si>
  <si>
    <t>검증 통과</t>
  </si>
  <si>
    <t>두쫀쿠/두바이 쫀득 쿠키 관련 확산과 소비 전환이 확인된 사례.</t>
  </si>
  <si>
    <t>키워드 묶음 1차 확정</t>
  </si>
  <si>
    <t>TR-2023-001</t>
  </si>
  <si>
    <t>탕후루</t>
  </si>
  <si>
    <t>신규 소비 유행으로 확인된 사례.</t>
  </si>
  <si>
    <t>키워드 후보 생성</t>
  </si>
  <si>
    <t>TR-2022-001</t>
  </si>
  <si>
    <t>뉴진스 Hype Boy</t>
  </si>
  <si>
    <t>콘텐츠·IP</t>
  </si>
  <si>
    <t>음원·퍼포먼스 확산형 사례.</t>
  </si>
  <si>
    <t>TR-2022-002</t>
  </si>
  <si>
    <t>러닝 입문</t>
  </si>
  <si>
    <t>라이프스타일</t>
  </si>
  <si>
    <t>당시 SNS·YouTube 근거 수집</t>
  </si>
  <si>
    <t>TR-2024-003</t>
  </si>
  <si>
    <t>붕어빵 지도</t>
  </si>
  <si>
    <t>서비스·계절성</t>
  </si>
  <si>
    <t>제외</t>
  </si>
  <si>
    <t>겨울철 반복 검색 피크가 강한 계절성 사례.</t>
  </si>
  <si>
    <t>제외 규칙 학습용 보관</t>
  </si>
  <si>
    <t>키워드 마스터 — 트렌드명 1건 → 검증 가능한 키워드 묶음</t>
  </si>
  <si>
    <t>1행 = “트렌드 1건 × 후보 키워드 1개”. 노란색 점수 입력칸을 채우면 총점·등급·최종 판정이 계산된다. 예시 행의 점수는 설계 예시이며, 실제 원문·검색 수집 후 교체해야 한다.</t>
  </si>
  <si>
    <t>핵심 게이트: 핵심은 총점 75점 이상 + 문맥 공동언급 17점 이상 + 시간 동조 12점 이상 + 역할이 대표명·별칭/구성요소/제품·형태 중 하나여야 한다. 일반성 감점 12점 이상 또는 계절성 감점 10점 이상이면 우선 제외한다.</t>
  </si>
  <si>
    <t>대표 트렌드</t>
  </si>
  <si>
    <t>후보 키워드</t>
  </si>
  <si>
    <t>역할</t>
  </si>
  <si>
    <t>정규화 키워드</t>
  </si>
  <si>
    <t>별칭 그룹</t>
  </si>
  <si>
    <t>출처 유형</t>
  </si>
  <si>
    <t>근거 URL/ID</t>
  </si>
  <si>
    <t>근거 날짜</t>
  </si>
  <si>
    <t>인용 문맥/메모</t>
  </si>
  <si>
    <t>동시 언급 수</t>
  </si>
  <si>
    <t>확산월 시차(개월)</t>
  </si>
  <si>
    <t>별칭·표기
(0~25)</t>
  </si>
  <si>
    <t>문맥 공동언급
(0~25)</t>
  </si>
  <si>
    <t>시간 동조
(0~20)</t>
  </si>
  <si>
    <t>관계 구체성
(0~15)</t>
  </si>
  <si>
    <t>소비 전환성
(0~15)</t>
  </si>
  <si>
    <t>일반성 감점
(0~20)</t>
  </si>
  <si>
    <t>계절성 감점
(0~15)</t>
  </si>
  <si>
    <t>총점</t>
  </si>
  <si>
    <t>등급</t>
  </si>
  <si>
    <t>최종 판정</t>
  </si>
  <si>
    <t>대표명·별칭</t>
  </si>
  <si>
    <t>두쫀쿠</t>
  </si>
  <si>
    <t>X·YouTube·네이버</t>
  </si>
  <si>
    <t>카다이프</t>
  </si>
  <si>
    <t>구성요소</t>
  </si>
  <si>
    <t>피스타치오 스프레드</t>
  </si>
  <si>
    <t>두바이 초콜릿</t>
  </si>
  <si>
    <t>제품·형태</t>
  </si>
  <si>
    <t>두쫀쿠 품절</t>
  </si>
  <si>
    <t>소비 신호</t>
  </si>
  <si>
    <t>X·기사·커뮤니티</t>
  </si>
  <si>
    <t>유행명+행동 결합. 수요 전환 신호로만 사용.</t>
  </si>
  <si>
    <t>피스타치오</t>
  </si>
  <si>
    <t>다른 디저트·건강식·수입식품 문맥이 많아 단독어는 보류.</t>
  </si>
  <si>
    <t>제외</t>
    <phoneticPr fontId="6" type="noConversion"/>
  </si>
  <si>
    <t>일반 검색 수요·기존 관심과 분리되는 독립 최초 확산 근거 부족</t>
    <phoneticPr fontId="6" type="noConversion"/>
  </si>
  <si>
    <t>TR-2023-001</t>
    <phoneticPr fontId="6" type="noConversion"/>
  </si>
  <si>
    <t>왕가탕후루</t>
  </si>
  <si>
    <t>탕후루 레시피</t>
  </si>
  <si>
    <t>탕후루 만들기</t>
  </si>
  <si>
    <t>딸기탕후루</t>
  </si>
  <si>
    <t>샤인머스캣 탕후루</t>
  </si>
  <si>
    <t>사파이어포도 탕후루</t>
  </si>
  <si>
    <t>확산 맥락</t>
  </si>
  <si>
    <t>네이버·썸트렌드</t>
  </si>
  <si>
    <t>https://letter.wepick.kr/post/3665; https://m.some.co.kr/contents/detail/0BMwdyMp?cornerType=AI_REPORT</t>
  </si>
  <si>
    <t>2023년 5월부터 검색·소셜 관심이 급증했고, 2023년 8월 소셜 언급 증가율이 정점에 가까웠다. 대표 트렌드명이다.</t>
  </si>
  <si>
    <t>네이버·썸트렌드·기사</t>
  </si>
  <si>
    <t>https://www.mk.co.kr/news/business/10793072; https://m.some.co.kr/contents/detail/0BMwdyMp?cornerType=AI_REPORT</t>
  </si>
  <si>
    <t>탕후루 전문 프랜차이즈명이다. 2023년 2월 약 50개였던 매장이 7월 약 300개로 증가했고, 소셜 연관어 순위도 상승했다.</t>
  </si>
  <si>
    <t>네이버·기사</t>
  </si>
  <si>
    <t>https://www.yoons.com/mediaroom/magazine/id/944</t>
  </si>
  <si>
    <t>2023년 유행 시기에 집에서 만드는 탕후루 레시피 콘텐츠가 확인된다. 설탕·물·꼬치와 과일을 이용한 직접 만들기 행동을 보여주는 소비 신호다.</t>
  </si>
  <si>
    <t>https://m.some.co.kr/contents/detail/0BMwdyMp?cornerType=AI_REPORT; https://www.yoons.com/mediaroom/magazine/id/944</t>
  </si>
  <si>
    <t>소셜 분석에서 탕후루와 함께 나타나는 표현으로 ‘탕후루 만들다’가 확인된다. 직접 제작 행동을 나타내는 소비 신호다.</t>
  </si>
  <si>
    <t>https://m.some.co.kr/contents/detail/0BMwdyMp?cornerType=AI_REPORT; https://v.daum.net/v/15MbJgqkTr</t>
  </si>
  <si>
    <t>딸기는 탕후루와의 소셜 연관도가 높다. 다만 데이터랩상 딸기탕후루는 2021~2022년에도 더 큰 피크가 있어 2023년 신규 확산 키워드로 보기 어렵다.</t>
  </si>
  <si>
    <t>샤인머스캣은 2023년 탕후루의 주요 자연물 연관어로 확인된다. 데이터랩에서도 탕후루 급등 구간과 같은 시기에 상승했고, 당시 레시피 재료로도 제시됐다.</t>
  </si>
  <si>
    <t>사파이어는 탕후루의 주요 자연물 연관어로 확인된다. 데이터랩에서 탕후루 급등 시기와 같은 단기 피크가 나타났고, 블랙사파이어 포도 탕후루 상품 형태도 기사에서 확인된다.</t>
  </si>
  <si>
    <t>TR-2025-001</t>
  </si>
  <si>
    <t>두바이쫀득쿠키, 두쫀쿠</t>
  </si>
  <si>
    <t>네이버 데이터랩·기사</t>
  </si>
  <si>
    <t>https://blog.nasmedia.co.kr/entry/2602-lifestyletrend-eat; https://www.harpersbazaar.co.kr/article/1894649</t>
  </si>
  <si>
    <t>2025년 12월부터 확산해 2026년 1월 검색 피크를 보인 대표 트렌드명이다. 피스타치오 스프레드와 카다이프를 마시멜로로 감싼 디저트로 소개된다.</t>
  </si>
  <si>
    <t>‘두쫀쿠’는 두바이 쫀득 쿠키의 널리 쓰인 줄임말이다. 대표어와 같은 2026년 1월 피크를 보여 별칭으로 묶는다.</t>
  </si>
  <si>
    <t>카다이프는 두쫀쿠 속의 바삭한 식감을 만드는 핵심 재료다. 2024년 선행 관심이 있었지만 2026년 1월 두쫀쿠 급등 시점에도 함께 크게 상승했다.</t>
  </si>
  <si>
    <t>피스타치오 스프레드는 두쫀쿠 속재료의 핵심 구성요소다. 이전 관심 구간은 있으나 2026년 1월 대표 트렌드 급등과 같은 시점에 재상승했다.</t>
  </si>
  <si>
    <t>피스타치오는 두쫀쿠 핵심 원재료와 연결되며 2026년 1월 함께 상승했다. 다만 여러 식품에 쓰이는 일반 재료라 단독 핵심·연관 키워드로 확정하지 않고 확인중으로 둔다.</t>
  </si>
  <si>
    <t>두쫀쿠 품절 검색어는 2026년 1월에만 대표 트렌드와 함께 급등했다. 높은 수요, 오픈런, 구매 제한을 보여주는 소비 신호다.</t>
  </si>
  <si>
    <t>두바이 초콜릿은 두쫀쿠의 기원이 된 선행 유행이다. 그래프상 주요 피크가 2024년 7월로 2026년 1월 두쫀쿠 유행과 시차가 커, 이번 트렌드의 연관 키워드에서는 제외한다.</t>
  </si>
  <si>
    <t>TR-2025-001</t>
    <phoneticPr fontId="6" type="noConversion"/>
  </si>
  <si>
    <t>Hype Boy</t>
  </si>
  <si>
    <t>hypeboy, 하입보이, 뉴진스hypeboy</t>
  </si>
  <si>
    <t>네이버 데이터랩·공식 MV·기사</t>
  </si>
  <si>
    <t>https://www.youtube.com/watch?v=S4UEJePR0UE; https://v.daum.net/v/BoL6LqyjNL?f=p</t>
  </si>
  <si>
    <t>뉴진스의 공식 곡명이다. 2022년 7월 뮤직비디오 공개 후 8월 정식 발매됐고, 데이터랩에서 2022년 하반기 급등이 확인된다.</t>
  </si>
  <si>
    <t>하입보이</t>
  </si>
  <si>
    <t>Hype Boy의 한글 표기다. 대표 곡과 같은 2022년 하반기 확산 구간에서 검색량이 상승했으며, 이후 밈·챌린지 확산과 함께 관심이 이어졌다.</t>
  </si>
  <si>
    <t>뉴진스</t>
  </si>
  <si>
    <t>Hype Boy를 부른 아티스트명이다. 곡 공개·확산 시기와 함께 검색이 급등했고, 안무와 숏폼 콘텐츠 확산의 중심 맥락이다.</t>
  </si>
  <si>
    <t>하입보이 챌린지</t>
  </si>
  <si>
    <t>https://v.daum.net/v/BoL6LqyjNL?f=p; https://www.khan.co.kr/article/202301301552001</t>
  </si>
  <si>
    <t>하입보이 포인트 안무를 따라 하는 챌린지 검색어다. 곡의 초기 유행 뒤 숏폼 참여·재생산 행동으로 확산된 소비 신호다.</t>
  </si>
  <si>
    <t>하입보이 안무</t>
  </si>
  <si>
    <t>하입보이의 포인트 안무를 배우고 따라 하려는 검색어다. 2023년 초 상승해 챌린지·숏폼 참여 행동을 보여준다.</t>
  </si>
  <si>
    <t>뉴진스의 하입보이요</t>
  </si>
  <si>
    <t>하입보이요</t>
  </si>
  <si>
    <t>https://www.khan.co.kr/article/202301301552001; https://www.donga.com/news/Society/article/all/20230217/117932983/2</t>
  </si>
  <si>
    <t>길을 묻는 상황 등에 “뉴진스의 하입보이요”라고 답한 뒤 춤추는 숏폼 밈이다. 곡 유행 뒤 2023년 초 별도 피크를 보인 확산 맥락이다.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</si>
</sst>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"/>
    <numFmt numFmtId="177" formatCode="yyyy\-mm\-dd"/>
  </numFmts>
  <fonts count="7">
    <font>
      <sz val="11"/>
      <name val="Carlito"/>
    </font>
    <font>
      <b/>
      <sz val="16"/>
      <color rgb="FFFFFFFF"/>
      <name val="Noto Sans KR"/>
      <family val="3"/>
      <charset val="129"/>
    </font>
    <font>
      <sz val="10"/>
      <color rgb="FF243447"/>
      <name val="Noto Sans KR"/>
      <family val="3"/>
      <charset val="129"/>
    </font>
    <font>
      <sz val="10"/>
      <color rgb="FF51657D"/>
      <name val="Noto Sans KR"/>
      <family val="3"/>
      <charset val="129"/>
    </font>
    <font>
      <b/>
      <sz val="10"/>
      <color rgb="FFFFFFFF"/>
      <name val="Noto Sans KR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F6F9"/>
      </patternFill>
    </fill>
    <fill>
      <patternFill patternType="solid">
        <fgColor rgb="FF2E74B5"/>
      </patternFill>
    </fill>
    <fill>
      <patternFill patternType="solid">
        <fgColor rgb="FFFFF4D6"/>
      </patternFill>
    </fill>
    <fill>
      <patternFill patternType="solid">
        <fgColor rgb="FFEEF4FB"/>
      </patternFill>
    </fill>
  </fills>
  <borders count="2">
    <border>
      <left/>
      <right/>
      <top/>
      <bottom/>
      <diagonal/>
    </border>
    <border>
      <left style="thin">
        <color rgb="FFD2DCE9"/>
      </left>
      <right style="thin">
        <color rgb="FFD2DCE9"/>
      </right>
      <top style="thin">
        <color rgb="FFD2DCE9"/>
      </top>
      <bottom style="thin">
        <color rgb="FFD2DCE9"/>
      </bottom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4" fillId="4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vertical="center" wrapText="1"/>
    </xf>
    <xf numFmtId="176" fontId="2" fillId="0" borderId="1" xfId="1" applyNumberFormat="1" applyFont="1" applyBorder="1" applyAlignment="1">
      <alignment vertical="center" wrapText="1"/>
    </xf>
    <xf numFmtId="177" fontId="2" fillId="0" borderId="1" xfId="1" applyNumberFormat="1" applyFont="1" applyBorder="1" applyAlignment="1">
      <alignment vertical="center" wrapText="1"/>
    </xf>
    <xf numFmtId="177" fontId="0" fillId="0" borderId="0" xfId="1" applyNumberFormat="1" applyFont="1"/>
    <xf numFmtId="1" fontId="2" fillId="0" borderId="1" xfId="1" applyNumberFormat="1" applyFont="1" applyBorder="1" applyAlignment="1">
      <alignment vertical="center" wrapText="1"/>
    </xf>
    <xf numFmtId="1" fontId="0" fillId="0" borderId="0" xfId="1" applyNumberFormat="1" applyFont="1"/>
    <xf numFmtId="1" fontId="2" fillId="5" borderId="1" xfId="1" applyNumberFormat="1" applyFont="1" applyFill="1" applyBorder="1" applyAlignment="1">
      <alignment vertical="center" wrapText="1"/>
    </xf>
    <xf numFmtId="1" fontId="0" fillId="5" borderId="0" xfId="1" applyNumberFormat="1" applyFont="1" applyFill="1"/>
    <xf numFmtId="0" fontId="2" fillId="6" borderId="1" xfId="1" applyFont="1" applyFill="1" applyBorder="1" applyAlignment="1">
      <alignment vertical="center" wrapText="1"/>
    </xf>
    <xf numFmtId="0" fontId="0" fillId="6" borderId="0" xfId="1" applyFont="1" applyFill="1"/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 wrapText="1"/>
    </xf>
    <xf numFmtId="0" fontId="3" fillId="0" borderId="0" xfId="1" applyFont="1" applyAlignment="1">
      <alignment vertical="center" wrapText="1"/>
    </xf>
    <xf numFmtId="0" fontId="2" fillId="0" borderId="0" xfId="1" applyFont="1" applyBorder="1" applyAlignment="1">
      <alignment vertical="center" wrapText="1"/>
    </xf>
    <xf numFmtId="177" fontId="2" fillId="0" borderId="0" xfId="1" applyNumberFormat="1" applyFont="1" applyBorder="1" applyAlignment="1">
      <alignment vertical="center" wrapText="1"/>
    </xf>
    <xf numFmtId="1" fontId="2" fillId="0" borderId="0" xfId="1" applyNumberFormat="1" applyFont="1" applyBorder="1" applyAlignment="1">
      <alignment vertical="center" wrapText="1"/>
    </xf>
    <xf numFmtId="1" fontId="2" fillId="5" borderId="0" xfId="1" applyNumberFormat="1" applyFont="1" applyFill="1" applyBorder="1" applyAlignment="1">
      <alignment vertical="center" wrapText="1"/>
    </xf>
    <xf numFmtId="0" fontId="2" fillId="6" borderId="0" xfId="1" applyFont="1" applyFill="1" applyBorder="1" applyAlignment="1">
      <alignment vertical="center" wrapText="1"/>
    </xf>
    <xf numFmtId="1" fontId="2" fillId="6" borderId="1" xfId="1" applyNumberFormat="1" applyFont="1" applyFill="1" applyBorder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7">
    <dxf>
      <font>
        <b/>
        <color rgb="FF9B1C1C"/>
      </font>
      <fill>
        <patternFill patternType="solid">
          <bgColor rgb="FFFBE7E7"/>
        </patternFill>
      </fill>
    </dxf>
    <dxf>
      <font>
        <b/>
        <color rgb="FF7A5A00"/>
      </font>
      <fill>
        <patternFill patternType="solid">
          <bgColor rgb="FFFFF4D6"/>
        </patternFill>
      </fill>
    </dxf>
    <dxf>
      <font>
        <b/>
        <color rgb="FF17365D"/>
      </font>
      <fill>
        <patternFill patternType="solid">
          <bgColor rgb="FFEAF2FF"/>
        </patternFill>
      </fill>
    </dxf>
    <dxf>
      <font>
        <b/>
        <color rgb="FF1F5E3B"/>
      </font>
      <fill>
        <patternFill patternType="solid">
          <bgColor rgb="FFE3F3E8"/>
        </patternFill>
      </fill>
    </dxf>
    <dxf>
      <font>
        <b/>
        <color rgb="FF9B1C1C"/>
      </font>
      <fill>
        <patternFill patternType="solid">
          <bgColor rgb="FFFBE7E7"/>
        </patternFill>
      </fill>
    </dxf>
    <dxf>
      <font>
        <b/>
        <color rgb="FF7A5A00"/>
      </font>
      <fill>
        <patternFill patternType="solid">
          <bgColor rgb="FFFFF4D6"/>
        </patternFill>
      </fill>
    </dxf>
    <dxf>
      <font>
        <b/>
        <color rgb="FF1F5E3B"/>
      </font>
      <fill>
        <patternFill patternType="solid">
          <bgColor rgb="FFE3F3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endMasterTable" displayName="TrendMasterTable" ref="A5:J10" totalsRowShown="0">
  <tableColumns count="10">
    <tableColumn id="1" xr3:uid="{00000000-0010-0000-0000-000001000000}" name="trend_id"/>
    <tableColumn id="2" xr3:uid="{00000000-0010-0000-0000-000002000000}" name="대표 트렌드명"/>
    <tableColumn id="3" xr3:uid="{00000000-0010-0000-0000-000003000000}" name="유형"/>
    <tableColumn id="4" xr3:uid="{00000000-0010-0000-0000-000004000000}" name="최초 확산월 가설"/>
    <tableColumn id="5" xr3:uid="{00000000-0010-0000-0000-000005000000}" name="상태"/>
    <tableColumn id="6" xr3:uid="{00000000-0010-0000-0000-000006000000}" name="관찰 시작월"/>
    <tableColumn id="7" xr3:uid="{00000000-0010-0000-0000-000007000000}" name="관찰 종료월"/>
    <tableColumn id="8" xr3:uid="{00000000-0010-0000-0000-000008000000}" name="판정/검증 메모"/>
    <tableColumn id="9" xr3:uid="{00000000-0010-0000-0000-000009000000}" name="대표 근거 URL"/>
    <tableColumn id="10" xr3:uid="{00000000-0010-0000-0000-00000A000000}" name="다음 검증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eywordMasterTable" displayName="KeywordMasterTable" ref="A5:V59" totalsRowShown="0">
  <tableColumns count="22">
    <tableColumn id="1" xr3:uid="{00000000-0010-0000-0100-000001000000}" name="trend_id"/>
    <tableColumn id="2" xr3:uid="{00000000-0010-0000-0100-000002000000}" name="대표 트렌드"/>
    <tableColumn id="3" xr3:uid="{00000000-0010-0000-0100-000003000000}" name="후보 키워드"/>
    <tableColumn id="4" xr3:uid="{00000000-0010-0000-0100-000004000000}" name="역할"/>
    <tableColumn id="5" xr3:uid="{00000000-0010-0000-0100-000005000000}" name="정규화 키워드"/>
    <tableColumn id="6" xr3:uid="{00000000-0010-0000-0100-000006000000}" name="별칭 그룹"/>
    <tableColumn id="7" xr3:uid="{00000000-0010-0000-0100-000007000000}" name="출처 유형"/>
    <tableColumn id="8" xr3:uid="{00000000-0010-0000-0100-000008000000}" name="근거 URL/ID"/>
    <tableColumn id="9" xr3:uid="{00000000-0010-0000-0100-000009000000}" name="근거 날짜"/>
    <tableColumn id="10" xr3:uid="{00000000-0010-0000-0100-00000A000000}" name="인용 문맥/메모"/>
    <tableColumn id="11" xr3:uid="{00000000-0010-0000-0100-00000B000000}" name="동시 언급 수"/>
    <tableColumn id="12" xr3:uid="{00000000-0010-0000-0100-00000C000000}" name="확산월 시차(개월)"/>
    <tableColumn id="13" xr3:uid="{00000000-0010-0000-0100-00000D000000}" name="별칭·표기_x000a_(0~25)"/>
    <tableColumn id="14" xr3:uid="{00000000-0010-0000-0100-00000E000000}" name="문맥 공동언급_x000a_(0~25)"/>
    <tableColumn id="15" xr3:uid="{00000000-0010-0000-0100-00000F000000}" name="시간 동조_x000a_(0~20)"/>
    <tableColumn id="16" xr3:uid="{00000000-0010-0000-0100-000010000000}" name="관계 구체성_x000a_(0~15)"/>
    <tableColumn id="17" xr3:uid="{00000000-0010-0000-0100-000011000000}" name="소비 전환성_x000a_(0~15)"/>
    <tableColumn id="18" xr3:uid="{00000000-0010-0000-0100-000012000000}" name="일반성 감점_x000a_(0~20)"/>
    <tableColumn id="19" xr3:uid="{00000000-0010-0000-0100-000013000000}" name="계절성 감점_x000a_(0~15)"/>
    <tableColumn id="20" xr3:uid="{00000000-0010-0000-0100-000014000000}" name="총점"/>
    <tableColumn id="21" xr3:uid="{00000000-0010-0000-0100-000015000000}" name="등급"/>
    <tableColumn id="22" xr3:uid="{00000000-0010-0000-0100-000016000000}" name="최종 판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showGridLines="0" topLeftCell="A4" workbookViewId="0">
      <selection activeCell="D8" sqref="D8"/>
    </sheetView>
  </sheetViews>
  <sheetFormatPr defaultRowHeight="14"/>
  <cols>
    <col min="1" max="1" width="15" customWidth="1"/>
    <col min="2" max="2" width="22" customWidth="1"/>
    <col min="3" max="3" width="16" customWidth="1"/>
    <col min="4" max="4" width="15" customWidth="1"/>
    <col min="5" max="5" width="14" customWidth="1"/>
    <col min="6" max="7" width="13" customWidth="1"/>
    <col min="8" max="8" width="48" customWidth="1"/>
    <col min="9" max="9" width="34" customWidth="1"/>
    <col min="10" max="10" width="26" customWidth="1"/>
  </cols>
  <sheetData>
    <row r="1" spans="1:10" ht="34" customHeight="1">
      <c r="A1" s="12" t="s">
        <v>0</v>
      </c>
      <c r="B1" s="12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0</v>
      </c>
      <c r="H1" s="12" t="s">
        <v>0</v>
      </c>
      <c r="I1" s="12" t="s">
        <v>0</v>
      </c>
      <c r="J1" s="12" t="s">
        <v>0</v>
      </c>
    </row>
    <row r="2" spans="1:10" ht="26" customHeight="1">
      <c r="A2" s="13" t="s">
        <v>1</v>
      </c>
      <c r="B2" s="13" t="s">
        <v>1</v>
      </c>
      <c r="C2" s="13" t="s">
        <v>1</v>
      </c>
      <c r="D2" s="13" t="s">
        <v>1</v>
      </c>
      <c r="E2" s="13" t="s">
        <v>1</v>
      </c>
      <c r="F2" s="13" t="s">
        <v>1</v>
      </c>
      <c r="G2" s="13" t="s">
        <v>1</v>
      </c>
      <c r="H2" s="13" t="s">
        <v>1</v>
      </c>
      <c r="I2" s="13" t="s">
        <v>1</v>
      </c>
      <c r="J2" s="13" t="s">
        <v>1</v>
      </c>
    </row>
    <row r="3" spans="1:10" ht="24" customHeight="1">
      <c r="A3" s="14" t="s">
        <v>2</v>
      </c>
      <c r="B3" s="14" t="s">
        <v>2</v>
      </c>
      <c r="C3" s="14" t="s">
        <v>2</v>
      </c>
      <c r="D3" s="14" t="s">
        <v>2</v>
      </c>
      <c r="E3" s="14" t="s">
        <v>2</v>
      </c>
      <c r="F3" s="14" t="s">
        <v>2</v>
      </c>
      <c r="G3" s="14" t="s">
        <v>2</v>
      </c>
      <c r="H3" s="14" t="s">
        <v>2</v>
      </c>
      <c r="I3" s="14" t="s">
        <v>2</v>
      </c>
      <c r="J3" s="14" t="s">
        <v>2</v>
      </c>
    </row>
    <row r="5" spans="1:10" ht="30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</row>
    <row r="6" spans="1:10" ht="28" customHeight="1">
      <c r="A6" s="2" t="s">
        <v>110</v>
      </c>
      <c r="B6" s="2" t="s">
        <v>13</v>
      </c>
      <c r="C6" s="2" t="s">
        <v>14</v>
      </c>
      <c r="D6" s="3">
        <v>45992</v>
      </c>
      <c r="E6" s="2" t="s">
        <v>15</v>
      </c>
      <c r="F6" s="3">
        <v>46023</v>
      </c>
      <c r="G6" s="3">
        <v>46054</v>
      </c>
      <c r="H6" s="2" t="s">
        <v>16</v>
      </c>
      <c r="I6" s="2"/>
      <c r="J6" s="2" t="s">
        <v>17</v>
      </c>
    </row>
    <row r="7" spans="1:10" ht="28" customHeight="1">
      <c r="A7" s="2" t="s">
        <v>76</v>
      </c>
      <c r="B7" s="2" t="s">
        <v>19</v>
      </c>
      <c r="C7" s="2" t="s">
        <v>14</v>
      </c>
      <c r="D7" s="3">
        <v>45047</v>
      </c>
      <c r="E7" s="2" t="s">
        <v>15</v>
      </c>
      <c r="F7" s="3">
        <v>45078</v>
      </c>
      <c r="G7" s="3">
        <v>45323</v>
      </c>
      <c r="H7" s="2" t="s">
        <v>20</v>
      </c>
      <c r="I7" s="2"/>
      <c r="J7" s="2" t="s">
        <v>21</v>
      </c>
    </row>
    <row r="8" spans="1:10" ht="28" customHeight="1">
      <c r="A8" s="2" t="s">
        <v>22</v>
      </c>
      <c r="B8" s="2" t="s">
        <v>23</v>
      </c>
      <c r="C8" s="2" t="s">
        <v>24</v>
      </c>
      <c r="D8" s="3">
        <v>44774</v>
      </c>
      <c r="E8" s="2" t="s">
        <v>15</v>
      </c>
      <c r="F8" s="3">
        <v>44743</v>
      </c>
      <c r="G8" s="3">
        <v>44896</v>
      </c>
      <c r="H8" s="2" t="s">
        <v>25</v>
      </c>
      <c r="I8" s="2"/>
      <c r="J8" s="2" t="s">
        <v>21</v>
      </c>
    </row>
    <row r="9" spans="1:10" ht="28" customHeight="1">
      <c r="A9" s="2" t="s">
        <v>26</v>
      </c>
      <c r="B9" s="2" t="s">
        <v>27</v>
      </c>
      <c r="C9" s="2" t="s">
        <v>28</v>
      </c>
      <c r="D9" s="3">
        <v>44682</v>
      </c>
      <c r="E9" s="2" t="s">
        <v>74</v>
      </c>
      <c r="F9" s="3">
        <v>44621</v>
      </c>
      <c r="G9" s="3">
        <v>44835</v>
      </c>
      <c r="H9" s="2" t="s">
        <v>75</v>
      </c>
      <c r="I9" s="2"/>
      <c r="J9" s="2" t="s">
        <v>29</v>
      </c>
    </row>
    <row r="10" spans="1:10" ht="28" customHeight="1">
      <c r="A10" s="2" t="s">
        <v>30</v>
      </c>
      <c r="B10" s="2" t="s">
        <v>31</v>
      </c>
      <c r="C10" s="2" t="s">
        <v>32</v>
      </c>
      <c r="D10" s="3">
        <v>45597</v>
      </c>
      <c r="E10" s="2" t="s">
        <v>33</v>
      </c>
      <c r="F10" s="3">
        <v>44105</v>
      </c>
      <c r="G10" s="3">
        <v>45689</v>
      </c>
      <c r="H10" s="2" t="s">
        <v>34</v>
      </c>
      <c r="I10" s="2"/>
      <c r="J10" s="2" t="s">
        <v>35</v>
      </c>
    </row>
  </sheetData>
  <mergeCells count="3">
    <mergeCell ref="A1:J1"/>
    <mergeCell ref="A2:J2"/>
    <mergeCell ref="A3:J3"/>
  </mergeCells>
  <phoneticPr fontId="6" type="noConversion"/>
  <conditionalFormatting sqref="E6:E200">
    <cfRule type="containsText" dxfId="6" priority="1" operator="containsText" text="검증 통과"/>
    <cfRule type="containsText" dxfId="5" priority="2" operator="containsText" text="확인중"/>
    <cfRule type="containsText" dxfId="4" priority="3" operator="containsText" text="제외"/>
  </conditionalFormatting>
  <dataValidations count="1">
    <dataValidation type="list" sqref="E6:E200" xr:uid="{00000000-0002-0000-0000-000000000000}">
      <formula1>"검증 통과,확인중,제외"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49"/>
  <sheetViews>
    <sheetView showGridLines="0" tabSelected="1" topLeftCell="Q19" workbookViewId="0">
      <selection activeCell="S25" sqref="S25"/>
    </sheetView>
  </sheetViews>
  <sheetFormatPr defaultRowHeight="14"/>
  <cols>
    <col min="1" max="1" width="15" customWidth="1"/>
    <col min="2" max="3" width="20" customWidth="1"/>
    <col min="4" max="4" width="16" customWidth="1"/>
    <col min="5" max="5" width="20" customWidth="1"/>
    <col min="6" max="6" width="16" customWidth="1"/>
    <col min="7" max="7" width="17" customWidth="1"/>
    <col min="8" max="8" width="25" customWidth="1"/>
    <col min="9" max="9" width="14" customWidth="1"/>
    <col min="10" max="10" width="42" customWidth="1"/>
    <col min="11" max="11" width="13" customWidth="1"/>
    <col min="12" max="12" width="16" customWidth="1"/>
    <col min="13" max="19" width="12" customWidth="1"/>
    <col min="20" max="20" width="10" customWidth="1"/>
    <col min="21" max="22" width="12" customWidth="1"/>
  </cols>
  <sheetData>
    <row r="1" spans="1:22" ht="34" customHeight="1">
      <c r="A1" s="12" t="s">
        <v>36</v>
      </c>
      <c r="B1" s="12" t="s">
        <v>36</v>
      </c>
      <c r="C1" s="12" t="s">
        <v>36</v>
      </c>
      <c r="D1" s="12" t="s">
        <v>36</v>
      </c>
      <c r="E1" s="12" t="s">
        <v>36</v>
      </c>
      <c r="F1" s="12" t="s">
        <v>36</v>
      </c>
      <c r="G1" s="12" t="s">
        <v>36</v>
      </c>
      <c r="H1" s="12" t="s">
        <v>36</v>
      </c>
      <c r="I1" s="12" t="s">
        <v>36</v>
      </c>
      <c r="J1" s="12" t="s">
        <v>36</v>
      </c>
      <c r="K1" s="12" t="s">
        <v>36</v>
      </c>
      <c r="L1" s="12" t="s">
        <v>36</v>
      </c>
      <c r="M1" s="12" t="s">
        <v>36</v>
      </c>
      <c r="N1" s="12" t="s">
        <v>36</v>
      </c>
      <c r="O1" s="12" t="s">
        <v>36</v>
      </c>
      <c r="P1" s="12" t="s">
        <v>36</v>
      </c>
      <c r="Q1" s="12" t="s">
        <v>36</v>
      </c>
      <c r="R1" s="12" t="s">
        <v>36</v>
      </c>
      <c r="S1" s="12" t="s">
        <v>36</v>
      </c>
      <c r="T1" s="12" t="s">
        <v>36</v>
      </c>
      <c r="U1" s="12" t="s">
        <v>36</v>
      </c>
      <c r="V1" s="12" t="s">
        <v>36</v>
      </c>
    </row>
    <row r="2" spans="1:22" ht="30" customHeight="1">
      <c r="A2" s="13" t="s">
        <v>37</v>
      </c>
      <c r="B2" s="13" t="s">
        <v>37</v>
      </c>
      <c r="C2" s="13" t="s">
        <v>37</v>
      </c>
      <c r="D2" s="13" t="s">
        <v>37</v>
      </c>
      <c r="E2" s="13" t="s">
        <v>37</v>
      </c>
      <c r="F2" s="13" t="s">
        <v>37</v>
      </c>
      <c r="G2" s="13" t="s">
        <v>37</v>
      </c>
      <c r="H2" s="13" t="s">
        <v>37</v>
      </c>
      <c r="I2" s="13" t="s">
        <v>37</v>
      </c>
      <c r="J2" s="13" t="s">
        <v>37</v>
      </c>
      <c r="K2" s="13" t="s">
        <v>37</v>
      </c>
      <c r="L2" s="13" t="s">
        <v>37</v>
      </c>
      <c r="M2" s="13" t="s">
        <v>37</v>
      </c>
      <c r="N2" s="13" t="s">
        <v>37</v>
      </c>
      <c r="O2" s="13" t="s">
        <v>37</v>
      </c>
      <c r="P2" s="13" t="s">
        <v>37</v>
      </c>
      <c r="Q2" s="13" t="s">
        <v>37</v>
      </c>
      <c r="R2" s="13" t="s">
        <v>37</v>
      </c>
      <c r="S2" s="13" t="s">
        <v>37</v>
      </c>
      <c r="T2" s="13" t="s">
        <v>37</v>
      </c>
      <c r="U2" s="13" t="s">
        <v>37</v>
      </c>
      <c r="V2" s="13" t="s">
        <v>37</v>
      </c>
    </row>
    <row r="3" spans="1:22" ht="28" customHeight="1">
      <c r="A3" s="14" t="s">
        <v>38</v>
      </c>
      <c r="B3" s="14" t="s">
        <v>38</v>
      </c>
      <c r="C3" s="14" t="s">
        <v>38</v>
      </c>
      <c r="D3" s="14" t="s">
        <v>38</v>
      </c>
      <c r="E3" s="14" t="s">
        <v>38</v>
      </c>
      <c r="F3" s="14" t="s">
        <v>38</v>
      </c>
      <c r="G3" s="14" t="s">
        <v>38</v>
      </c>
      <c r="H3" s="14" t="s">
        <v>38</v>
      </c>
      <c r="I3" s="14" t="s">
        <v>38</v>
      </c>
      <c r="J3" s="14" t="s">
        <v>38</v>
      </c>
      <c r="K3" s="14" t="s">
        <v>38</v>
      </c>
      <c r="L3" s="14" t="s">
        <v>38</v>
      </c>
      <c r="M3" s="14" t="s">
        <v>38</v>
      </c>
      <c r="N3" s="14" t="s">
        <v>38</v>
      </c>
      <c r="O3" s="14" t="s">
        <v>38</v>
      </c>
      <c r="P3" s="14" t="s">
        <v>38</v>
      </c>
      <c r="Q3" s="14" t="s">
        <v>38</v>
      </c>
      <c r="R3" s="14" t="s">
        <v>38</v>
      </c>
      <c r="S3" s="14" t="s">
        <v>38</v>
      </c>
      <c r="T3" s="14" t="s">
        <v>38</v>
      </c>
      <c r="U3" s="14" t="s">
        <v>38</v>
      </c>
      <c r="V3" s="14" t="s">
        <v>38</v>
      </c>
    </row>
    <row r="5" spans="1:22" ht="30" customHeight="1">
      <c r="A5" s="1" t="s">
        <v>3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46</v>
      </c>
      <c r="J5" s="1" t="s">
        <v>47</v>
      </c>
      <c r="K5" s="1" t="s">
        <v>48</v>
      </c>
      <c r="L5" s="1" t="s">
        <v>49</v>
      </c>
      <c r="M5" s="1" t="s">
        <v>50</v>
      </c>
      <c r="N5" s="1" t="s">
        <v>51</v>
      </c>
      <c r="O5" s="1" t="s">
        <v>52</v>
      </c>
      <c r="P5" s="1" t="s">
        <v>53</v>
      </c>
      <c r="Q5" s="1" t="s">
        <v>54</v>
      </c>
      <c r="R5" s="1" t="s">
        <v>55</v>
      </c>
      <c r="S5" s="1" t="s">
        <v>56</v>
      </c>
      <c r="T5" s="1" t="s">
        <v>57</v>
      </c>
      <c r="U5" s="1" t="s">
        <v>58</v>
      </c>
      <c r="V5" s="1" t="s">
        <v>59</v>
      </c>
    </row>
    <row r="6" spans="1:22" ht="28" customHeight="1">
      <c r="A6" s="2" t="s">
        <v>110</v>
      </c>
      <c r="B6" s="2" t="s">
        <v>13</v>
      </c>
      <c r="C6" s="2" t="s">
        <v>13</v>
      </c>
      <c r="D6" s="2" t="s">
        <v>60</v>
      </c>
      <c r="E6" s="2" t="s">
        <v>13</v>
      </c>
      <c r="F6" s="2" t="s">
        <v>100</v>
      </c>
      <c r="G6" s="2" t="s">
        <v>101</v>
      </c>
      <c r="H6" s="2" t="s">
        <v>102</v>
      </c>
      <c r="I6" s="4">
        <v>46024</v>
      </c>
      <c r="J6" s="2" t="s">
        <v>103</v>
      </c>
      <c r="K6" s="2"/>
      <c r="L6" s="6">
        <v>0</v>
      </c>
      <c r="M6" s="8">
        <v>25</v>
      </c>
      <c r="N6" s="8">
        <v>25</v>
      </c>
      <c r="O6" s="8">
        <v>20</v>
      </c>
      <c r="P6" s="8">
        <v>15</v>
      </c>
      <c r="Q6" s="8">
        <v>15</v>
      </c>
      <c r="R6" s="8">
        <v>0</v>
      </c>
      <c r="S6" s="8">
        <v>0</v>
      </c>
      <c r="T6" s="20">
        <f>SUM(M6:Q6)-R6-S6</f>
        <v>100</v>
      </c>
      <c r="U6" s="10" t="str">
        <f>IF(OR(R6&gt;=12,S6&gt;=10,T6&lt;45),"제외",IF(T6&gt;=75,"핵심",IF(T6&gt;=60,"연관",IF(T6&gt;=55,"소비 신호","확인중"))))</f>
        <v>핵심</v>
      </c>
      <c r="V6" s="10" t="str">
        <f>IF(OR(R6&gt;=12,S6&gt;=10,T6&lt;45),"제외",IF(AND(T6&gt;=75,N6&gt;=17,O6&gt;=12,OR(D6="대표명·별칭",D6="구성요소",D6="제품·형태")),"핵심",IF(AND(D6="소비 신호",T6&gt;=55,P6&gt;=1),"소비 신호",IF(AND(T6&gt;=60,P6&gt;=1),"연관","확인중"))))</f>
        <v>핵심</v>
      </c>
    </row>
    <row r="7" spans="1:22" ht="28" customHeight="1">
      <c r="A7" s="2" t="s">
        <v>99</v>
      </c>
      <c r="B7" s="2" t="s">
        <v>13</v>
      </c>
      <c r="C7" s="2" t="s">
        <v>61</v>
      </c>
      <c r="D7" s="2" t="s">
        <v>60</v>
      </c>
      <c r="E7" s="2" t="s">
        <v>61</v>
      </c>
      <c r="F7" s="2" t="s">
        <v>100</v>
      </c>
      <c r="G7" s="2" t="s">
        <v>101</v>
      </c>
      <c r="H7" s="2" t="s">
        <v>102</v>
      </c>
      <c r="I7" s="4">
        <v>46024</v>
      </c>
      <c r="J7" s="2" t="s">
        <v>104</v>
      </c>
      <c r="K7" s="2"/>
      <c r="L7" s="6">
        <v>0</v>
      </c>
      <c r="M7" s="8">
        <v>25</v>
      </c>
      <c r="N7" s="8">
        <v>25</v>
      </c>
      <c r="O7" s="8">
        <v>20</v>
      </c>
      <c r="P7" s="8">
        <v>15</v>
      </c>
      <c r="Q7" s="8">
        <v>10</v>
      </c>
      <c r="R7" s="8">
        <v>0</v>
      </c>
      <c r="S7" s="8">
        <v>0</v>
      </c>
      <c r="T7" s="20">
        <f t="shared" ref="T7:T12" si="0">SUM(M7:Q7)-R7-S7</f>
        <v>95</v>
      </c>
      <c r="U7" s="10" t="str">
        <f t="shared" ref="U7:U12" si="1">IF(OR(R7&gt;=12,S7&gt;=10,T7&lt;45),"제외",IF(T7&gt;=75,"핵심",IF(T7&gt;=60,"연관",IF(T7&gt;=55,"소비 신호","확인중"))))</f>
        <v>핵심</v>
      </c>
      <c r="V7" s="10" t="str">
        <f t="shared" ref="V7:V12" si="2">IF(OR(R7&gt;=12,S7&gt;=10,T7&lt;45),"제외",IF(AND(T7&gt;=75,N7&gt;=17,O7&gt;=12,OR(D7="대표명·별칭",D7="구성요소",D7="제품·형태")),"핵심",IF(AND(D7="소비 신호",T7&gt;=55,P7&gt;=1),"소비 신호",IF(AND(T7&gt;=60,P7&gt;=1),"연관","확인중"))))</f>
        <v>핵심</v>
      </c>
    </row>
    <row r="8" spans="1:22" ht="28" customHeight="1">
      <c r="A8" s="2" t="s">
        <v>99</v>
      </c>
      <c r="B8" s="2" t="s">
        <v>13</v>
      </c>
      <c r="C8" s="2" t="s">
        <v>63</v>
      </c>
      <c r="D8" s="2" t="s">
        <v>64</v>
      </c>
      <c r="E8" s="2" t="s">
        <v>63</v>
      </c>
      <c r="F8" s="2"/>
      <c r="G8" s="2" t="s">
        <v>101</v>
      </c>
      <c r="H8" s="2" t="s">
        <v>102</v>
      </c>
      <c r="I8" s="4">
        <v>46024</v>
      </c>
      <c r="J8" s="2" t="s">
        <v>105</v>
      </c>
      <c r="K8" s="2"/>
      <c r="L8" s="6">
        <v>0</v>
      </c>
      <c r="M8" s="8">
        <v>0</v>
      </c>
      <c r="N8" s="8">
        <v>20</v>
      </c>
      <c r="O8" s="8">
        <v>19</v>
      </c>
      <c r="P8" s="8">
        <v>15</v>
      </c>
      <c r="Q8" s="8">
        <v>12</v>
      </c>
      <c r="R8" s="8">
        <v>3</v>
      </c>
      <c r="S8" s="8">
        <v>0</v>
      </c>
      <c r="T8" s="20">
        <f t="shared" si="0"/>
        <v>63</v>
      </c>
      <c r="U8" s="10" t="str">
        <f t="shared" si="1"/>
        <v>연관</v>
      </c>
      <c r="V8" s="10" t="str">
        <f t="shared" si="2"/>
        <v>연관</v>
      </c>
    </row>
    <row r="9" spans="1:22" ht="28" customHeight="1">
      <c r="A9" s="2" t="s">
        <v>99</v>
      </c>
      <c r="B9" s="2" t="s">
        <v>13</v>
      </c>
      <c r="C9" s="2" t="s">
        <v>65</v>
      </c>
      <c r="D9" s="2" t="s">
        <v>64</v>
      </c>
      <c r="E9" s="2" t="s">
        <v>65</v>
      </c>
      <c r="F9" s="2"/>
      <c r="G9" s="2" t="s">
        <v>101</v>
      </c>
      <c r="H9" s="2" t="s">
        <v>102</v>
      </c>
      <c r="I9" s="4">
        <v>46024</v>
      </c>
      <c r="J9" s="2" t="s">
        <v>106</v>
      </c>
      <c r="K9" s="2"/>
      <c r="L9" s="6">
        <v>0</v>
      </c>
      <c r="M9" s="8">
        <v>0</v>
      </c>
      <c r="N9" s="8">
        <v>20</v>
      </c>
      <c r="O9" s="8">
        <v>19</v>
      </c>
      <c r="P9" s="8">
        <v>15</v>
      </c>
      <c r="Q9" s="8">
        <v>12</v>
      </c>
      <c r="R9" s="8">
        <v>4</v>
      </c>
      <c r="S9" s="8">
        <v>0</v>
      </c>
      <c r="T9" s="20">
        <f t="shared" si="0"/>
        <v>62</v>
      </c>
      <c r="U9" s="10" t="str">
        <f t="shared" si="1"/>
        <v>연관</v>
      </c>
      <c r="V9" s="10" t="str">
        <f t="shared" si="2"/>
        <v>연관</v>
      </c>
    </row>
    <row r="10" spans="1:22" ht="28" customHeight="1">
      <c r="A10" s="2" t="s">
        <v>99</v>
      </c>
      <c r="B10" s="2" t="s">
        <v>13</v>
      </c>
      <c r="C10" s="2" t="s">
        <v>72</v>
      </c>
      <c r="D10" s="2" t="s">
        <v>64</v>
      </c>
      <c r="E10" s="2" t="s">
        <v>72</v>
      </c>
      <c r="F10" s="2"/>
      <c r="G10" s="2" t="s">
        <v>101</v>
      </c>
      <c r="H10" s="2" t="s">
        <v>102</v>
      </c>
      <c r="I10" s="4">
        <v>46024</v>
      </c>
      <c r="J10" s="2" t="s">
        <v>107</v>
      </c>
      <c r="K10" s="2"/>
      <c r="L10" s="6">
        <v>0</v>
      </c>
      <c r="M10" s="8">
        <v>0</v>
      </c>
      <c r="N10" s="8">
        <v>18</v>
      </c>
      <c r="O10" s="8">
        <v>17</v>
      </c>
      <c r="P10" s="8">
        <v>12</v>
      </c>
      <c r="Q10" s="8">
        <v>10</v>
      </c>
      <c r="R10" s="8">
        <v>10</v>
      </c>
      <c r="S10" s="8">
        <v>0</v>
      </c>
      <c r="T10" s="20">
        <f t="shared" si="0"/>
        <v>47</v>
      </c>
      <c r="U10" s="10" t="str">
        <f t="shared" si="1"/>
        <v>확인중</v>
      </c>
      <c r="V10" s="10" t="str">
        <f t="shared" si="2"/>
        <v>확인중</v>
      </c>
    </row>
    <row r="11" spans="1:22" ht="28" customHeight="1">
      <c r="A11" s="2" t="s">
        <v>99</v>
      </c>
      <c r="B11" s="2" t="s">
        <v>13</v>
      </c>
      <c r="C11" s="2" t="s">
        <v>68</v>
      </c>
      <c r="D11" s="2" t="s">
        <v>69</v>
      </c>
      <c r="E11" s="2" t="s">
        <v>68</v>
      </c>
      <c r="F11" s="2"/>
      <c r="G11" s="2" t="s">
        <v>101</v>
      </c>
      <c r="H11" s="2" t="s">
        <v>102</v>
      </c>
      <c r="I11" s="4">
        <v>46024</v>
      </c>
      <c r="J11" s="2" t="s">
        <v>108</v>
      </c>
      <c r="K11" s="2"/>
      <c r="L11" s="6">
        <v>0</v>
      </c>
      <c r="M11" s="8">
        <v>0</v>
      </c>
      <c r="N11" s="8">
        <v>20</v>
      </c>
      <c r="O11" s="8">
        <v>20</v>
      </c>
      <c r="P11" s="8">
        <v>15</v>
      </c>
      <c r="Q11" s="8">
        <v>15</v>
      </c>
      <c r="R11" s="8">
        <v>2</v>
      </c>
      <c r="S11" s="8">
        <v>0</v>
      </c>
      <c r="T11" s="20">
        <f t="shared" si="0"/>
        <v>68</v>
      </c>
      <c r="U11" s="10" t="str">
        <f t="shared" si="1"/>
        <v>연관</v>
      </c>
      <c r="V11" s="10" t="str">
        <f t="shared" si="2"/>
        <v>소비 신호</v>
      </c>
    </row>
    <row r="12" spans="1:22" ht="28" customHeight="1">
      <c r="A12" s="2" t="s">
        <v>99</v>
      </c>
      <c r="B12" s="2" t="s">
        <v>13</v>
      </c>
      <c r="C12" s="2" t="s">
        <v>66</v>
      </c>
      <c r="D12" s="2" t="s">
        <v>83</v>
      </c>
      <c r="E12" s="2" t="s">
        <v>66</v>
      </c>
      <c r="F12" s="2"/>
      <c r="G12" s="2" t="s">
        <v>101</v>
      </c>
      <c r="H12" s="2" t="s">
        <v>102</v>
      </c>
      <c r="I12" s="4">
        <v>46024</v>
      </c>
      <c r="J12" s="2" t="s">
        <v>109</v>
      </c>
      <c r="K12" s="2"/>
      <c r="L12" s="6">
        <v>-18</v>
      </c>
      <c r="M12" s="8">
        <v>0</v>
      </c>
      <c r="N12" s="8">
        <v>22</v>
      </c>
      <c r="O12" s="8">
        <v>0</v>
      </c>
      <c r="P12" s="8">
        <v>15</v>
      </c>
      <c r="Q12" s="8">
        <v>10</v>
      </c>
      <c r="R12" s="8">
        <v>3</v>
      </c>
      <c r="S12" s="8">
        <v>0</v>
      </c>
      <c r="T12" s="20">
        <f t="shared" si="0"/>
        <v>44</v>
      </c>
      <c r="U12" s="10" t="str">
        <f t="shared" si="1"/>
        <v>제외</v>
      </c>
      <c r="V12" s="10" t="str">
        <f t="shared" si="2"/>
        <v>제외</v>
      </c>
    </row>
    <row r="13" spans="1:22" ht="28" customHeight="1">
      <c r="A13" s="2" t="s">
        <v>18</v>
      </c>
      <c r="B13" s="2" t="s">
        <v>19</v>
      </c>
      <c r="C13" s="2" t="s">
        <v>19</v>
      </c>
      <c r="D13" s="2" t="s">
        <v>60</v>
      </c>
      <c r="E13" s="2" t="s">
        <v>19</v>
      </c>
      <c r="F13" s="2" t="s">
        <v>19</v>
      </c>
      <c r="G13" s="2" t="s">
        <v>84</v>
      </c>
      <c r="H13" s="2" t="s">
        <v>85</v>
      </c>
      <c r="I13" s="4">
        <v>45223</v>
      </c>
      <c r="J13" s="2" t="s">
        <v>86</v>
      </c>
      <c r="K13" s="2"/>
      <c r="L13" s="6">
        <v>0</v>
      </c>
      <c r="M13" s="8">
        <v>25</v>
      </c>
      <c r="N13" s="8">
        <v>25</v>
      </c>
      <c r="O13" s="8">
        <v>20</v>
      </c>
      <c r="P13" s="8">
        <v>15</v>
      </c>
      <c r="Q13" s="8">
        <v>15</v>
      </c>
      <c r="R13" s="8">
        <v>0</v>
      </c>
      <c r="S13" s="8">
        <v>0</v>
      </c>
      <c r="T13" s="20">
        <f>SUM(M13:Q13)-R13-S13</f>
        <v>100</v>
      </c>
      <c r="U13" s="10" t="str">
        <f>IF(T13&gt;=75,"핵심",IF(T13&gt;=60,"연관",IF(T13&gt;=55,"소비 신호",IF(T13&gt;=45,"확인중","제외"))))</f>
        <v>핵심</v>
      </c>
      <c r="V13" s="10" t="str">
        <f>IF(OR(R13&gt;=12,S13&gt;=10,T13&lt;45),"제외",IF(AND(T13&gt;=75,N13&gt;=17,O13&gt;=12,OR(D13="대표명·별칭",D13="구성요소",D13="제품·형태")),"핵심",IF(AND(D13="소비 신호",T13&gt;=55,P13&gt;=1),"소비 신호",IF(AND(T13&gt;=60,P13&gt;=1),"연관","확인중"))))</f>
        <v>핵심</v>
      </c>
    </row>
    <row r="14" spans="1:22" ht="28" customHeight="1">
      <c r="A14" s="2" t="s">
        <v>18</v>
      </c>
      <c r="B14" s="2" t="s">
        <v>19</v>
      </c>
      <c r="C14" s="2" t="s">
        <v>77</v>
      </c>
      <c r="D14" s="2" t="s">
        <v>83</v>
      </c>
      <c r="E14" s="2" t="s">
        <v>77</v>
      </c>
      <c r="F14" s="2"/>
      <c r="G14" s="2" t="s">
        <v>87</v>
      </c>
      <c r="H14" s="2" t="s">
        <v>88</v>
      </c>
      <c r="I14" s="4">
        <v>45132</v>
      </c>
      <c r="J14" s="2" t="s">
        <v>89</v>
      </c>
      <c r="K14" s="2"/>
      <c r="L14" s="6">
        <v>0</v>
      </c>
      <c r="M14" s="8">
        <v>0</v>
      </c>
      <c r="N14" s="8">
        <v>22</v>
      </c>
      <c r="O14" s="8">
        <v>20</v>
      </c>
      <c r="P14" s="8">
        <v>15</v>
      </c>
      <c r="Q14" s="8">
        <v>15</v>
      </c>
      <c r="R14" s="8">
        <v>1</v>
      </c>
      <c r="S14" s="8">
        <v>0</v>
      </c>
      <c r="T14" s="20">
        <f t="shared" ref="T14:T19" si="3">SUM(M14:Q14)-R14-S14</f>
        <v>71</v>
      </c>
      <c r="U14" s="10" t="str">
        <f t="shared" ref="U14:U19" si="4">IF(T14&gt;=75,"핵심",IF(T14&gt;=60,"연관",IF(T14&gt;=55,"소비 신호",IF(T14&gt;=45,"확인중","제외"))))</f>
        <v>연관</v>
      </c>
      <c r="V14" s="10" t="str">
        <f t="shared" ref="V14:V19" si="5">IF(OR(R14&gt;=12,S14&gt;=10,T14&lt;45),"제외",IF(AND(T14&gt;=75,N14&gt;=17,O14&gt;=12,OR(D14="대표명·별칭",D14="구성요소",D14="제품·형태")),"핵심",IF(AND(D14="소비 신호",T14&gt;=55,P14&gt;=1),"소비 신호",IF(AND(T14&gt;=60,P14&gt;=1),"연관","확인중"))))</f>
        <v>연관</v>
      </c>
    </row>
    <row r="15" spans="1:22" ht="28" customHeight="1">
      <c r="A15" s="2" t="s">
        <v>18</v>
      </c>
      <c r="B15" s="2" t="s">
        <v>19</v>
      </c>
      <c r="C15" s="2" t="s">
        <v>78</v>
      </c>
      <c r="D15" s="2" t="s">
        <v>69</v>
      </c>
      <c r="E15" s="2" t="s">
        <v>78</v>
      </c>
      <c r="F15" s="2"/>
      <c r="G15" s="2" t="s">
        <v>90</v>
      </c>
      <c r="H15" s="2" t="s">
        <v>91</v>
      </c>
      <c r="I15" s="4">
        <v>45176</v>
      </c>
      <c r="J15" s="2" t="s">
        <v>92</v>
      </c>
      <c r="K15" s="2"/>
      <c r="L15" s="6">
        <v>0</v>
      </c>
      <c r="M15" s="8">
        <v>0</v>
      </c>
      <c r="N15" s="8">
        <v>14</v>
      </c>
      <c r="O15" s="8">
        <v>20</v>
      </c>
      <c r="P15" s="8">
        <v>15</v>
      </c>
      <c r="Q15" s="8">
        <v>15</v>
      </c>
      <c r="R15" s="8">
        <v>3</v>
      </c>
      <c r="S15" s="8">
        <v>1</v>
      </c>
      <c r="T15" s="20">
        <f t="shared" si="3"/>
        <v>60</v>
      </c>
      <c r="U15" s="10" t="str">
        <f t="shared" si="4"/>
        <v>연관</v>
      </c>
      <c r="V15" s="10" t="str">
        <f t="shared" si="5"/>
        <v>소비 신호</v>
      </c>
    </row>
    <row r="16" spans="1:22" ht="28" customHeight="1">
      <c r="A16" s="2" t="s">
        <v>18</v>
      </c>
      <c r="B16" s="2" t="s">
        <v>19</v>
      </c>
      <c r="C16" s="2" t="s">
        <v>79</v>
      </c>
      <c r="D16" s="2" t="s">
        <v>69</v>
      </c>
      <c r="E16" s="2" t="s">
        <v>79</v>
      </c>
      <c r="F16" s="2"/>
      <c r="G16" s="2" t="s">
        <v>84</v>
      </c>
      <c r="H16" s="2" t="s">
        <v>93</v>
      </c>
      <c r="I16" s="4">
        <v>45245</v>
      </c>
      <c r="J16" s="2" t="s">
        <v>94</v>
      </c>
      <c r="K16" s="2"/>
      <c r="L16" s="6">
        <v>0</v>
      </c>
      <c r="M16" s="8">
        <v>0</v>
      </c>
      <c r="N16" s="8">
        <v>17</v>
      </c>
      <c r="O16" s="8">
        <v>20</v>
      </c>
      <c r="P16" s="8">
        <v>15</v>
      </c>
      <c r="Q16" s="8">
        <v>15</v>
      </c>
      <c r="R16" s="8">
        <v>3</v>
      </c>
      <c r="S16" s="8">
        <v>1</v>
      </c>
      <c r="T16" s="20">
        <f t="shared" si="3"/>
        <v>63</v>
      </c>
      <c r="U16" s="10" t="str">
        <f t="shared" si="4"/>
        <v>연관</v>
      </c>
      <c r="V16" s="10" t="str">
        <f t="shared" si="5"/>
        <v>소비 신호</v>
      </c>
    </row>
    <row r="17" spans="1:22" ht="28" customHeight="1">
      <c r="A17" s="2" t="s">
        <v>18</v>
      </c>
      <c r="B17" s="2" t="s">
        <v>19</v>
      </c>
      <c r="C17" s="2" t="s">
        <v>80</v>
      </c>
      <c r="D17" s="2" t="s">
        <v>67</v>
      </c>
      <c r="E17" s="2" t="s">
        <v>80</v>
      </c>
      <c r="F17" s="2"/>
      <c r="G17" s="2" t="s">
        <v>87</v>
      </c>
      <c r="H17" s="2" t="s">
        <v>95</v>
      </c>
      <c r="I17" s="4">
        <v>45245</v>
      </c>
      <c r="J17" s="2" t="s">
        <v>96</v>
      </c>
      <c r="K17" s="2"/>
      <c r="L17" s="6">
        <v>-15</v>
      </c>
      <c r="M17" s="8">
        <v>0</v>
      </c>
      <c r="N17" s="8">
        <v>18</v>
      </c>
      <c r="O17" s="8">
        <v>4</v>
      </c>
      <c r="P17" s="8">
        <v>12</v>
      </c>
      <c r="Q17" s="8">
        <v>8</v>
      </c>
      <c r="R17" s="8">
        <v>7</v>
      </c>
      <c r="S17" s="8">
        <v>5</v>
      </c>
      <c r="T17" s="20">
        <f t="shared" si="3"/>
        <v>30</v>
      </c>
      <c r="U17" s="10" t="str">
        <f t="shared" si="4"/>
        <v>제외</v>
      </c>
      <c r="V17" s="10" t="str">
        <f t="shared" si="5"/>
        <v>제외</v>
      </c>
    </row>
    <row r="18" spans="1:22" ht="28" customHeight="1">
      <c r="A18" s="2" t="s">
        <v>18</v>
      </c>
      <c r="B18" s="2" t="s">
        <v>19</v>
      </c>
      <c r="C18" s="2" t="s">
        <v>81</v>
      </c>
      <c r="D18" s="2" t="s">
        <v>67</v>
      </c>
      <c r="E18" s="2" t="s">
        <v>81</v>
      </c>
      <c r="F18" s="2"/>
      <c r="G18" s="2" t="s">
        <v>87</v>
      </c>
      <c r="H18" s="2" t="s">
        <v>93</v>
      </c>
      <c r="I18" s="4">
        <v>45176</v>
      </c>
      <c r="J18" s="2" t="s">
        <v>97</v>
      </c>
      <c r="K18" s="2"/>
      <c r="L18" s="6">
        <v>0</v>
      </c>
      <c r="M18" s="8">
        <v>0</v>
      </c>
      <c r="N18" s="8">
        <v>20</v>
      </c>
      <c r="O18" s="8">
        <v>20</v>
      </c>
      <c r="P18" s="8">
        <v>15</v>
      </c>
      <c r="Q18" s="8">
        <v>12</v>
      </c>
      <c r="R18" s="8">
        <v>4</v>
      </c>
      <c r="S18" s="8">
        <v>1</v>
      </c>
      <c r="T18" s="20">
        <f t="shared" si="3"/>
        <v>62</v>
      </c>
      <c r="U18" s="10" t="str">
        <f t="shared" si="4"/>
        <v>연관</v>
      </c>
      <c r="V18" s="10" t="str">
        <f t="shared" si="5"/>
        <v>연관</v>
      </c>
    </row>
    <row r="19" spans="1:22" ht="28" customHeight="1">
      <c r="A19" s="2" t="s">
        <v>18</v>
      </c>
      <c r="B19" s="2" t="s">
        <v>19</v>
      </c>
      <c r="C19" s="2" t="s">
        <v>82</v>
      </c>
      <c r="D19" s="2" t="s">
        <v>67</v>
      </c>
      <c r="E19" s="2" t="s">
        <v>82</v>
      </c>
      <c r="F19" s="2"/>
      <c r="G19" s="2" t="s">
        <v>87</v>
      </c>
      <c r="H19" s="2" t="s">
        <v>95</v>
      </c>
      <c r="I19" s="4">
        <v>45225</v>
      </c>
      <c r="J19" s="2" t="s">
        <v>98</v>
      </c>
      <c r="K19" s="2"/>
      <c r="L19" s="6">
        <v>0</v>
      </c>
      <c r="M19" s="8">
        <v>0</v>
      </c>
      <c r="N19" s="8">
        <v>20</v>
      </c>
      <c r="O19" s="8">
        <v>20</v>
      </c>
      <c r="P19" s="8">
        <v>15</v>
      </c>
      <c r="Q19" s="8">
        <v>12</v>
      </c>
      <c r="R19" s="8">
        <v>3</v>
      </c>
      <c r="S19" s="8">
        <v>1</v>
      </c>
      <c r="T19" s="20">
        <f t="shared" si="3"/>
        <v>63</v>
      </c>
      <c r="U19" s="10" t="str">
        <f t="shared" si="4"/>
        <v>연관</v>
      </c>
      <c r="V19" s="10" t="str">
        <f t="shared" si="5"/>
        <v>연관</v>
      </c>
    </row>
    <row r="20" spans="1:22" ht="28" customHeight="1">
      <c r="A20" s="2" t="s">
        <v>22</v>
      </c>
      <c r="B20" s="2" t="s">
        <v>23</v>
      </c>
      <c r="C20" s="2" t="s">
        <v>111</v>
      </c>
      <c r="D20" s="2" t="s">
        <v>60</v>
      </c>
      <c r="E20" s="2" t="s">
        <v>111</v>
      </c>
      <c r="F20" s="2" t="s">
        <v>112</v>
      </c>
      <c r="G20" s="2" t="s">
        <v>113</v>
      </c>
      <c r="H20" s="2" t="s">
        <v>114</v>
      </c>
      <c r="I20" s="4">
        <v>44765</v>
      </c>
      <c r="J20" s="2" t="s">
        <v>115</v>
      </c>
      <c r="K20" s="2"/>
      <c r="L20" s="6">
        <v>0</v>
      </c>
      <c r="M20" s="8">
        <v>25</v>
      </c>
      <c r="N20" s="8">
        <v>25</v>
      </c>
      <c r="O20" s="8">
        <v>20</v>
      </c>
      <c r="P20" s="8">
        <v>15</v>
      </c>
      <c r="Q20" s="8">
        <v>15</v>
      </c>
      <c r="R20" s="8">
        <v>0</v>
      </c>
      <c r="S20" s="8">
        <v>0</v>
      </c>
      <c r="T20" s="20">
        <f>SUM(M20:Q20)-R20-S20</f>
        <v>100</v>
      </c>
      <c r="U20" s="10" t="str">
        <f>IF(OR(R20&gt;=12,S20&gt;=10,T20&lt;45),"제외",IF(T20&gt;=75,"핵심",IF(T20&gt;=60,"연관",IF(T20&gt;=55,"소비 신호","확인중"))))</f>
        <v>핵심</v>
      </c>
      <c r="V20" s="10" t="str">
        <f>IF(OR(R20&gt;=12,S20&gt;=10,T20&lt;45),"제외",IF(AND(T20&gt;=75,N20&gt;=17,O20&gt;=12,OR(D20="대표명·별칭",D20="구성요소",D20="제품·형태")),"핵심",IF(AND(D20="소비 신호",T20&gt;=55,P20&gt;=1),"소비 신호",IF(AND(T20&gt;=60,P20&gt;=1),"연관","확인중"))))</f>
        <v>핵심</v>
      </c>
    </row>
    <row r="21" spans="1:22" ht="28" customHeight="1">
      <c r="A21" s="2" t="s">
        <v>22</v>
      </c>
      <c r="B21" s="2" t="s">
        <v>23</v>
      </c>
      <c r="C21" s="2" t="s">
        <v>116</v>
      </c>
      <c r="D21" s="2" t="s">
        <v>60</v>
      </c>
      <c r="E21" s="2" t="s">
        <v>116</v>
      </c>
      <c r="F21" s="2" t="s">
        <v>112</v>
      </c>
      <c r="G21" s="2" t="s">
        <v>113</v>
      </c>
      <c r="H21" s="2" t="s">
        <v>114</v>
      </c>
      <c r="I21" s="4">
        <v>44774</v>
      </c>
      <c r="J21" s="2" t="s">
        <v>117</v>
      </c>
      <c r="K21" s="2"/>
      <c r="L21" s="6">
        <v>4</v>
      </c>
      <c r="M21" s="8">
        <v>25</v>
      </c>
      <c r="N21" s="8">
        <v>24</v>
      </c>
      <c r="O21" s="8">
        <v>17</v>
      </c>
      <c r="P21" s="8">
        <v>15</v>
      </c>
      <c r="Q21" s="8">
        <v>10</v>
      </c>
      <c r="R21" s="8">
        <v>0</v>
      </c>
      <c r="S21" s="8">
        <v>0</v>
      </c>
      <c r="T21" s="20">
        <f t="shared" ref="T21:T25" si="6">SUM(M21:Q21)-R21-S21</f>
        <v>91</v>
      </c>
      <c r="U21" s="10" t="str">
        <f t="shared" ref="U21:U25" si="7">IF(OR(R21&gt;=12,S21&gt;=10,T21&lt;45),"제외",IF(T21&gt;=75,"핵심",IF(T21&gt;=60,"연관",IF(T21&gt;=55,"소비 신호","확인중"))))</f>
        <v>핵심</v>
      </c>
      <c r="V21" s="10" t="str">
        <f t="shared" ref="V21:V25" si="8">IF(OR(R21&gt;=12,S21&gt;=10,T21&lt;45),"제외",IF(AND(T21&gt;=75,N21&gt;=17,O21&gt;=12,OR(D21="대표명·별칭",D21="구성요소",D21="제품·형태")),"핵심",IF(AND(D21="소비 신호",T21&gt;=55,P21&gt;=1),"소비 신호",IF(AND(T21&gt;=60,P21&gt;=1),"연관","확인중"))))</f>
        <v>핵심</v>
      </c>
    </row>
    <row r="22" spans="1:22" ht="28" customHeight="1">
      <c r="A22" s="2" t="s">
        <v>22</v>
      </c>
      <c r="B22" s="2" t="s">
        <v>23</v>
      </c>
      <c r="C22" s="2" t="s">
        <v>118</v>
      </c>
      <c r="D22" s="2" t="s">
        <v>83</v>
      </c>
      <c r="E22" s="2" t="s">
        <v>118</v>
      </c>
      <c r="F22" s="2"/>
      <c r="G22" s="2" t="s">
        <v>113</v>
      </c>
      <c r="H22" s="2" t="s">
        <v>114</v>
      </c>
      <c r="I22" s="4">
        <v>44774</v>
      </c>
      <c r="J22" s="2" t="s">
        <v>119</v>
      </c>
      <c r="K22" s="2"/>
      <c r="L22" s="6">
        <v>0</v>
      </c>
      <c r="M22" s="8">
        <v>0</v>
      </c>
      <c r="N22" s="8">
        <v>22</v>
      </c>
      <c r="O22" s="8">
        <v>20</v>
      </c>
      <c r="P22" s="8">
        <v>15</v>
      </c>
      <c r="Q22" s="8">
        <v>10</v>
      </c>
      <c r="R22" s="8">
        <v>0</v>
      </c>
      <c r="S22" s="8">
        <v>0</v>
      </c>
      <c r="T22" s="20">
        <f t="shared" si="6"/>
        <v>67</v>
      </c>
      <c r="U22" s="10" t="str">
        <f t="shared" si="7"/>
        <v>연관</v>
      </c>
      <c r="V22" s="10" t="str">
        <f t="shared" si="8"/>
        <v>연관</v>
      </c>
    </row>
    <row r="23" spans="1:22" ht="28" customHeight="1">
      <c r="A23" s="2" t="s">
        <v>22</v>
      </c>
      <c r="B23" s="2" t="s">
        <v>23</v>
      </c>
      <c r="C23" s="2" t="s">
        <v>120</v>
      </c>
      <c r="D23" s="2" t="s">
        <v>69</v>
      </c>
      <c r="E23" s="2" t="s">
        <v>120</v>
      </c>
      <c r="F23" s="2"/>
      <c r="G23" s="2" t="s">
        <v>101</v>
      </c>
      <c r="H23" s="2" t="s">
        <v>121</v>
      </c>
      <c r="I23" s="4">
        <v>44956</v>
      </c>
      <c r="J23" s="2" t="s">
        <v>122</v>
      </c>
      <c r="K23" s="2"/>
      <c r="L23" s="6">
        <v>5</v>
      </c>
      <c r="M23" s="8">
        <v>0</v>
      </c>
      <c r="N23" s="8">
        <v>20</v>
      </c>
      <c r="O23" s="8">
        <v>15</v>
      </c>
      <c r="P23" s="8">
        <v>15</v>
      </c>
      <c r="Q23" s="8">
        <v>15</v>
      </c>
      <c r="R23" s="8">
        <v>0</v>
      </c>
      <c r="S23" s="8">
        <v>0</v>
      </c>
      <c r="T23" s="20">
        <f t="shared" si="6"/>
        <v>65</v>
      </c>
      <c r="U23" s="10" t="str">
        <f t="shared" si="7"/>
        <v>연관</v>
      </c>
      <c r="V23" s="10" t="str">
        <f t="shared" si="8"/>
        <v>소비 신호</v>
      </c>
    </row>
    <row r="24" spans="1:22" ht="28" customHeight="1">
      <c r="A24" s="2" t="s">
        <v>22</v>
      </c>
      <c r="B24" s="2" t="s">
        <v>23</v>
      </c>
      <c r="C24" s="2" t="s">
        <v>123</v>
      </c>
      <c r="D24" s="2" t="s">
        <v>69</v>
      </c>
      <c r="E24" s="2" t="s">
        <v>123</v>
      </c>
      <c r="F24" s="2"/>
      <c r="G24" s="2" t="s">
        <v>101</v>
      </c>
      <c r="H24" s="2" t="s">
        <v>121</v>
      </c>
      <c r="I24" s="4">
        <v>44956</v>
      </c>
      <c r="J24" s="2" t="s">
        <v>124</v>
      </c>
      <c r="K24" s="2"/>
      <c r="L24" s="6">
        <v>5</v>
      </c>
      <c r="M24" s="8">
        <v>0</v>
      </c>
      <c r="N24" s="8">
        <v>20</v>
      </c>
      <c r="O24" s="8">
        <v>15</v>
      </c>
      <c r="P24" s="8">
        <v>15</v>
      </c>
      <c r="Q24" s="8">
        <v>15</v>
      </c>
      <c r="R24" s="8">
        <v>0</v>
      </c>
      <c r="S24" s="8">
        <v>0</v>
      </c>
      <c r="T24" s="20">
        <f t="shared" si="6"/>
        <v>65</v>
      </c>
      <c r="U24" s="10" t="str">
        <f t="shared" si="7"/>
        <v>연관</v>
      </c>
      <c r="V24" s="10" t="str">
        <f t="shared" si="8"/>
        <v>소비 신호</v>
      </c>
    </row>
    <row r="25" spans="1:22" ht="28" customHeight="1">
      <c r="A25" s="2" t="s">
        <v>22</v>
      </c>
      <c r="B25" s="2" t="s">
        <v>23</v>
      </c>
      <c r="C25" s="2" t="s">
        <v>125</v>
      </c>
      <c r="D25" s="2" t="s">
        <v>83</v>
      </c>
      <c r="E25" s="2" t="s">
        <v>125</v>
      </c>
      <c r="F25" s="2" t="s">
        <v>126</v>
      </c>
      <c r="G25" s="2" t="s">
        <v>101</v>
      </c>
      <c r="H25" s="2" t="s">
        <v>127</v>
      </c>
      <c r="I25" s="4">
        <v>44974</v>
      </c>
      <c r="J25" s="2" t="s">
        <v>128</v>
      </c>
      <c r="K25" s="2"/>
      <c r="L25" s="6">
        <v>6</v>
      </c>
      <c r="M25" s="8">
        <v>0</v>
      </c>
      <c r="N25" s="8">
        <v>25</v>
      </c>
      <c r="O25" s="8">
        <v>12</v>
      </c>
      <c r="P25" s="8">
        <v>15</v>
      </c>
      <c r="Q25" s="8">
        <v>15</v>
      </c>
      <c r="R25" s="8">
        <v>0</v>
      </c>
      <c r="S25" s="8">
        <v>0</v>
      </c>
      <c r="T25" s="20">
        <f t="shared" si="6"/>
        <v>67</v>
      </c>
      <c r="U25" s="10" t="str">
        <f t="shared" si="7"/>
        <v>연관</v>
      </c>
      <c r="V25" s="10" t="str">
        <f t="shared" si="8"/>
        <v>연관</v>
      </c>
    </row>
    <row r="26" spans="1:22" ht="28" customHeight="1">
      <c r="A26" s="2"/>
      <c r="B26" s="2"/>
      <c r="C26" s="2"/>
      <c r="D26" s="2"/>
      <c r="E26" s="2"/>
      <c r="F26" s="2"/>
      <c r="G26" s="2" t="s">
        <v>62</v>
      </c>
      <c r="H26" s="2"/>
      <c r="I26" s="4">
        <v>45200</v>
      </c>
      <c r="J26" s="2" t="s">
        <v>73</v>
      </c>
      <c r="K26" s="2">
        <v>0</v>
      </c>
      <c r="L26" s="6">
        <v>-14</v>
      </c>
      <c r="M26" s="8">
        <v>-210</v>
      </c>
      <c r="N26" s="8">
        <v>-52</v>
      </c>
      <c r="O26" s="8">
        <v>-42</v>
      </c>
      <c r="P26" s="8">
        <v>25</v>
      </c>
      <c r="Q26" s="8">
        <v>15</v>
      </c>
      <c r="R26" s="8">
        <v>75</v>
      </c>
      <c r="S26" s="8">
        <v>75</v>
      </c>
      <c r="T26" s="10">
        <f t="shared" ref="T15:T59" si="9">SUM(M26:Q26)-R26-S26</f>
        <v>-414</v>
      </c>
      <c r="U26" s="10" t="str">
        <f t="shared" ref="U15:U59" si="10">IF(T26&gt;=75,"핵심",IF(T26&gt;=60,"연관",IF(AND(T26&gt;=55,D26="소비 신호"),"소비 신호",IF(T26&gt;=45,"확인중","제외"))))</f>
        <v>제외</v>
      </c>
      <c r="V26" s="10" t="str">
        <f t="shared" ref="V15:V59" si="11">IF(OR(R26&gt;=12,S26&gt;=10,T26&lt;45),"제외",IF(AND(T26&gt;=75,N26&gt;=17,O26&gt;=12,OR(D26="대표명·별칭",D26="구성요소",D26="제품·형태")),"핵심",IF(AND(T26&gt;=60,P26&gt;=1),"연관",IF(AND(T26&gt;=55,D26="소비 신호",P26&gt;=1),"소비 신호","확인중"))))</f>
        <v>제외</v>
      </c>
    </row>
    <row r="27" spans="1:22" ht="28" customHeight="1">
      <c r="A27" s="2"/>
      <c r="B27" s="2"/>
      <c r="C27" s="2"/>
      <c r="D27" s="2"/>
      <c r="E27" s="2"/>
      <c r="F27" s="2"/>
      <c r="G27" s="2" t="s">
        <v>70</v>
      </c>
      <c r="H27" s="2"/>
      <c r="I27" s="4">
        <v>45170</v>
      </c>
      <c r="J27" s="2" t="s">
        <v>71</v>
      </c>
      <c r="K27" s="2">
        <v>0</v>
      </c>
      <c r="L27" s="6">
        <v>-15</v>
      </c>
      <c r="M27" s="8">
        <v>-225</v>
      </c>
      <c r="N27" s="8">
        <v>-57</v>
      </c>
      <c r="O27" s="8">
        <v>-46</v>
      </c>
      <c r="P27" s="8">
        <v>26</v>
      </c>
      <c r="Q27" s="8">
        <v>15</v>
      </c>
      <c r="R27" s="8">
        <v>80</v>
      </c>
      <c r="S27" s="8">
        <v>80</v>
      </c>
      <c r="T27" s="10">
        <f t="shared" si="9"/>
        <v>-447</v>
      </c>
      <c r="U27" s="10" t="str">
        <f t="shared" si="10"/>
        <v>제외</v>
      </c>
      <c r="V27" s="10" t="str">
        <f t="shared" si="11"/>
        <v>제외</v>
      </c>
    </row>
    <row r="28" spans="1:22" ht="28" customHeight="1">
      <c r="A28" s="2"/>
      <c r="B28" s="2"/>
      <c r="C28" s="2"/>
      <c r="D28" s="2"/>
      <c r="E28" s="2"/>
      <c r="F28" s="2"/>
      <c r="G28" s="2" t="s">
        <v>62</v>
      </c>
      <c r="H28" s="2"/>
      <c r="I28" s="4">
        <v>45139</v>
      </c>
      <c r="J28" s="2" t="s">
        <v>73</v>
      </c>
      <c r="K28" s="2">
        <v>0</v>
      </c>
      <c r="L28" s="6">
        <v>-16</v>
      </c>
      <c r="M28" s="8">
        <v>-240</v>
      </c>
      <c r="N28" s="8">
        <v>-62</v>
      </c>
      <c r="O28" s="8">
        <v>-50</v>
      </c>
      <c r="P28" s="8">
        <v>27</v>
      </c>
      <c r="Q28" s="8">
        <v>15</v>
      </c>
      <c r="R28" s="8">
        <v>85</v>
      </c>
      <c r="S28" s="8">
        <v>85</v>
      </c>
      <c r="T28" s="10">
        <f t="shared" si="9"/>
        <v>-480</v>
      </c>
      <c r="U28" s="10" t="str">
        <f t="shared" si="10"/>
        <v>제외</v>
      </c>
      <c r="V28" s="10" t="str">
        <f t="shared" si="11"/>
        <v>제외</v>
      </c>
    </row>
    <row r="29" spans="1:22" ht="28" customHeight="1">
      <c r="A29" s="2"/>
      <c r="B29" s="2"/>
      <c r="C29" s="2"/>
      <c r="D29" s="2"/>
      <c r="E29" s="2"/>
      <c r="F29" s="2"/>
      <c r="G29" s="2" t="s">
        <v>70</v>
      </c>
      <c r="H29" s="2"/>
      <c r="I29" s="4">
        <v>45108</v>
      </c>
      <c r="J29" s="2" t="s">
        <v>71</v>
      </c>
      <c r="K29" s="2">
        <v>0</v>
      </c>
      <c r="L29" s="6">
        <v>-17</v>
      </c>
      <c r="M29" s="8">
        <v>-255</v>
      </c>
      <c r="N29" s="8">
        <v>-67</v>
      </c>
      <c r="O29" s="8">
        <v>-54</v>
      </c>
      <c r="P29" s="8">
        <v>28</v>
      </c>
      <c r="Q29" s="8">
        <v>15</v>
      </c>
      <c r="R29" s="8">
        <v>90</v>
      </c>
      <c r="S29" s="8">
        <v>90</v>
      </c>
      <c r="T29" s="10">
        <f t="shared" si="9"/>
        <v>-513</v>
      </c>
      <c r="U29" s="10" t="str">
        <f t="shared" si="10"/>
        <v>제외</v>
      </c>
      <c r="V29" s="10" t="str">
        <f t="shared" si="11"/>
        <v>제외</v>
      </c>
    </row>
    <row r="30" spans="1:22" ht="28" customHeight="1">
      <c r="A30" s="2"/>
      <c r="B30" s="2"/>
      <c r="C30" s="2"/>
      <c r="D30" s="2"/>
      <c r="E30" s="2"/>
      <c r="F30" s="2"/>
      <c r="G30" s="2" t="s">
        <v>62</v>
      </c>
      <c r="H30" s="2"/>
      <c r="I30" s="4">
        <v>45078</v>
      </c>
      <c r="J30" s="2" t="s">
        <v>73</v>
      </c>
      <c r="K30" s="2">
        <v>0</v>
      </c>
      <c r="L30" s="6">
        <v>-18</v>
      </c>
      <c r="M30" s="8">
        <v>-270</v>
      </c>
      <c r="N30" s="8">
        <v>-72</v>
      </c>
      <c r="O30" s="8">
        <v>-58</v>
      </c>
      <c r="P30" s="8">
        <v>29</v>
      </c>
      <c r="Q30" s="8">
        <v>15</v>
      </c>
      <c r="R30" s="8">
        <v>95</v>
      </c>
      <c r="S30" s="8">
        <v>95</v>
      </c>
      <c r="T30" s="10">
        <f t="shared" si="9"/>
        <v>-546</v>
      </c>
      <c r="U30" s="10" t="str">
        <f t="shared" si="10"/>
        <v>제외</v>
      </c>
      <c r="V30" s="10" t="str">
        <f t="shared" si="11"/>
        <v>제외</v>
      </c>
    </row>
    <row r="31" spans="1:22" ht="28" customHeight="1">
      <c r="A31" s="2"/>
      <c r="B31" s="2"/>
      <c r="C31" s="2"/>
      <c r="D31" s="2"/>
      <c r="E31" s="2"/>
      <c r="F31" s="2"/>
      <c r="G31" s="2" t="s">
        <v>70</v>
      </c>
      <c r="H31" s="2"/>
      <c r="I31" s="4">
        <v>45047</v>
      </c>
      <c r="J31" s="2" t="s">
        <v>71</v>
      </c>
      <c r="K31" s="2">
        <v>0</v>
      </c>
      <c r="L31" s="6">
        <v>-19</v>
      </c>
      <c r="M31" s="8">
        <v>-285</v>
      </c>
      <c r="N31" s="8">
        <v>-77</v>
      </c>
      <c r="O31" s="8">
        <v>-62</v>
      </c>
      <c r="P31" s="8">
        <v>30</v>
      </c>
      <c r="Q31" s="8">
        <v>15</v>
      </c>
      <c r="R31" s="8">
        <v>100</v>
      </c>
      <c r="S31" s="8">
        <v>100</v>
      </c>
      <c r="T31" s="10">
        <f t="shared" si="9"/>
        <v>-579</v>
      </c>
      <c r="U31" s="10" t="str">
        <f t="shared" si="10"/>
        <v>제외</v>
      </c>
      <c r="V31" s="10" t="str">
        <f t="shared" si="11"/>
        <v>제외</v>
      </c>
    </row>
    <row r="32" spans="1:22" ht="28" customHeight="1">
      <c r="A32" s="2"/>
      <c r="B32" s="2"/>
      <c r="C32" s="2"/>
      <c r="D32" s="2"/>
      <c r="E32" s="2"/>
      <c r="F32" s="2"/>
      <c r="G32" s="2" t="s">
        <v>62</v>
      </c>
      <c r="H32" s="2"/>
      <c r="I32" s="4">
        <v>45017</v>
      </c>
      <c r="J32" s="2" t="s">
        <v>73</v>
      </c>
      <c r="K32" s="2">
        <v>0</v>
      </c>
      <c r="L32" s="6">
        <v>-20</v>
      </c>
      <c r="M32" s="8">
        <v>-300</v>
      </c>
      <c r="N32" s="8">
        <v>-82</v>
      </c>
      <c r="O32" s="8">
        <v>-66</v>
      </c>
      <c r="P32" s="8">
        <v>31</v>
      </c>
      <c r="Q32" s="8">
        <v>15</v>
      </c>
      <c r="R32" s="8">
        <v>105</v>
      </c>
      <c r="S32" s="8">
        <v>105</v>
      </c>
      <c r="T32" s="10">
        <f t="shared" si="9"/>
        <v>-612</v>
      </c>
      <c r="U32" s="10" t="str">
        <f t="shared" si="10"/>
        <v>제외</v>
      </c>
      <c r="V32" s="10" t="str">
        <f t="shared" si="11"/>
        <v>제외</v>
      </c>
    </row>
    <row r="33" spans="1:22" ht="28" customHeight="1">
      <c r="A33" s="2"/>
      <c r="B33" s="2"/>
      <c r="C33" s="2"/>
      <c r="D33" s="2"/>
      <c r="E33" s="2"/>
      <c r="F33" s="2"/>
      <c r="G33" s="2" t="s">
        <v>70</v>
      </c>
      <c r="H33" s="2"/>
      <c r="I33" s="4">
        <v>44986</v>
      </c>
      <c r="J33" s="2" t="s">
        <v>71</v>
      </c>
      <c r="K33" s="2">
        <v>0</v>
      </c>
      <c r="L33" s="6">
        <v>-21</v>
      </c>
      <c r="M33" s="8">
        <v>-315</v>
      </c>
      <c r="N33" s="8">
        <v>-87</v>
      </c>
      <c r="O33" s="8">
        <v>-70</v>
      </c>
      <c r="P33" s="8">
        <v>32</v>
      </c>
      <c r="Q33" s="8">
        <v>15</v>
      </c>
      <c r="R33" s="8">
        <v>110</v>
      </c>
      <c r="S33" s="8">
        <v>110</v>
      </c>
      <c r="T33" s="10">
        <f t="shared" si="9"/>
        <v>-645</v>
      </c>
      <c r="U33" s="10" t="str">
        <f t="shared" si="10"/>
        <v>제외</v>
      </c>
      <c r="V33" s="10" t="str">
        <f t="shared" si="11"/>
        <v>제외</v>
      </c>
    </row>
    <row r="34" spans="1:22" ht="28" customHeight="1">
      <c r="A34" s="2"/>
      <c r="B34" s="2"/>
      <c r="C34" s="2"/>
      <c r="D34" s="2"/>
      <c r="E34" s="2"/>
      <c r="F34" s="2"/>
      <c r="G34" s="2" t="s">
        <v>62</v>
      </c>
      <c r="H34" s="2"/>
      <c r="I34" s="4">
        <v>44958</v>
      </c>
      <c r="J34" s="2" t="s">
        <v>73</v>
      </c>
      <c r="K34" s="2">
        <v>0</v>
      </c>
      <c r="L34" s="6">
        <v>-22</v>
      </c>
      <c r="M34" s="8">
        <v>-330</v>
      </c>
      <c r="N34" s="8">
        <v>-92</v>
      </c>
      <c r="O34" s="8">
        <v>-74</v>
      </c>
      <c r="P34" s="8">
        <v>33</v>
      </c>
      <c r="Q34" s="8">
        <v>15</v>
      </c>
      <c r="R34" s="8">
        <v>115</v>
      </c>
      <c r="S34" s="8">
        <v>115</v>
      </c>
      <c r="T34" s="10">
        <f t="shared" si="9"/>
        <v>-678</v>
      </c>
      <c r="U34" s="10" t="str">
        <f t="shared" si="10"/>
        <v>제외</v>
      </c>
      <c r="V34" s="10" t="str">
        <f t="shared" si="11"/>
        <v>제외</v>
      </c>
    </row>
    <row r="35" spans="1:22" ht="28" customHeight="1">
      <c r="A35" s="2"/>
      <c r="B35" s="2"/>
      <c r="C35" s="2"/>
      <c r="D35" s="2"/>
      <c r="E35" s="2"/>
      <c r="F35" s="2"/>
      <c r="G35" s="2" t="s">
        <v>70</v>
      </c>
      <c r="H35" s="2"/>
      <c r="I35" s="4">
        <v>44927</v>
      </c>
      <c r="J35" s="2" t="s">
        <v>71</v>
      </c>
      <c r="K35" s="2">
        <v>0</v>
      </c>
      <c r="L35" s="6">
        <v>-23</v>
      </c>
      <c r="M35" s="8">
        <v>-345</v>
      </c>
      <c r="N35" s="8">
        <v>-97</v>
      </c>
      <c r="O35" s="8">
        <v>-78</v>
      </c>
      <c r="P35" s="8">
        <v>34</v>
      </c>
      <c r="Q35" s="8">
        <v>15</v>
      </c>
      <c r="R35" s="8">
        <v>120</v>
      </c>
      <c r="S35" s="8">
        <v>120</v>
      </c>
      <c r="T35" s="10">
        <f t="shared" si="9"/>
        <v>-711</v>
      </c>
      <c r="U35" s="10" t="str">
        <f t="shared" si="10"/>
        <v>제외</v>
      </c>
      <c r="V35" s="10" t="str">
        <f t="shared" si="11"/>
        <v>제외</v>
      </c>
    </row>
    <row r="36" spans="1:22" ht="28" customHeight="1">
      <c r="A36" s="2"/>
      <c r="B36" s="2"/>
      <c r="C36" s="2"/>
      <c r="D36" s="2"/>
      <c r="E36" s="2"/>
      <c r="F36" s="2"/>
      <c r="G36" s="2" t="s">
        <v>62</v>
      </c>
      <c r="H36" s="2"/>
      <c r="I36" s="4">
        <v>44896</v>
      </c>
      <c r="J36" s="2" t="s">
        <v>73</v>
      </c>
      <c r="K36" s="2">
        <v>0</v>
      </c>
      <c r="L36" s="6">
        <v>-24</v>
      </c>
      <c r="M36" s="8">
        <v>-360</v>
      </c>
      <c r="N36" s="8">
        <v>-102</v>
      </c>
      <c r="O36" s="8">
        <v>-82</v>
      </c>
      <c r="P36" s="8">
        <v>35</v>
      </c>
      <c r="Q36" s="8">
        <v>15</v>
      </c>
      <c r="R36" s="8">
        <v>125</v>
      </c>
      <c r="S36" s="8">
        <v>125</v>
      </c>
      <c r="T36" s="10">
        <f t="shared" si="9"/>
        <v>-744</v>
      </c>
      <c r="U36" s="10" t="str">
        <f t="shared" si="10"/>
        <v>제외</v>
      </c>
      <c r="V36" s="10" t="str">
        <f t="shared" si="11"/>
        <v>제외</v>
      </c>
    </row>
    <row r="37" spans="1:22" ht="28" customHeight="1">
      <c r="A37" s="2"/>
      <c r="B37" s="2"/>
      <c r="C37" s="2"/>
      <c r="D37" s="2"/>
      <c r="E37" s="2"/>
      <c r="F37" s="2"/>
      <c r="G37" s="2" t="s">
        <v>70</v>
      </c>
      <c r="H37" s="2"/>
      <c r="I37" s="4">
        <v>44866</v>
      </c>
      <c r="J37" s="2" t="s">
        <v>71</v>
      </c>
      <c r="K37" s="2">
        <v>0</v>
      </c>
      <c r="L37" s="6">
        <v>-25</v>
      </c>
      <c r="M37" s="8">
        <v>-375</v>
      </c>
      <c r="N37" s="8">
        <v>-107</v>
      </c>
      <c r="O37" s="8">
        <v>-86</v>
      </c>
      <c r="P37" s="8">
        <v>36</v>
      </c>
      <c r="Q37" s="8">
        <v>15</v>
      </c>
      <c r="R37" s="8">
        <v>130</v>
      </c>
      <c r="S37" s="8">
        <v>130</v>
      </c>
      <c r="T37" s="10">
        <f t="shared" si="9"/>
        <v>-777</v>
      </c>
      <c r="U37" s="10" t="str">
        <f t="shared" si="10"/>
        <v>제외</v>
      </c>
      <c r="V37" s="10" t="str">
        <f t="shared" si="11"/>
        <v>제외</v>
      </c>
    </row>
    <row r="38" spans="1:22" ht="28" customHeight="1">
      <c r="A38" s="2"/>
      <c r="B38" s="2"/>
      <c r="C38" s="2"/>
      <c r="D38" s="2"/>
      <c r="E38" s="2"/>
      <c r="F38" s="2"/>
      <c r="G38" s="2" t="s">
        <v>62</v>
      </c>
      <c r="H38" s="2"/>
      <c r="I38" s="4">
        <v>44835</v>
      </c>
      <c r="J38" s="2" t="s">
        <v>73</v>
      </c>
      <c r="K38" s="2">
        <v>0</v>
      </c>
      <c r="L38" s="6">
        <v>-26</v>
      </c>
      <c r="M38" s="8">
        <v>-390</v>
      </c>
      <c r="N38" s="8">
        <v>-112</v>
      </c>
      <c r="O38" s="8">
        <v>-90</v>
      </c>
      <c r="P38" s="8">
        <v>37</v>
      </c>
      <c r="Q38" s="8">
        <v>15</v>
      </c>
      <c r="R38" s="8">
        <v>135</v>
      </c>
      <c r="S38" s="8">
        <v>135</v>
      </c>
      <c r="T38" s="10">
        <f t="shared" si="9"/>
        <v>-810</v>
      </c>
      <c r="U38" s="10" t="str">
        <f t="shared" si="10"/>
        <v>제외</v>
      </c>
      <c r="V38" s="10" t="str">
        <f t="shared" si="11"/>
        <v>제외</v>
      </c>
    </row>
    <row r="39" spans="1:22" ht="28" customHeight="1">
      <c r="A39" s="2"/>
      <c r="B39" s="2"/>
      <c r="C39" s="2"/>
      <c r="D39" s="2"/>
      <c r="E39" s="2"/>
      <c r="F39" s="2"/>
      <c r="G39" s="2" t="s">
        <v>70</v>
      </c>
      <c r="H39" s="2"/>
      <c r="I39" s="4">
        <v>44805</v>
      </c>
      <c r="J39" s="2" t="s">
        <v>71</v>
      </c>
      <c r="K39" s="2">
        <v>0</v>
      </c>
      <c r="L39" s="6">
        <v>-27</v>
      </c>
      <c r="M39" s="8">
        <v>-405</v>
      </c>
      <c r="N39" s="8">
        <v>-117</v>
      </c>
      <c r="O39" s="8">
        <v>-94</v>
      </c>
      <c r="P39" s="8">
        <v>38</v>
      </c>
      <c r="Q39" s="8">
        <v>15</v>
      </c>
      <c r="R39" s="8">
        <v>140</v>
      </c>
      <c r="S39" s="8">
        <v>140</v>
      </c>
      <c r="T39" s="10">
        <f t="shared" si="9"/>
        <v>-843</v>
      </c>
      <c r="U39" s="10" t="str">
        <f t="shared" si="10"/>
        <v>제외</v>
      </c>
      <c r="V39" s="10" t="str">
        <f t="shared" si="11"/>
        <v>제외</v>
      </c>
    </row>
    <row r="40" spans="1:22" ht="28" customHeight="1">
      <c r="A40" s="2"/>
      <c r="B40" s="2"/>
      <c r="C40" s="2"/>
      <c r="D40" s="2"/>
      <c r="E40" s="2"/>
      <c r="F40" s="2"/>
      <c r="G40" s="2" t="s">
        <v>62</v>
      </c>
      <c r="H40" s="2"/>
      <c r="I40" s="4">
        <v>44774</v>
      </c>
      <c r="J40" s="2" t="s">
        <v>73</v>
      </c>
      <c r="K40" s="2">
        <v>0</v>
      </c>
      <c r="L40" s="6">
        <v>-28</v>
      </c>
      <c r="M40" s="8">
        <v>-420</v>
      </c>
      <c r="N40" s="8">
        <v>-122</v>
      </c>
      <c r="O40" s="8">
        <v>-98</v>
      </c>
      <c r="P40" s="8">
        <v>39</v>
      </c>
      <c r="Q40" s="8">
        <v>15</v>
      </c>
      <c r="R40" s="8">
        <v>145</v>
      </c>
      <c r="S40" s="8">
        <v>145</v>
      </c>
      <c r="T40" s="10">
        <f t="shared" si="9"/>
        <v>-876</v>
      </c>
      <c r="U40" s="10" t="str">
        <f t="shared" si="10"/>
        <v>제외</v>
      </c>
      <c r="V40" s="10" t="str">
        <f t="shared" si="11"/>
        <v>제외</v>
      </c>
    </row>
    <row r="41" spans="1:22" ht="28" customHeight="1">
      <c r="A41" s="2"/>
      <c r="B41" s="2"/>
      <c r="C41" s="2"/>
      <c r="D41" s="2"/>
      <c r="E41" s="2"/>
      <c r="F41" s="2"/>
      <c r="G41" s="2" t="s">
        <v>70</v>
      </c>
      <c r="H41" s="2"/>
      <c r="I41" s="4">
        <v>44743</v>
      </c>
      <c r="J41" s="2" t="s">
        <v>71</v>
      </c>
      <c r="K41" s="2">
        <v>0</v>
      </c>
      <c r="L41" s="6">
        <v>-29</v>
      </c>
      <c r="M41" s="8">
        <v>-435</v>
      </c>
      <c r="N41" s="8">
        <v>-127</v>
      </c>
      <c r="O41" s="8">
        <v>-102</v>
      </c>
      <c r="P41" s="8">
        <v>40</v>
      </c>
      <c r="Q41" s="8">
        <v>15</v>
      </c>
      <c r="R41" s="8">
        <v>150</v>
      </c>
      <c r="S41" s="8">
        <v>150</v>
      </c>
      <c r="T41" s="10">
        <f t="shared" si="9"/>
        <v>-909</v>
      </c>
      <c r="U41" s="10" t="str">
        <f t="shared" si="10"/>
        <v>제외</v>
      </c>
      <c r="V41" s="10" t="str">
        <f t="shared" si="11"/>
        <v>제외</v>
      </c>
    </row>
    <row r="42" spans="1:22" ht="28" customHeight="1">
      <c r="A42" s="2"/>
      <c r="B42" s="2"/>
      <c r="C42" s="2"/>
      <c r="D42" s="2"/>
      <c r="E42" s="2"/>
      <c r="F42" s="2"/>
      <c r="G42" s="2" t="s">
        <v>62</v>
      </c>
      <c r="H42" s="2"/>
      <c r="I42" s="4">
        <v>44713</v>
      </c>
      <c r="J42" s="2" t="s">
        <v>73</v>
      </c>
      <c r="K42" s="2">
        <v>0</v>
      </c>
      <c r="L42" s="6">
        <v>-30</v>
      </c>
      <c r="M42" s="8">
        <v>-450</v>
      </c>
      <c r="N42" s="8">
        <v>-132</v>
      </c>
      <c r="O42" s="8">
        <v>-106</v>
      </c>
      <c r="P42" s="8">
        <v>41</v>
      </c>
      <c r="Q42" s="8">
        <v>15</v>
      </c>
      <c r="R42" s="8">
        <v>155</v>
      </c>
      <c r="S42" s="8">
        <v>155</v>
      </c>
      <c r="T42" s="10">
        <f t="shared" si="9"/>
        <v>-942</v>
      </c>
      <c r="U42" s="10" t="str">
        <f t="shared" si="10"/>
        <v>제외</v>
      </c>
      <c r="V42" s="10" t="str">
        <f t="shared" si="11"/>
        <v>제외</v>
      </c>
    </row>
    <row r="43" spans="1:22" ht="28" customHeight="1">
      <c r="A43" s="2"/>
      <c r="B43" s="2"/>
      <c r="C43" s="2"/>
      <c r="D43" s="2"/>
      <c r="E43" s="2"/>
      <c r="F43" s="2"/>
      <c r="G43" s="2" t="s">
        <v>70</v>
      </c>
      <c r="H43" s="2"/>
      <c r="I43" s="4">
        <v>44682</v>
      </c>
      <c r="J43" s="2" t="s">
        <v>71</v>
      </c>
      <c r="K43" s="2">
        <v>0</v>
      </c>
      <c r="L43" s="6">
        <v>-31</v>
      </c>
      <c r="M43" s="8">
        <v>-465</v>
      </c>
      <c r="N43" s="8">
        <v>-137</v>
      </c>
      <c r="O43" s="8">
        <v>-110</v>
      </c>
      <c r="P43" s="8">
        <v>42</v>
      </c>
      <c r="Q43" s="8">
        <v>15</v>
      </c>
      <c r="R43" s="8">
        <v>160</v>
      </c>
      <c r="S43" s="8">
        <v>160</v>
      </c>
      <c r="T43" s="10">
        <f t="shared" si="9"/>
        <v>-975</v>
      </c>
      <c r="U43" s="10" t="str">
        <f t="shared" si="10"/>
        <v>제외</v>
      </c>
      <c r="V43" s="10" t="str">
        <f t="shared" si="11"/>
        <v>제외</v>
      </c>
    </row>
    <row r="44" spans="1:22" ht="28" customHeight="1">
      <c r="A44" s="2"/>
      <c r="B44" s="2"/>
      <c r="C44" s="2"/>
      <c r="D44" s="2"/>
      <c r="E44" s="2"/>
      <c r="F44" s="2"/>
      <c r="G44" s="2" t="s">
        <v>62</v>
      </c>
      <c r="H44" s="2"/>
      <c r="I44" s="4">
        <v>44652</v>
      </c>
      <c r="J44" s="2" t="s">
        <v>73</v>
      </c>
      <c r="K44" s="2">
        <v>0</v>
      </c>
      <c r="L44" s="6">
        <v>-32</v>
      </c>
      <c r="M44" s="8">
        <v>-480</v>
      </c>
      <c r="N44" s="8">
        <v>-142</v>
      </c>
      <c r="O44" s="8">
        <v>-114</v>
      </c>
      <c r="P44" s="8">
        <v>43</v>
      </c>
      <c r="Q44" s="8">
        <v>15</v>
      </c>
      <c r="R44" s="8">
        <v>165</v>
      </c>
      <c r="S44" s="8">
        <v>165</v>
      </c>
      <c r="T44" s="10">
        <f t="shared" si="9"/>
        <v>-1008</v>
      </c>
      <c r="U44" s="10" t="str">
        <f t="shared" si="10"/>
        <v>제외</v>
      </c>
      <c r="V44" s="10" t="str">
        <f t="shared" si="11"/>
        <v>제외</v>
      </c>
    </row>
    <row r="45" spans="1:22" ht="28" customHeight="1">
      <c r="A45" s="2"/>
      <c r="B45" s="2"/>
      <c r="C45" s="2"/>
      <c r="D45" s="2"/>
      <c r="E45" s="2"/>
      <c r="F45" s="2"/>
      <c r="G45" s="2" t="s">
        <v>70</v>
      </c>
      <c r="H45" s="2"/>
      <c r="I45" s="4">
        <v>44621</v>
      </c>
      <c r="J45" s="2" t="s">
        <v>71</v>
      </c>
      <c r="K45" s="2">
        <v>0</v>
      </c>
      <c r="L45" s="6">
        <v>-33</v>
      </c>
      <c r="M45" s="8">
        <v>-495</v>
      </c>
      <c r="N45" s="8">
        <v>-147</v>
      </c>
      <c r="O45" s="8">
        <v>-118</v>
      </c>
      <c r="P45" s="8">
        <v>44</v>
      </c>
      <c r="Q45" s="8">
        <v>15</v>
      </c>
      <c r="R45" s="8">
        <v>170</v>
      </c>
      <c r="S45" s="8">
        <v>170</v>
      </c>
      <c r="T45" s="10">
        <f t="shared" si="9"/>
        <v>-1041</v>
      </c>
      <c r="U45" s="10" t="str">
        <f t="shared" si="10"/>
        <v>제외</v>
      </c>
      <c r="V45" s="10" t="str">
        <f t="shared" si="11"/>
        <v>제외</v>
      </c>
    </row>
    <row r="46" spans="1:22" ht="28" customHeight="1">
      <c r="A46" s="2"/>
      <c r="B46" s="2"/>
      <c r="C46" s="2"/>
      <c r="D46" s="2"/>
      <c r="E46" s="2"/>
      <c r="F46" s="2"/>
      <c r="G46" s="2" t="s">
        <v>62</v>
      </c>
      <c r="H46" s="2"/>
      <c r="I46" s="4">
        <v>44593</v>
      </c>
      <c r="J46" s="2" t="s">
        <v>73</v>
      </c>
      <c r="K46" s="2">
        <v>0</v>
      </c>
      <c r="L46" s="6">
        <v>-34</v>
      </c>
      <c r="M46" s="8">
        <v>-510</v>
      </c>
      <c r="N46" s="8">
        <v>-152</v>
      </c>
      <c r="O46" s="8">
        <v>-122</v>
      </c>
      <c r="P46" s="8">
        <v>45</v>
      </c>
      <c r="Q46" s="8">
        <v>15</v>
      </c>
      <c r="R46" s="8">
        <v>175</v>
      </c>
      <c r="S46" s="8">
        <v>175</v>
      </c>
      <c r="T46" s="10">
        <f t="shared" si="9"/>
        <v>-1074</v>
      </c>
      <c r="U46" s="10" t="str">
        <f t="shared" si="10"/>
        <v>제외</v>
      </c>
      <c r="V46" s="10" t="str">
        <f t="shared" si="11"/>
        <v>제외</v>
      </c>
    </row>
    <row r="47" spans="1:22" ht="28" customHeight="1">
      <c r="A47" s="2"/>
      <c r="B47" s="2"/>
      <c r="C47" s="2"/>
      <c r="D47" s="2"/>
      <c r="E47" s="2"/>
      <c r="F47" s="2"/>
      <c r="G47" s="2" t="s">
        <v>70</v>
      </c>
      <c r="H47" s="2"/>
      <c r="I47" s="4">
        <v>44562</v>
      </c>
      <c r="J47" s="2" t="s">
        <v>71</v>
      </c>
      <c r="K47" s="2">
        <v>0</v>
      </c>
      <c r="L47" s="6">
        <v>-35</v>
      </c>
      <c r="M47" s="8">
        <v>-525</v>
      </c>
      <c r="N47" s="8">
        <v>-157</v>
      </c>
      <c r="O47" s="8">
        <v>-126</v>
      </c>
      <c r="P47" s="8">
        <v>46</v>
      </c>
      <c r="Q47" s="8">
        <v>15</v>
      </c>
      <c r="R47" s="8">
        <v>180</v>
      </c>
      <c r="S47" s="8">
        <v>180</v>
      </c>
      <c r="T47" s="10">
        <f t="shared" si="9"/>
        <v>-1107</v>
      </c>
      <c r="U47" s="10" t="str">
        <f t="shared" si="10"/>
        <v>제외</v>
      </c>
      <c r="V47" s="10" t="str">
        <f t="shared" si="11"/>
        <v>제외</v>
      </c>
    </row>
    <row r="48" spans="1:22" ht="28" customHeight="1">
      <c r="A48" s="2"/>
      <c r="B48" s="2"/>
      <c r="C48" s="2"/>
      <c r="D48" s="2"/>
      <c r="E48" s="2"/>
      <c r="F48" s="2"/>
      <c r="G48" s="2" t="s">
        <v>62</v>
      </c>
      <c r="H48" s="2"/>
      <c r="I48" s="4">
        <v>44531</v>
      </c>
      <c r="J48" s="2" t="s">
        <v>73</v>
      </c>
      <c r="K48" s="2">
        <v>0</v>
      </c>
      <c r="L48" s="6">
        <v>-36</v>
      </c>
      <c r="M48" s="8">
        <v>-540</v>
      </c>
      <c r="N48" s="8">
        <v>-162</v>
      </c>
      <c r="O48" s="8">
        <v>-130</v>
      </c>
      <c r="P48" s="8">
        <v>47</v>
      </c>
      <c r="Q48" s="8">
        <v>15</v>
      </c>
      <c r="R48" s="8">
        <v>185</v>
      </c>
      <c r="S48" s="8">
        <v>185</v>
      </c>
      <c r="T48" s="10">
        <f t="shared" si="9"/>
        <v>-1140</v>
      </c>
      <c r="U48" s="10" t="str">
        <f t="shared" si="10"/>
        <v>제외</v>
      </c>
      <c r="V48" s="10" t="str">
        <f t="shared" si="11"/>
        <v>제외</v>
      </c>
    </row>
    <row r="49" spans="1:22" ht="28" customHeight="1">
      <c r="A49" s="2"/>
      <c r="B49" s="2"/>
      <c r="C49" s="2"/>
      <c r="D49" s="2"/>
      <c r="E49" s="2"/>
      <c r="F49" s="2"/>
      <c r="G49" s="2" t="s">
        <v>70</v>
      </c>
      <c r="H49" s="2"/>
      <c r="I49" s="4">
        <v>44501</v>
      </c>
      <c r="J49" s="2" t="s">
        <v>71</v>
      </c>
      <c r="K49" s="2">
        <v>0</v>
      </c>
      <c r="L49" s="6">
        <v>-37</v>
      </c>
      <c r="M49" s="8">
        <v>-555</v>
      </c>
      <c r="N49" s="8">
        <v>-167</v>
      </c>
      <c r="O49" s="8">
        <v>-134</v>
      </c>
      <c r="P49" s="8">
        <v>48</v>
      </c>
      <c r="Q49" s="8">
        <v>15</v>
      </c>
      <c r="R49" s="8">
        <v>190</v>
      </c>
      <c r="S49" s="8">
        <v>190</v>
      </c>
      <c r="T49" s="10">
        <f t="shared" si="9"/>
        <v>-1173</v>
      </c>
      <c r="U49" s="10" t="str">
        <f t="shared" si="10"/>
        <v>제외</v>
      </c>
      <c r="V49" s="10" t="str">
        <f t="shared" si="11"/>
        <v>제외</v>
      </c>
    </row>
    <row r="50" spans="1:22" ht="28" customHeight="1">
      <c r="A50" s="2"/>
      <c r="B50" s="2"/>
      <c r="C50" s="2"/>
      <c r="D50" s="2"/>
      <c r="E50" s="2"/>
      <c r="F50" s="2"/>
      <c r="G50" s="2" t="s">
        <v>62</v>
      </c>
      <c r="H50" s="2"/>
      <c r="I50" s="4">
        <v>44470</v>
      </c>
      <c r="J50" s="2" t="s">
        <v>73</v>
      </c>
      <c r="K50" s="2">
        <v>0</v>
      </c>
      <c r="L50" s="6">
        <v>-38</v>
      </c>
      <c r="M50" s="8">
        <v>-570</v>
      </c>
      <c r="N50" s="8">
        <v>-172</v>
      </c>
      <c r="O50" s="8">
        <v>-138</v>
      </c>
      <c r="P50" s="8">
        <v>49</v>
      </c>
      <c r="Q50" s="8">
        <v>15</v>
      </c>
      <c r="R50" s="8">
        <v>195</v>
      </c>
      <c r="S50" s="8">
        <v>195</v>
      </c>
      <c r="T50" s="10">
        <f t="shared" si="9"/>
        <v>-1206</v>
      </c>
      <c r="U50" s="10" t="str">
        <f t="shared" si="10"/>
        <v>제외</v>
      </c>
      <c r="V50" s="10" t="str">
        <f t="shared" si="11"/>
        <v>제외</v>
      </c>
    </row>
    <row r="51" spans="1:22" ht="28" customHeight="1">
      <c r="A51" s="2"/>
      <c r="B51" s="2"/>
      <c r="C51" s="2"/>
      <c r="D51" s="2"/>
      <c r="E51" s="2"/>
      <c r="F51" s="2"/>
      <c r="G51" s="2" t="s">
        <v>70</v>
      </c>
      <c r="H51" s="2"/>
      <c r="I51" s="4">
        <v>44440</v>
      </c>
      <c r="J51" s="2" t="s">
        <v>71</v>
      </c>
      <c r="K51" s="2">
        <v>0</v>
      </c>
      <c r="L51" s="6">
        <v>-39</v>
      </c>
      <c r="M51" s="8">
        <v>-585</v>
      </c>
      <c r="N51" s="8">
        <v>-177</v>
      </c>
      <c r="O51" s="8">
        <v>-142</v>
      </c>
      <c r="P51" s="8">
        <v>50</v>
      </c>
      <c r="Q51" s="8">
        <v>15</v>
      </c>
      <c r="R51" s="8">
        <v>200</v>
      </c>
      <c r="S51" s="8">
        <v>200</v>
      </c>
      <c r="T51" s="10">
        <f t="shared" si="9"/>
        <v>-1239</v>
      </c>
      <c r="U51" s="10" t="str">
        <f t="shared" si="10"/>
        <v>제외</v>
      </c>
      <c r="V51" s="10" t="str">
        <f t="shared" si="11"/>
        <v>제외</v>
      </c>
    </row>
    <row r="52" spans="1:22" ht="28" customHeight="1">
      <c r="A52" s="2"/>
      <c r="B52" s="2"/>
      <c r="C52" s="2"/>
      <c r="D52" s="2"/>
      <c r="E52" s="2"/>
      <c r="F52" s="2"/>
      <c r="G52" s="2" t="s">
        <v>62</v>
      </c>
      <c r="H52" s="2"/>
      <c r="I52" s="4">
        <v>44409</v>
      </c>
      <c r="J52" s="2" t="s">
        <v>73</v>
      </c>
      <c r="K52" s="2">
        <v>0</v>
      </c>
      <c r="L52" s="6">
        <v>-40</v>
      </c>
      <c r="M52" s="8">
        <v>-600</v>
      </c>
      <c r="N52" s="8">
        <v>-182</v>
      </c>
      <c r="O52" s="8">
        <v>-146</v>
      </c>
      <c r="P52" s="8">
        <v>51</v>
      </c>
      <c r="Q52" s="8">
        <v>15</v>
      </c>
      <c r="R52" s="8">
        <v>205</v>
      </c>
      <c r="S52" s="8">
        <v>205</v>
      </c>
      <c r="T52" s="10">
        <f t="shared" si="9"/>
        <v>-1272</v>
      </c>
      <c r="U52" s="10" t="str">
        <f t="shared" si="10"/>
        <v>제외</v>
      </c>
      <c r="V52" s="10" t="str">
        <f t="shared" si="11"/>
        <v>제외</v>
      </c>
    </row>
    <row r="53" spans="1:22" ht="28" customHeight="1">
      <c r="A53" s="2"/>
      <c r="B53" s="2"/>
      <c r="C53" s="2"/>
      <c r="D53" s="2"/>
      <c r="E53" s="2"/>
      <c r="F53" s="2"/>
      <c r="G53" s="2" t="s">
        <v>70</v>
      </c>
      <c r="H53" s="2"/>
      <c r="I53" s="4">
        <v>44378</v>
      </c>
      <c r="J53" s="2" t="s">
        <v>71</v>
      </c>
      <c r="K53" s="2">
        <v>0</v>
      </c>
      <c r="L53" s="6">
        <v>-41</v>
      </c>
      <c r="M53" s="8">
        <v>-615</v>
      </c>
      <c r="N53" s="8">
        <v>-187</v>
      </c>
      <c r="O53" s="8">
        <v>-150</v>
      </c>
      <c r="P53" s="8">
        <v>52</v>
      </c>
      <c r="Q53" s="8">
        <v>15</v>
      </c>
      <c r="R53" s="8">
        <v>210</v>
      </c>
      <c r="S53" s="8">
        <v>210</v>
      </c>
      <c r="T53" s="10">
        <f t="shared" si="9"/>
        <v>-1305</v>
      </c>
      <c r="U53" s="10" t="str">
        <f t="shared" si="10"/>
        <v>제외</v>
      </c>
      <c r="V53" s="10" t="str">
        <f t="shared" si="11"/>
        <v>제외</v>
      </c>
    </row>
    <row r="54" spans="1:22" ht="28" customHeight="1">
      <c r="A54" s="2"/>
      <c r="B54" s="2"/>
      <c r="C54" s="2"/>
      <c r="D54" s="2"/>
      <c r="E54" s="2"/>
      <c r="F54" s="2"/>
      <c r="G54" s="2" t="s">
        <v>62</v>
      </c>
      <c r="H54" s="2"/>
      <c r="I54" s="4">
        <v>44348</v>
      </c>
      <c r="J54" s="2" t="s">
        <v>73</v>
      </c>
      <c r="K54" s="2">
        <v>0</v>
      </c>
      <c r="L54" s="6">
        <v>-42</v>
      </c>
      <c r="M54" s="8">
        <v>-630</v>
      </c>
      <c r="N54" s="8">
        <v>-192</v>
      </c>
      <c r="O54" s="8">
        <v>-154</v>
      </c>
      <c r="P54" s="8">
        <v>53</v>
      </c>
      <c r="Q54" s="8">
        <v>15</v>
      </c>
      <c r="R54" s="8">
        <v>215</v>
      </c>
      <c r="S54" s="8">
        <v>215</v>
      </c>
      <c r="T54" s="10">
        <f t="shared" si="9"/>
        <v>-1338</v>
      </c>
      <c r="U54" s="10" t="str">
        <f t="shared" si="10"/>
        <v>제외</v>
      </c>
      <c r="V54" s="10" t="str">
        <f t="shared" si="11"/>
        <v>제외</v>
      </c>
    </row>
    <row r="55" spans="1:22" ht="28" customHeight="1">
      <c r="A55" s="2"/>
      <c r="B55" s="2"/>
      <c r="C55" s="2"/>
      <c r="D55" s="2"/>
      <c r="E55" s="2"/>
      <c r="F55" s="2"/>
      <c r="G55" s="2" t="s">
        <v>70</v>
      </c>
      <c r="H55" s="2"/>
      <c r="I55" s="4">
        <v>44317</v>
      </c>
      <c r="J55" s="2" t="s">
        <v>71</v>
      </c>
      <c r="K55" s="2">
        <v>0</v>
      </c>
      <c r="L55" s="6">
        <v>-43</v>
      </c>
      <c r="M55" s="8">
        <v>-645</v>
      </c>
      <c r="N55" s="8">
        <v>-197</v>
      </c>
      <c r="O55" s="8">
        <v>-158</v>
      </c>
      <c r="P55" s="8">
        <v>54</v>
      </c>
      <c r="Q55" s="8">
        <v>15</v>
      </c>
      <c r="R55" s="8">
        <v>220</v>
      </c>
      <c r="S55" s="8">
        <v>220</v>
      </c>
      <c r="T55" s="10">
        <f t="shared" si="9"/>
        <v>-1371</v>
      </c>
      <c r="U55" s="10" t="str">
        <f t="shared" si="10"/>
        <v>제외</v>
      </c>
      <c r="V55" s="10" t="str">
        <f t="shared" si="11"/>
        <v>제외</v>
      </c>
    </row>
    <row r="56" spans="1:22" ht="28" customHeight="1">
      <c r="A56" s="2"/>
      <c r="B56" s="2"/>
      <c r="C56" s="2"/>
      <c r="D56" s="2"/>
      <c r="E56" s="2"/>
      <c r="F56" s="2"/>
      <c r="G56" s="2" t="s">
        <v>62</v>
      </c>
      <c r="H56" s="2"/>
      <c r="I56" s="4">
        <v>44287</v>
      </c>
      <c r="J56" s="2" t="s">
        <v>73</v>
      </c>
      <c r="K56" s="2">
        <v>0</v>
      </c>
      <c r="L56" s="6">
        <v>-44</v>
      </c>
      <c r="M56" s="8">
        <v>-660</v>
      </c>
      <c r="N56" s="8">
        <v>-202</v>
      </c>
      <c r="O56" s="8">
        <v>-162</v>
      </c>
      <c r="P56" s="8">
        <v>55</v>
      </c>
      <c r="Q56" s="8">
        <v>15</v>
      </c>
      <c r="R56" s="8">
        <v>225</v>
      </c>
      <c r="S56" s="8">
        <v>225</v>
      </c>
      <c r="T56" s="10">
        <f t="shared" si="9"/>
        <v>-1404</v>
      </c>
      <c r="U56" s="10" t="str">
        <f t="shared" si="10"/>
        <v>제외</v>
      </c>
      <c r="V56" s="10" t="str">
        <f t="shared" si="11"/>
        <v>제외</v>
      </c>
    </row>
    <row r="57" spans="1:22" ht="28" customHeight="1">
      <c r="A57" s="2"/>
      <c r="B57" s="2"/>
      <c r="C57" s="2"/>
      <c r="D57" s="2"/>
      <c r="E57" s="2"/>
      <c r="F57" s="2"/>
      <c r="G57" s="2" t="s">
        <v>70</v>
      </c>
      <c r="H57" s="2"/>
      <c r="I57" s="4">
        <v>44256</v>
      </c>
      <c r="J57" s="2" t="s">
        <v>71</v>
      </c>
      <c r="K57" s="2">
        <v>0</v>
      </c>
      <c r="L57" s="6">
        <v>-45</v>
      </c>
      <c r="M57" s="8">
        <v>-675</v>
      </c>
      <c r="N57" s="8">
        <v>-207</v>
      </c>
      <c r="O57" s="8">
        <v>-166</v>
      </c>
      <c r="P57" s="8">
        <v>56</v>
      </c>
      <c r="Q57" s="8">
        <v>15</v>
      </c>
      <c r="R57" s="8">
        <v>230</v>
      </c>
      <c r="S57" s="8">
        <v>230</v>
      </c>
      <c r="T57" s="10">
        <f t="shared" si="9"/>
        <v>-1437</v>
      </c>
      <c r="U57" s="10" t="str">
        <f t="shared" si="10"/>
        <v>제외</v>
      </c>
      <c r="V57" s="10" t="str">
        <f t="shared" si="11"/>
        <v>제외</v>
      </c>
    </row>
    <row r="58" spans="1:22" ht="28" customHeight="1">
      <c r="A58" s="2"/>
      <c r="B58" s="2"/>
      <c r="C58" s="2"/>
      <c r="D58" s="2"/>
      <c r="E58" s="2"/>
      <c r="F58" s="2"/>
      <c r="G58" s="2" t="s">
        <v>62</v>
      </c>
      <c r="H58" s="2"/>
      <c r="I58" s="4">
        <v>44228</v>
      </c>
      <c r="J58" s="2" t="s">
        <v>73</v>
      </c>
      <c r="K58" s="2">
        <v>0</v>
      </c>
      <c r="L58" s="6">
        <v>-46</v>
      </c>
      <c r="M58" s="8">
        <v>-690</v>
      </c>
      <c r="N58" s="8">
        <v>-212</v>
      </c>
      <c r="O58" s="8">
        <v>-170</v>
      </c>
      <c r="P58" s="8">
        <v>57</v>
      </c>
      <c r="Q58" s="8">
        <v>15</v>
      </c>
      <c r="R58" s="8">
        <v>235</v>
      </c>
      <c r="S58" s="8">
        <v>235</v>
      </c>
      <c r="T58" s="10">
        <f t="shared" si="9"/>
        <v>-1470</v>
      </c>
      <c r="U58" s="10" t="str">
        <f t="shared" si="10"/>
        <v>제외</v>
      </c>
      <c r="V58" s="10" t="str">
        <f t="shared" si="11"/>
        <v>제외</v>
      </c>
    </row>
    <row r="59" spans="1:22" ht="28" customHeight="1">
      <c r="A59" s="2"/>
      <c r="B59" s="2"/>
      <c r="C59" s="2"/>
      <c r="D59" s="2"/>
      <c r="E59" s="2"/>
      <c r="F59" s="2"/>
      <c r="G59" s="2" t="s">
        <v>70</v>
      </c>
      <c r="H59" s="2"/>
      <c r="I59" s="4">
        <v>44197</v>
      </c>
      <c r="J59" s="2" t="s">
        <v>71</v>
      </c>
      <c r="K59" s="2">
        <v>0</v>
      </c>
      <c r="L59" s="6">
        <v>-47</v>
      </c>
      <c r="M59" s="8">
        <v>-705</v>
      </c>
      <c r="N59" s="8">
        <v>-217</v>
      </c>
      <c r="O59" s="8">
        <v>-174</v>
      </c>
      <c r="P59" s="8">
        <v>58</v>
      </c>
      <c r="Q59" s="8">
        <v>15</v>
      </c>
      <c r="R59" s="8">
        <v>240</v>
      </c>
      <c r="S59" s="8">
        <v>240</v>
      </c>
      <c r="T59" s="10">
        <f t="shared" si="9"/>
        <v>-1503</v>
      </c>
      <c r="U59" s="10" t="str">
        <f t="shared" si="10"/>
        <v>제외</v>
      </c>
      <c r="V59" s="10" t="str">
        <f t="shared" si="11"/>
        <v>제외</v>
      </c>
    </row>
    <row r="60" spans="1:22" ht="16.5">
      <c r="A60" s="15"/>
      <c r="B60" s="15"/>
      <c r="C60" s="15"/>
      <c r="D60" s="15"/>
      <c r="E60" s="15"/>
      <c r="F60" s="15"/>
      <c r="G60" s="15"/>
      <c r="H60" s="15"/>
      <c r="I60" s="16"/>
      <c r="J60" s="15"/>
      <c r="K60" s="15"/>
      <c r="L60" s="17"/>
      <c r="M60" s="18"/>
      <c r="N60" s="18"/>
      <c r="O60" s="18"/>
      <c r="P60" s="18"/>
      <c r="Q60" s="18"/>
      <c r="R60" s="18"/>
      <c r="S60" s="18"/>
      <c r="T60" s="19"/>
      <c r="U60" s="19"/>
      <c r="V60" s="19"/>
    </row>
    <row r="61" spans="1:22">
      <c r="I61" s="5"/>
      <c r="L61" s="7"/>
      <c r="M61" s="9"/>
      <c r="N61" s="9"/>
      <c r="O61" s="9"/>
      <c r="P61" s="9"/>
      <c r="Q61" s="9"/>
      <c r="R61" s="9"/>
      <c r="S61" s="9"/>
      <c r="T61" s="11">
        <f t="shared" ref="T6:T86" si="12">SUM(M61:Q61)-R61-S61</f>
        <v>0</v>
      </c>
      <c r="U61" s="11" t="str">
        <f t="shared" ref="U6:U86" si="13">IF(T61&gt;=75,"핵심",IF(T61&gt;=60,"연관",IF(AND(T61&gt;=55,D61="소비 신호"),"소비 신호",IF(T61&gt;=45,"확인중","제외"))))</f>
        <v>제외</v>
      </c>
      <c r="V61" s="11" t="str">
        <f t="shared" ref="V6:V86" si="14">IF(OR(R61&gt;=12,S61&gt;=10,T61&lt;45),"제외",IF(AND(T61&gt;=75,N61&gt;=17,O61&gt;=12,OR(D61="대표명·별칭",D61="구성요소",D61="제품·형태")),"핵심",IF(AND(T61&gt;=60,P61&gt;=1),"연관",IF(AND(T61&gt;=55,D61="소비 신호",P61&gt;=1),"소비 신호","확인중"))))</f>
        <v>제외</v>
      </c>
    </row>
    <row r="62" spans="1:22">
      <c r="I62" s="5"/>
      <c r="L62" s="7"/>
      <c r="M62" s="9"/>
      <c r="N62" s="9"/>
      <c r="O62" s="9"/>
      <c r="P62" s="9"/>
      <c r="Q62" s="9"/>
      <c r="R62" s="9"/>
      <c r="S62" s="9"/>
      <c r="T62" s="11">
        <f t="shared" si="12"/>
        <v>0</v>
      </c>
      <c r="U62" s="11" t="str">
        <f t="shared" si="13"/>
        <v>제외</v>
      </c>
      <c r="V62" s="11" t="str">
        <f t="shared" si="14"/>
        <v>제외</v>
      </c>
    </row>
    <row r="63" spans="1:22">
      <c r="I63" s="5"/>
      <c r="L63" s="7"/>
      <c r="M63" s="9"/>
      <c r="N63" s="9"/>
      <c r="O63" s="9"/>
      <c r="P63" s="9"/>
      <c r="Q63" s="9"/>
      <c r="R63" s="9"/>
      <c r="S63" s="9"/>
      <c r="T63" s="11">
        <f t="shared" si="12"/>
        <v>0</v>
      </c>
      <c r="U63" s="11" t="str">
        <f t="shared" si="13"/>
        <v>제외</v>
      </c>
      <c r="V63" s="11" t="str">
        <f t="shared" si="14"/>
        <v>제외</v>
      </c>
    </row>
    <row r="64" spans="1:22">
      <c r="I64" s="5"/>
      <c r="L64" s="7"/>
      <c r="M64" s="9"/>
      <c r="N64" s="9"/>
      <c r="O64" s="9"/>
      <c r="P64" s="9"/>
      <c r="Q64" s="9"/>
      <c r="R64" s="9"/>
      <c r="S64" s="9"/>
      <c r="T64" s="11">
        <f t="shared" si="12"/>
        <v>0</v>
      </c>
      <c r="U64" s="11" t="str">
        <f t="shared" si="13"/>
        <v>제외</v>
      </c>
      <c r="V64" s="11" t="str">
        <f t="shared" si="14"/>
        <v>제외</v>
      </c>
    </row>
    <row r="65" spans="9:22">
      <c r="I65" s="5"/>
      <c r="L65" s="7"/>
      <c r="M65" s="9"/>
      <c r="N65" s="9"/>
      <c r="O65" s="9"/>
      <c r="P65" s="9"/>
      <c r="Q65" s="9"/>
      <c r="R65" s="9"/>
      <c r="S65" s="9"/>
      <c r="T65" s="11">
        <f t="shared" si="12"/>
        <v>0</v>
      </c>
      <c r="U65" s="11" t="str">
        <f t="shared" si="13"/>
        <v>제외</v>
      </c>
      <c r="V65" s="11" t="str">
        <f t="shared" si="14"/>
        <v>제외</v>
      </c>
    </row>
    <row r="66" spans="9:22">
      <c r="I66" s="5"/>
      <c r="L66" s="7"/>
      <c r="M66" s="9"/>
      <c r="N66" s="9"/>
      <c r="O66" s="9"/>
      <c r="P66" s="9"/>
      <c r="Q66" s="9"/>
      <c r="R66" s="9"/>
      <c r="S66" s="9"/>
      <c r="T66" s="11">
        <f t="shared" si="12"/>
        <v>0</v>
      </c>
      <c r="U66" s="11" t="str">
        <f t="shared" si="13"/>
        <v>제외</v>
      </c>
      <c r="V66" s="11" t="str">
        <f t="shared" si="14"/>
        <v>제외</v>
      </c>
    </row>
    <row r="67" spans="9:22">
      <c r="I67" s="5"/>
      <c r="L67" s="7"/>
      <c r="M67" s="9"/>
      <c r="N67" s="9"/>
      <c r="O67" s="9"/>
      <c r="P67" s="9"/>
      <c r="Q67" s="9"/>
      <c r="R67" s="9"/>
      <c r="S67" s="9"/>
      <c r="T67" s="11">
        <f t="shared" si="12"/>
        <v>0</v>
      </c>
      <c r="U67" s="11" t="str">
        <f t="shared" si="13"/>
        <v>제외</v>
      </c>
      <c r="V67" s="11" t="str">
        <f t="shared" si="14"/>
        <v>제외</v>
      </c>
    </row>
    <row r="68" spans="9:22">
      <c r="I68" s="5"/>
      <c r="L68" s="7"/>
      <c r="M68" s="9"/>
      <c r="N68" s="9"/>
      <c r="O68" s="9"/>
      <c r="P68" s="9"/>
      <c r="Q68" s="9"/>
      <c r="R68" s="9"/>
      <c r="S68" s="9"/>
      <c r="T68" s="11">
        <f t="shared" si="12"/>
        <v>0</v>
      </c>
      <c r="U68" s="11" t="str">
        <f t="shared" si="13"/>
        <v>제외</v>
      </c>
      <c r="V68" s="11" t="str">
        <f t="shared" si="14"/>
        <v>제외</v>
      </c>
    </row>
    <row r="69" spans="9:22">
      <c r="I69" s="5"/>
      <c r="L69" s="7"/>
      <c r="M69" s="9"/>
      <c r="N69" s="9"/>
      <c r="O69" s="9"/>
      <c r="P69" s="9"/>
      <c r="Q69" s="9"/>
      <c r="R69" s="9"/>
      <c r="S69" s="9"/>
      <c r="T69" s="11">
        <f t="shared" si="12"/>
        <v>0</v>
      </c>
      <c r="U69" s="11" t="str">
        <f t="shared" si="13"/>
        <v>제외</v>
      </c>
      <c r="V69" s="11" t="str">
        <f t="shared" si="14"/>
        <v>제외</v>
      </c>
    </row>
    <row r="70" spans="9:22">
      <c r="I70" s="5"/>
      <c r="L70" s="7"/>
      <c r="M70" s="9"/>
      <c r="N70" s="9"/>
      <c r="O70" s="9"/>
      <c r="P70" s="9"/>
      <c r="Q70" s="9"/>
      <c r="R70" s="9"/>
      <c r="S70" s="9"/>
      <c r="T70" s="11"/>
      <c r="U70" s="11"/>
      <c r="V70" s="11"/>
    </row>
    <row r="71" spans="9:22">
      <c r="I71" s="5"/>
      <c r="L71" s="7"/>
      <c r="M71" s="9"/>
      <c r="N71" s="9"/>
      <c r="O71" s="9"/>
      <c r="P71" s="9"/>
      <c r="Q71" s="9"/>
      <c r="R71" s="9"/>
      <c r="S71" s="9"/>
      <c r="T71" s="11">
        <f t="shared" si="12"/>
        <v>0</v>
      </c>
      <c r="U71" s="11" t="str">
        <f t="shared" si="13"/>
        <v>제외</v>
      </c>
      <c r="V71" s="11" t="str">
        <f t="shared" si="14"/>
        <v>제외</v>
      </c>
    </row>
    <row r="72" spans="9:22">
      <c r="I72" s="5"/>
      <c r="L72" s="7"/>
      <c r="M72" s="9"/>
      <c r="N72" s="9"/>
      <c r="O72" s="9"/>
      <c r="P72" s="9"/>
      <c r="Q72" s="9"/>
      <c r="R72" s="9"/>
      <c r="S72" s="9"/>
      <c r="T72" s="11">
        <f t="shared" si="12"/>
        <v>0</v>
      </c>
      <c r="U72" s="11" t="str">
        <f t="shared" si="13"/>
        <v>제외</v>
      </c>
      <c r="V72" s="11" t="str">
        <f t="shared" si="14"/>
        <v>제외</v>
      </c>
    </row>
    <row r="73" spans="9:22">
      <c r="I73" s="5"/>
      <c r="L73" s="7"/>
      <c r="M73" s="9"/>
      <c r="N73" s="9"/>
      <c r="O73" s="9"/>
      <c r="P73" s="9"/>
      <c r="Q73" s="9"/>
      <c r="R73" s="9"/>
      <c r="S73" s="9"/>
      <c r="T73" s="11">
        <f t="shared" si="12"/>
        <v>0</v>
      </c>
      <c r="U73" s="11" t="str">
        <f t="shared" si="13"/>
        <v>제외</v>
      </c>
      <c r="V73" s="11" t="str">
        <f t="shared" si="14"/>
        <v>제외</v>
      </c>
    </row>
    <row r="74" spans="9:22">
      <c r="I74" s="5"/>
      <c r="L74" s="7"/>
      <c r="M74" s="9"/>
      <c r="N74" s="9"/>
      <c r="O74" s="9"/>
      <c r="P74" s="9"/>
      <c r="Q74" s="9"/>
      <c r="R74" s="9"/>
      <c r="S74" s="9"/>
      <c r="T74" s="11">
        <f t="shared" si="12"/>
        <v>0</v>
      </c>
      <c r="U74" s="11" t="str">
        <f t="shared" si="13"/>
        <v>제외</v>
      </c>
      <c r="V74" s="11" t="str">
        <f t="shared" si="14"/>
        <v>제외</v>
      </c>
    </row>
    <row r="75" spans="9:22">
      <c r="I75" s="5"/>
      <c r="L75" s="7"/>
      <c r="M75" s="9"/>
      <c r="N75" s="9"/>
      <c r="O75" s="9"/>
      <c r="P75" s="9"/>
      <c r="Q75" s="9"/>
      <c r="R75" s="9"/>
      <c r="S75" s="9"/>
      <c r="T75" s="11">
        <f t="shared" si="12"/>
        <v>0</v>
      </c>
      <c r="U75" s="11" t="str">
        <f t="shared" si="13"/>
        <v>제외</v>
      </c>
      <c r="V75" s="11" t="str">
        <f t="shared" si="14"/>
        <v>제외</v>
      </c>
    </row>
    <row r="76" spans="9:22">
      <c r="I76" s="5"/>
      <c r="L76" s="7"/>
      <c r="M76" s="9"/>
      <c r="N76" s="9"/>
      <c r="O76" s="9"/>
      <c r="P76" s="9"/>
      <c r="Q76" s="9"/>
      <c r="R76" s="9"/>
      <c r="S76" s="9"/>
      <c r="T76" s="11">
        <f t="shared" si="12"/>
        <v>0</v>
      </c>
      <c r="U76" s="11" t="str">
        <f t="shared" si="13"/>
        <v>제외</v>
      </c>
      <c r="V76" s="11" t="str">
        <f t="shared" si="14"/>
        <v>제외</v>
      </c>
    </row>
    <row r="77" spans="9:22">
      <c r="I77" s="5"/>
      <c r="L77" s="7"/>
      <c r="M77" s="9"/>
      <c r="N77" s="9"/>
      <c r="O77" s="9"/>
      <c r="P77" s="9"/>
      <c r="Q77" s="9"/>
      <c r="R77" s="9"/>
      <c r="S77" s="9"/>
      <c r="T77" s="11">
        <f t="shared" si="12"/>
        <v>0</v>
      </c>
      <c r="U77" s="11" t="str">
        <f t="shared" si="13"/>
        <v>제외</v>
      </c>
      <c r="V77" s="11" t="str">
        <f t="shared" si="14"/>
        <v>제외</v>
      </c>
    </row>
    <row r="78" spans="9:22">
      <c r="I78" s="5"/>
      <c r="L78" s="7"/>
      <c r="M78" s="9"/>
      <c r="N78" s="9"/>
      <c r="O78" s="9"/>
      <c r="P78" s="9"/>
      <c r="Q78" s="9"/>
      <c r="R78" s="9"/>
      <c r="S78" s="9"/>
      <c r="T78" s="11">
        <f t="shared" si="12"/>
        <v>0</v>
      </c>
      <c r="U78" s="11" t="str">
        <f t="shared" si="13"/>
        <v>제외</v>
      </c>
      <c r="V78" s="11" t="str">
        <f t="shared" si="14"/>
        <v>제외</v>
      </c>
    </row>
    <row r="79" spans="9:22">
      <c r="I79" s="5"/>
      <c r="L79" s="7"/>
      <c r="M79" s="9"/>
      <c r="N79" s="9"/>
      <c r="O79" s="9"/>
      <c r="P79" s="9"/>
      <c r="Q79" s="9"/>
      <c r="R79" s="9"/>
      <c r="S79" s="9"/>
      <c r="T79" s="11">
        <f t="shared" si="12"/>
        <v>0</v>
      </c>
      <c r="U79" s="11" t="str">
        <f t="shared" si="13"/>
        <v>제외</v>
      </c>
      <c r="V79" s="11" t="str">
        <f t="shared" si="14"/>
        <v>제외</v>
      </c>
    </row>
    <row r="80" spans="9:22">
      <c r="I80" s="5"/>
      <c r="L80" s="7"/>
      <c r="M80" s="9"/>
      <c r="N80" s="9"/>
      <c r="O80" s="9"/>
      <c r="P80" s="9"/>
      <c r="Q80" s="9"/>
      <c r="R80" s="9"/>
      <c r="S80" s="9"/>
      <c r="T80" s="11">
        <f t="shared" si="12"/>
        <v>0</v>
      </c>
      <c r="U80" s="11" t="str">
        <f t="shared" si="13"/>
        <v>제외</v>
      </c>
      <c r="V80" s="11" t="str">
        <f t="shared" si="14"/>
        <v>제외</v>
      </c>
    </row>
    <row r="81" spans="9:22">
      <c r="I81" s="5"/>
      <c r="L81" s="7"/>
      <c r="M81" s="9"/>
      <c r="N81" s="9"/>
      <c r="O81" s="9"/>
      <c r="P81" s="9"/>
      <c r="Q81" s="9"/>
      <c r="R81" s="9"/>
      <c r="S81" s="9"/>
      <c r="T81" s="11">
        <f t="shared" si="12"/>
        <v>0</v>
      </c>
      <c r="U81" s="11" t="str">
        <f t="shared" si="13"/>
        <v>제외</v>
      </c>
      <c r="V81" s="11" t="str">
        <f t="shared" si="14"/>
        <v>제외</v>
      </c>
    </row>
    <row r="82" spans="9:22">
      <c r="I82" s="5"/>
      <c r="L82" s="7"/>
      <c r="M82" s="9"/>
      <c r="N82" s="9"/>
      <c r="O82" s="9"/>
      <c r="P82" s="9"/>
      <c r="Q82" s="9"/>
      <c r="R82" s="9"/>
      <c r="S82" s="9"/>
      <c r="T82" s="11">
        <f t="shared" si="12"/>
        <v>0</v>
      </c>
      <c r="U82" s="11" t="str">
        <f t="shared" si="13"/>
        <v>제외</v>
      </c>
      <c r="V82" s="11" t="str">
        <f t="shared" si="14"/>
        <v>제외</v>
      </c>
    </row>
    <row r="83" spans="9:22">
      <c r="I83" s="5"/>
      <c r="L83" s="7"/>
      <c r="M83" s="9"/>
      <c r="N83" s="9"/>
      <c r="O83" s="9"/>
      <c r="P83" s="9"/>
      <c r="Q83" s="9"/>
      <c r="R83" s="9"/>
      <c r="S83" s="9"/>
      <c r="T83" s="11">
        <f t="shared" si="12"/>
        <v>0</v>
      </c>
      <c r="U83" s="11" t="str">
        <f t="shared" si="13"/>
        <v>제외</v>
      </c>
      <c r="V83" s="11" t="str">
        <f t="shared" si="14"/>
        <v>제외</v>
      </c>
    </row>
    <row r="84" spans="9:22">
      <c r="I84" s="5"/>
      <c r="L84" s="7"/>
      <c r="M84" s="9"/>
      <c r="N84" s="9"/>
      <c r="O84" s="9"/>
      <c r="P84" s="9"/>
      <c r="Q84" s="9"/>
      <c r="R84" s="9"/>
      <c r="S84" s="9"/>
      <c r="T84" s="11">
        <f t="shared" si="12"/>
        <v>0</v>
      </c>
      <c r="U84" s="11" t="str">
        <f t="shared" si="13"/>
        <v>제외</v>
      </c>
      <c r="V84" s="11" t="str">
        <f t="shared" si="14"/>
        <v>제외</v>
      </c>
    </row>
    <row r="85" spans="9:22">
      <c r="I85" s="5"/>
      <c r="L85" s="7"/>
      <c r="M85" s="9"/>
      <c r="N85" s="9"/>
      <c r="O85" s="9"/>
      <c r="P85" s="9"/>
      <c r="Q85" s="9"/>
      <c r="R85" s="9"/>
      <c r="S85" s="9"/>
      <c r="T85" s="11">
        <f t="shared" si="12"/>
        <v>0</v>
      </c>
      <c r="U85" s="11" t="str">
        <f t="shared" si="13"/>
        <v>제외</v>
      </c>
      <c r="V85" s="11" t="str">
        <f t="shared" si="14"/>
        <v>제외</v>
      </c>
    </row>
    <row r="86" spans="9:22">
      <c r="I86" s="5"/>
      <c r="L86" s="7"/>
      <c r="M86" s="9"/>
      <c r="N86" s="9"/>
      <c r="O86" s="9"/>
      <c r="P86" s="9"/>
      <c r="Q86" s="9"/>
      <c r="R86" s="9"/>
      <c r="S86" s="9"/>
      <c r="T86" s="11">
        <f t="shared" si="12"/>
        <v>0</v>
      </c>
      <c r="U86" s="11" t="str">
        <f t="shared" si="13"/>
        <v>제외</v>
      </c>
      <c r="V86" s="11" t="str">
        <f t="shared" si="14"/>
        <v>제외</v>
      </c>
    </row>
    <row r="87" spans="9:22">
      <c r="I87" s="5"/>
      <c r="L87" s="7"/>
      <c r="M87" s="9"/>
      <c r="N87" s="9"/>
      <c r="O87" s="9"/>
      <c r="P87" s="9"/>
      <c r="Q87" s="9"/>
      <c r="R87" s="9"/>
      <c r="S87" s="9"/>
      <c r="T87" s="11">
        <f t="shared" ref="T87:T118" si="15">SUM(M87:Q87)-R87-S87</f>
        <v>0</v>
      </c>
      <c r="U87" s="11" t="str">
        <f t="shared" ref="U87:U118" si="16">IF(T87&gt;=75,"핵심",IF(T87&gt;=60,"연관",IF(AND(T87&gt;=55,D87="소비 신호"),"소비 신호",IF(T87&gt;=45,"확인중","제외"))))</f>
        <v>제외</v>
      </c>
      <c r="V87" s="11" t="str">
        <f t="shared" ref="V87:V118" si="17">IF(OR(R87&gt;=12,S87&gt;=10,T87&lt;45),"제외",IF(AND(T87&gt;=75,N87&gt;=17,O87&gt;=12,OR(D87="대표명·별칭",D87="구성요소",D87="제품·형태")),"핵심",IF(AND(T87&gt;=60,P87&gt;=1),"연관",IF(AND(T87&gt;=55,D87="소비 신호",P87&gt;=1),"소비 신호","확인중"))))</f>
        <v>제외</v>
      </c>
    </row>
    <row r="88" spans="9:22">
      <c r="I88" s="5"/>
      <c r="L88" s="7"/>
      <c r="M88" s="9"/>
      <c r="N88" s="9"/>
      <c r="O88" s="9"/>
      <c r="P88" s="9"/>
      <c r="Q88" s="9"/>
      <c r="R88" s="9"/>
      <c r="S88" s="9"/>
      <c r="T88" s="11">
        <f t="shared" si="15"/>
        <v>0</v>
      </c>
      <c r="U88" s="11" t="str">
        <f t="shared" si="16"/>
        <v>제외</v>
      </c>
      <c r="V88" s="11" t="str">
        <f t="shared" si="17"/>
        <v>제외</v>
      </c>
    </row>
    <row r="89" spans="9:22">
      <c r="I89" s="5"/>
      <c r="L89" s="7"/>
      <c r="M89" s="9"/>
      <c r="N89" s="9"/>
      <c r="O89" s="9"/>
      <c r="P89" s="9"/>
      <c r="Q89" s="9"/>
      <c r="R89" s="9"/>
      <c r="S89" s="9"/>
      <c r="T89" s="11">
        <f t="shared" si="15"/>
        <v>0</v>
      </c>
      <c r="U89" s="11" t="str">
        <f t="shared" si="16"/>
        <v>제외</v>
      </c>
      <c r="V89" s="11" t="str">
        <f t="shared" si="17"/>
        <v>제외</v>
      </c>
    </row>
    <row r="90" spans="9:22">
      <c r="I90" s="5"/>
      <c r="L90" s="7"/>
      <c r="M90" s="9"/>
      <c r="N90" s="9"/>
      <c r="O90" s="9"/>
      <c r="P90" s="9"/>
      <c r="Q90" s="9"/>
      <c r="R90" s="9"/>
      <c r="S90" s="9"/>
      <c r="T90" s="11">
        <f t="shared" si="15"/>
        <v>0</v>
      </c>
      <c r="U90" s="11" t="str">
        <f t="shared" si="16"/>
        <v>제외</v>
      </c>
      <c r="V90" s="11" t="str">
        <f t="shared" si="17"/>
        <v>제외</v>
      </c>
    </row>
    <row r="91" spans="9:22">
      <c r="I91" s="5"/>
      <c r="L91" s="7"/>
      <c r="M91" s="9"/>
      <c r="N91" s="9"/>
      <c r="O91" s="9"/>
      <c r="P91" s="9"/>
      <c r="Q91" s="9"/>
      <c r="R91" s="9"/>
      <c r="S91" s="9"/>
      <c r="T91" s="11">
        <f t="shared" si="15"/>
        <v>0</v>
      </c>
      <c r="U91" s="11" t="str">
        <f t="shared" si="16"/>
        <v>제외</v>
      </c>
      <c r="V91" s="11" t="str">
        <f t="shared" si="17"/>
        <v>제외</v>
      </c>
    </row>
    <row r="92" spans="9:22">
      <c r="I92" s="5"/>
      <c r="L92" s="7"/>
      <c r="M92" s="9"/>
      <c r="N92" s="9"/>
      <c r="O92" s="9"/>
      <c r="P92" s="9"/>
      <c r="Q92" s="9"/>
      <c r="R92" s="9"/>
      <c r="S92" s="9"/>
      <c r="T92" s="11">
        <f t="shared" si="15"/>
        <v>0</v>
      </c>
      <c r="U92" s="11" t="str">
        <f t="shared" si="16"/>
        <v>제외</v>
      </c>
      <c r="V92" s="11" t="str">
        <f t="shared" si="17"/>
        <v>제외</v>
      </c>
    </row>
    <row r="93" spans="9:22">
      <c r="I93" s="5"/>
      <c r="L93" s="7"/>
      <c r="M93" s="9"/>
      <c r="N93" s="9"/>
      <c r="O93" s="9"/>
      <c r="P93" s="9"/>
      <c r="Q93" s="9"/>
      <c r="R93" s="9"/>
      <c r="S93" s="9"/>
      <c r="T93" s="11">
        <f t="shared" si="15"/>
        <v>0</v>
      </c>
      <c r="U93" s="11" t="str">
        <f t="shared" si="16"/>
        <v>제외</v>
      </c>
      <c r="V93" s="11" t="str">
        <f t="shared" si="17"/>
        <v>제외</v>
      </c>
    </row>
    <row r="94" spans="9:22">
      <c r="I94" s="5"/>
      <c r="L94" s="7"/>
      <c r="M94" s="9"/>
      <c r="N94" s="9"/>
      <c r="O94" s="9"/>
      <c r="P94" s="9"/>
      <c r="Q94" s="9"/>
      <c r="R94" s="9"/>
      <c r="S94" s="9"/>
      <c r="T94" s="11">
        <f t="shared" si="15"/>
        <v>0</v>
      </c>
      <c r="U94" s="11" t="str">
        <f t="shared" si="16"/>
        <v>제외</v>
      </c>
      <c r="V94" s="11" t="str">
        <f t="shared" si="17"/>
        <v>제외</v>
      </c>
    </row>
    <row r="95" spans="9:22">
      <c r="I95" s="5"/>
      <c r="L95" s="7"/>
      <c r="M95" s="9"/>
      <c r="N95" s="9"/>
      <c r="O95" s="9"/>
      <c r="P95" s="9"/>
      <c r="Q95" s="9"/>
      <c r="R95" s="9"/>
      <c r="S95" s="9"/>
      <c r="T95" s="11">
        <f t="shared" si="15"/>
        <v>0</v>
      </c>
      <c r="U95" s="11" t="str">
        <f t="shared" si="16"/>
        <v>제외</v>
      </c>
      <c r="V95" s="11" t="str">
        <f t="shared" si="17"/>
        <v>제외</v>
      </c>
    </row>
    <row r="96" spans="9:22">
      <c r="I96" s="5"/>
      <c r="L96" s="7"/>
      <c r="M96" s="9"/>
      <c r="N96" s="9"/>
      <c r="O96" s="9"/>
      <c r="P96" s="9"/>
      <c r="Q96" s="9"/>
      <c r="R96" s="9"/>
      <c r="S96" s="9"/>
      <c r="T96" s="11">
        <f t="shared" si="15"/>
        <v>0</v>
      </c>
      <c r="U96" s="11" t="str">
        <f t="shared" si="16"/>
        <v>제외</v>
      </c>
      <c r="V96" s="11" t="str">
        <f t="shared" si="17"/>
        <v>제외</v>
      </c>
    </row>
    <row r="97" spans="9:22">
      <c r="I97" s="5"/>
      <c r="L97" s="7"/>
      <c r="M97" s="9"/>
      <c r="N97" s="9"/>
      <c r="O97" s="9"/>
      <c r="P97" s="9"/>
      <c r="Q97" s="9"/>
      <c r="R97" s="9"/>
      <c r="S97" s="9"/>
      <c r="T97" s="11">
        <f t="shared" si="15"/>
        <v>0</v>
      </c>
      <c r="U97" s="11" t="str">
        <f t="shared" si="16"/>
        <v>제외</v>
      </c>
      <c r="V97" s="11" t="str">
        <f t="shared" si="17"/>
        <v>제외</v>
      </c>
    </row>
    <row r="98" spans="9:22">
      <c r="I98" s="5"/>
      <c r="L98" s="7"/>
      <c r="M98" s="9"/>
      <c r="N98" s="9"/>
      <c r="O98" s="9"/>
      <c r="P98" s="9"/>
      <c r="Q98" s="9"/>
      <c r="R98" s="9"/>
      <c r="S98" s="9"/>
      <c r="T98" s="11">
        <f t="shared" si="15"/>
        <v>0</v>
      </c>
      <c r="U98" s="11" t="str">
        <f t="shared" si="16"/>
        <v>제외</v>
      </c>
      <c r="V98" s="11" t="str">
        <f t="shared" si="17"/>
        <v>제외</v>
      </c>
    </row>
    <row r="99" spans="9:22">
      <c r="I99" s="5"/>
      <c r="L99" s="7"/>
      <c r="M99" s="9"/>
      <c r="N99" s="9"/>
      <c r="O99" s="9"/>
      <c r="P99" s="9"/>
      <c r="Q99" s="9"/>
      <c r="R99" s="9"/>
      <c r="S99" s="9"/>
      <c r="T99" s="11">
        <f t="shared" si="15"/>
        <v>0</v>
      </c>
      <c r="U99" s="11" t="str">
        <f t="shared" si="16"/>
        <v>제외</v>
      </c>
      <c r="V99" s="11" t="str">
        <f t="shared" si="17"/>
        <v>제외</v>
      </c>
    </row>
    <row r="100" spans="9:22">
      <c r="I100" s="5"/>
      <c r="L100" s="7"/>
      <c r="M100" s="9"/>
      <c r="N100" s="9"/>
      <c r="O100" s="9"/>
      <c r="P100" s="9"/>
      <c r="Q100" s="9"/>
      <c r="R100" s="9"/>
      <c r="S100" s="9"/>
      <c r="T100" s="11">
        <f t="shared" si="15"/>
        <v>0</v>
      </c>
      <c r="U100" s="11" t="str">
        <f t="shared" si="16"/>
        <v>제외</v>
      </c>
      <c r="V100" s="11" t="str">
        <f t="shared" si="17"/>
        <v>제외</v>
      </c>
    </row>
    <row r="101" spans="9:22">
      <c r="I101" s="5"/>
      <c r="L101" s="7"/>
      <c r="M101" s="9"/>
      <c r="N101" s="9"/>
      <c r="O101" s="9"/>
      <c r="P101" s="9"/>
      <c r="Q101" s="9"/>
      <c r="R101" s="9"/>
      <c r="S101" s="9"/>
      <c r="T101" s="11">
        <f t="shared" si="15"/>
        <v>0</v>
      </c>
      <c r="U101" s="11" t="str">
        <f t="shared" si="16"/>
        <v>제외</v>
      </c>
      <c r="V101" s="11" t="str">
        <f t="shared" si="17"/>
        <v>제외</v>
      </c>
    </row>
    <row r="102" spans="9:22">
      <c r="I102" s="5"/>
      <c r="L102" s="7"/>
      <c r="M102" s="9"/>
      <c r="N102" s="9"/>
      <c r="O102" s="9"/>
      <c r="P102" s="9"/>
      <c r="Q102" s="9"/>
      <c r="R102" s="9"/>
      <c r="S102" s="9"/>
      <c r="T102" s="11">
        <f t="shared" si="15"/>
        <v>0</v>
      </c>
      <c r="U102" s="11" t="str">
        <f t="shared" si="16"/>
        <v>제외</v>
      </c>
      <c r="V102" s="11" t="str">
        <f t="shared" si="17"/>
        <v>제외</v>
      </c>
    </row>
    <row r="103" spans="9:22">
      <c r="I103" s="5"/>
      <c r="L103" s="7"/>
      <c r="M103" s="9"/>
      <c r="N103" s="9"/>
      <c r="O103" s="9"/>
      <c r="P103" s="9"/>
      <c r="Q103" s="9"/>
      <c r="R103" s="9"/>
      <c r="S103" s="9"/>
      <c r="T103" s="11">
        <f t="shared" si="15"/>
        <v>0</v>
      </c>
      <c r="U103" s="11" t="str">
        <f t="shared" si="16"/>
        <v>제외</v>
      </c>
      <c r="V103" s="11" t="str">
        <f t="shared" si="17"/>
        <v>제외</v>
      </c>
    </row>
    <row r="104" spans="9:22">
      <c r="I104" s="5"/>
      <c r="L104" s="7"/>
      <c r="M104" s="9"/>
      <c r="N104" s="9"/>
      <c r="O104" s="9"/>
      <c r="P104" s="9"/>
      <c r="Q104" s="9"/>
      <c r="R104" s="9"/>
      <c r="S104" s="9"/>
      <c r="T104" s="11">
        <f t="shared" si="15"/>
        <v>0</v>
      </c>
      <c r="U104" s="11" t="str">
        <f t="shared" si="16"/>
        <v>제외</v>
      </c>
      <c r="V104" s="11" t="str">
        <f t="shared" si="17"/>
        <v>제외</v>
      </c>
    </row>
    <row r="105" spans="9:22">
      <c r="I105" s="5"/>
      <c r="L105" s="7"/>
      <c r="M105" s="9"/>
      <c r="N105" s="9"/>
      <c r="O105" s="9"/>
      <c r="P105" s="9"/>
      <c r="Q105" s="9"/>
      <c r="R105" s="9"/>
      <c r="S105" s="9"/>
      <c r="T105" s="11">
        <f t="shared" si="15"/>
        <v>0</v>
      </c>
      <c r="U105" s="11" t="str">
        <f t="shared" si="16"/>
        <v>제외</v>
      </c>
      <c r="V105" s="11" t="str">
        <f t="shared" si="17"/>
        <v>제외</v>
      </c>
    </row>
    <row r="106" spans="9:22">
      <c r="I106" s="5"/>
      <c r="L106" s="7"/>
      <c r="M106" s="9"/>
      <c r="N106" s="9"/>
      <c r="O106" s="9"/>
      <c r="P106" s="9"/>
      <c r="Q106" s="9"/>
      <c r="R106" s="9"/>
      <c r="S106" s="9"/>
      <c r="T106" s="11">
        <f t="shared" si="15"/>
        <v>0</v>
      </c>
      <c r="U106" s="11" t="str">
        <f t="shared" si="16"/>
        <v>제외</v>
      </c>
      <c r="V106" s="11" t="str">
        <f t="shared" si="17"/>
        <v>제외</v>
      </c>
    </row>
    <row r="107" spans="9:22">
      <c r="I107" s="5"/>
      <c r="L107" s="7"/>
      <c r="M107" s="9"/>
      <c r="N107" s="9"/>
      <c r="O107" s="9"/>
      <c r="P107" s="9"/>
      <c r="Q107" s="9"/>
      <c r="R107" s="9"/>
      <c r="S107" s="9"/>
      <c r="T107" s="11">
        <f t="shared" si="15"/>
        <v>0</v>
      </c>
      <c r="U107" s="11" t="str">
        <f t="shared" si="16"/>
        <v>제외</v>
      </c>
      <c r="V107" s="11" t="str">
        <f t="shared" si="17"/>
        <v>제외</v>
      </c>
    </row>
    <row r="108" spans="9:22">
      <c r="I108" s="5"/>
      <c r="L108" s="7"/>
      <c r="M108" s="9"/>
      <c r="N108" s="9"/>
      <c r="O108" s="9"/>
      <c r="P108" s="9"/>
      <c r="Q108" s="9"/>
      <c r="R108" s="9"/>
      <c r="S108" s="9"/>
      <c r="T108" s="11">
        <f t="shared" si="15"/>
        <v>0</v>
      </c>
      <c r="U108" s="11" t="str">
        <f t="shared" si="16"/>
        <v>제외</v>
      </c>
      <c r="V108" s="11" t="str">
        <f t="shared" si="17"/>
        <v>제외</v>
      </c>
    </row>
    <row r="109" spans="9:22">
      <c r="I109" s="5"/>
      <c r="L109" s="7"/>
      <c r="M109" s="9"/>
      <c r="N109" s="9"/>
      <c r="O109" s="9"/>
      <c r="P109" s="9"/>
      <c r="Q109" s="9"/>
      <c r="R109" s="9"/>
      <c r="S109" s="9"/>
      <c r="T109" s="11">
        <f t="shared" si="15"/>
        <v>0</v>
      </c>
      <c r="U109" s="11" t="str">
        <f t="shared" si="16"/>
        <v>제외</v>
      </c>
      <c r="V109" s="11" t="str">
        <f t="shared" si="17"/>
        <v>제외</v>
      </c>
    </row>
    <row r="110" spans="9:22">
      <c r="I110" s="5"/>
      <c r="L110" s="7"/>
      <c r="M110" s="9"/>
      <c r="N110" s="9"/>
      <c r="O110" s="9"/>
      <c r="P110" s="9"/>
      <c r="Q110" s="9"/>
      <c r="R110" s="9"/>
      <c r="S110" s="9"/>
      <c r="T110" s="11">
        <f t="shared" si="15"/>
        <v>0</v>
      </c>
      <c r="U110" s="11" t="str">
        <f t="shared" si="16"/>
        <v>제외</v>
      </c>
      <c r="V110" s="11" t="str">
        <f t="shared" si="17"/>
        <v>제외</v>
      </c>
    </row>
    <row r="111" spans="9:22">
      <c r="I111" s="5"/>
      <c r="L111" s="7"/>
      <c r="M111" s="9"/>
      <c r="N111" s="9"/>
      <c r="O111" s="9"/>
      <c r="P111" s="9"/>
      <c r="Q111" s="9"/>
      <c r="R111" s="9"/>
      <c r="S111" s="9"/>
      <c r="T111" s="11">
        <f t="shared" si="15"/>
        <v>0</v>
      </c>
      <c r="U111" s="11" t="str">
        <f t="shared" si="16"/>
        <v>제외</v>
      </c>
      <c r="V111" s="11" t="str">
        <f t="shared" si="17"/>
        <v>제외</v>
      </c>
    </row>
    <row r="112" spans="9:22">
      <c r="I112" s="5"/>
      <c r="L112" s="7"/>
      <c r="M112" s="9"/>
      <c r="N112" s="9"/>
      <c r="O112" s="9"/>
      <c r="P112" s="9"/>
      <c r="Q112" s="9"/>
      <c r="R112" s="9"/>
      <c r="S112" s="9"/>
      <c r="T112" s="11">
        <f t="shared" si="15"/>
        <v>0</v>
      </c>
      <c r="U112" s="11" t="str">
        <f t="shared" si="16"/>
        <v>제외</v>
      </c>
      <c r="V112" s="11" t="str">
        <f t="shared" si="17"/>
        <v>제외</v>
      </c>
    </row>
    <row r="113" spans="9:22">
      <c r="I113" s="5"/>
      <c r="L113" s="7"/>
      <c r="M113" s="9"/>
      <c r="N113" s="9"/>
      <c r="O113" s="9"/>
      <c r="P113" s="9"/>
      <c r="Q113" s="9"/>
      <c r="R113" s="9"/>
      <c r="S113" s="9"/>
      <c r="T113" s="11">
        <f t="shared" si="15"/>
        <v>0</v>
      </c>
      <c r="U113" s="11" t="str">
        <f t="shared" si="16"/>
        <v>제외</v>
      </c>
      <c r="V113" s="11" t="str">
        <f t="shared" si="17"/>
        <v>제외</v>
      </c>
    </row>
    <row r="114" spans="9:22">
      <c r="I114" s="5"/>
      <c r="L114" s="7"/>
      <c r="M114" s="9"/>
      <c r="N114" s="9"/>
      <c r="O114" s="9"/>
      <c r="P114" s="9"/>
      <c r="Q114" s="9"/>
      <c r="R114" s="9"/>
      <c r="S114" s="9"/>
      <c r="T114" s="11">
        <f t="shared" si="15"/>
        <v>0</v>
      </c>
      <c r="U114" s="11" t="str">
        <f t="shared" si="16"/>
        <v>제외</v>
      </c>
      <c r="V114" s="11" t="str">
        <f t="shared" si="17"/>
        <v>제외</v>
      </c>
    </row>
    <row r="115" spans="9:22">
      <c r="I115" s="5"/>
      <c r="L115" s="7"/>
      <c r="M115" s="9"/>
      <c r="N115" s="9"/>
      <c r="O115" s="9"/>
      <c r="P115" s="9"/>
      <c r="Q115" s="9"/>
      <c r="R115" s="9"/>
      <c r="S115" s="9"/>
      <c r="T115" s="11">
        <f t="shared" si="15"/>
        <v>0</v>
      </c>
      <c r="U115" s="11" t="str">
        <f t="shared" si="16"/>
        <v>제외</v>
      </c>
      <c r="V115" s="11" t="str">
        <f t="shared" si="17"/>
        <v>제외</v>
      </c>
    </row>
    <row r="116" spans="9:22">
      <c r="I116" s="5"/>
      <c r="L116" s="7"/>
      <c r="M116" s="9"/>
      <c r="N116" s="9"/>
      <c r="O116" s="9"/>
      <c r="P116" s="9"/>
      <c r="Q116" s="9"/>
      <c r="R116" s="9"/>
      <c r="S116" s="9"/>
      <c r="T116" s="11">
        <f t="shared" si="15"/>
        <v>0</v>
      </c>
      <c r="U116" s="11" t="str">
        <f t="shared" si="16"/>
        <v>제외</v>
      </c>
      <c r="V116" s="11" t="str">
        <f t="shared" si="17"/>
        <v>제외</v>
      </c>
    </row>
    <row r="117" spans="9:22">
      <c r="I117" s="5"/>
      <c r="L117" s="7"/>
      <c r="M117" s="9"/>
      <c r="N117" s="9"/>
      <c r="O117" s="9"/>
      <c r="P117" s="9"/>
      <c r="Q117" s="9"/>
      <c r="R117" s="9"/>
      <c r="S117" s="9"/>
      <c r="T117" s="11">
        <f t="shared" si="15"/>
        <v>0</v>
      </c>
      <c r="U117" s="11" t="str">
        <f t="shared" si="16"/>
        <v>제외</v>
      </c>
      <c r="V117" s="11" t="str">
        <f t="shared" si="17"/>
        <v>제외</v>
      </c>
    </row>
    <row r="118" spans="9:22">
      <c r="I118" s="5"/>
      <c r="L118" s="7"/>
      <c r="M118" s="9"/>
      <c r="N118" s="9"/>
      <c r="O118" s="9"/>
      <c r="P118" s="9"/>
      <c r="Q118" s="9"/>
      <c r="R118" s="9"/>
      <c r="S118" s="9"/>
      <c r="T118" s="11">
        <f t="shared" si="15"/>
        <v>0</v>
      </c>
      <c r="U118" s="11" t="str">
        <f t="shared" si="16"/>
        <v>제외</v>
      </c>
      <c r="V118" s="11" t="str">
        <f t="shared" si="17"/>
        <v>제외</v>
      </c>
    </row>
    <row r="119" spans="9:22">
      <c r="I119" s="5"/>
      <c r="L119" s="7"/>
      <c r="M119" s="9"/>
      <c r="N119" s="9"/>
      <c r="O119" s="9"/>
      <c r="P119" s="9"/>
      <c r="Q119" s="9"/>
      <c r="R119" s="9"/>
      <c r="S119" s="9"/>
      <c r="T119" s="11">
        <f t="shared" ref="T119:T150" si="18">SUM(M119:Q119)-R119-S119</f>
        <v>0</v>
      </c>
      <c r="U119" s="11" t="str">
        <f t="shared" ref="U119:U150" si="19">IF(T119&gt;=75,"핵심",IF(T119&gt;=60,"연관",IF(AND(T119&gt;=55,D119="소비 신호"),"소비 신호",IF(T119&gt;=45,"확인중","제외"))))</f>
        <v>제외</v>
      </c>
      <c r="V119" s="11" t="str">
        <f t="shared" ref="V119:V150" si="20">IF(OR(R119&gt;=12,S119&gt;=10,T119&lt;45),"제외",IF(AND(T119&gt;=75,N119&gt;=17,O119&gt;=12,OR(D119="대표명·별칭",D119="구성요소",D119="제품·형태")),"핵심",IF(AND(T119&gt;=60,P119&gt;=1),"연관",IF(AND(T119&gt;=55,D119="소비 신호",P119&gt;=1),"소비 신호","확인중"))))</f>
        <v>제외</v>
      </c>
    </row>
    <row r="120" spans="9:22">
      <c r="I120" s="5"/>
      <c r="L120" s="7"/>
      <c r="M120" s="9"/>
      <c r="N120" s="9"/>
      <c r="O120" s="9"/>
      <c r="P120" s="9"/>
      <c r="Q120" s="9"/>
      <c r="R120" s="9"/>
      <c r="S120" s="9"/>
      <c r="T120" s="11">
        <f t="shared" si="18"/>
        <v>0</v>
      </c>
      <c r="U120" s="11" t="str">
        <f t="shared" si="19"/>
        <v>제외</v>
      </c>
      <c r="V120" s="11" t="str">
        <f t="shared" si="20"/>
        <v>제외</v>
      </c>
    </row>
    <row r="121" spans="9:22">
      <c r="I121" s="5"/>
      <c r="L121" s="7"/>
      <c r="M121" s="9"/>
      <c r="N121" s="9"/>
      <c r="O121" s="9"/>
      <c r="P121" s="9"/>
      <c r="Q121" s="9"/>
      <c r="R121" s="9"/>
      <c r="S121" s="9"/>
      <c r="T121" s="11">
        <f t="shared" si="18"/>
        <v>0</v>
      </c>
      <c r="U121" s="11" t="str">
        <f t="shared" si="19"/>
        <v>제외</v>
      </c>
      <c r="V121" s="11" t="str">
        <f t="shared" si="20"/>
        <v>제외</v>
      </c>
    </row>
    <row r="122" spans="9:22">
      <c r="I122" s="5"/>
      <c r="L122" s="7"/>
      <c r="M122" s="9"/>
      <c r="N122" s="9"/>
      <c r="O122" s="9"/>
      <c r="P122" s="9"/>
      <c r="Q122" s="9"/>
      <c r="R122" s="9"/>
      <c r="S122" s="9"/>
      <c r="T122" s="11">
        <f t="shared" si="18"/>
        <v>0</v>
      </c>
      <c r="U122" s="11" t="str">
        <f t="shared" si="19"/>
        <v>제외</v>
      </c>
      <c r="V122" s="11" t="str">
        <f t="shared" si="20"/>
        <v>제외</v>
      </c>
    </row>
    <row r="123" spans="9:22">
      <c r="I123" s="5"/>
      <c r="L123" s="7"/>
      <c r="M123" s="9"/>
      <c r="N123" s="9"/>
      <c r="O123" s="9"/>
      <c r="P123" s="9"/>
      <c r="Q123" s="9"/>
      <c r="R123" s="9"/>
      <c r="S123" s="9"/>
      <c r="T123" s="11">
        <f t="shared" si="18"/>
        <v>0</v>
      </c>
      <c r="U123" s="11" t="str">
        <f t="shared" si="19"/>
        <v>제외</v>
      </c>
      <c r="V123" s="11" t="str">
        <f t="shared" si="20"/>
        <v>제외</v>
      </c>
    </row>
    <row r="124" spans="9:22">
      <c r="I124" s="5"/>
      <c r="L124" s="7"/>
      <c r="M124" s="9"/>
      <c r="N124" s="9"/>
      <c r="O124" s="9"/>
      <c r="P124" s="9"/>
      <c r="Q124" s="9"/>
      <c r="R124" s="9"/>
      <c r="S124" s="9"/>
      <c r="T124" s="11">
        <f t="shared" si="18"/>
        <v>0</v>
      </c>
      <c r="U124" s="11" t="str">
        <f t="shared" si="19"/>
        <v>제외</v>
      </c>
      <c r="V124" s="11" t="str">
        <f t="shared" si="20"/>
        <v>제외</v>
      </c>
    </row>
    <row r="125" spans="9:22">
      <c r="I125" s="5"/>
      <c r="L125" s="7"/>
      <c r="M125" s="9"/>
      <c r="N125" s="9"/>
      <c r="O125" s="9"/>
      <c r="P125" s="9"/>
      <c r="Q125" s="9"/>
      <c r="R125" s="9"/>
      <c r="S125" s="9"/>
      <c r="T125" s="11">
        <f t="shared" si="18"/>
        <v>0</v>
      </c>
      <c r="U125" s="11" t="str">
        <f t="shared" si="19"/>
        <v>제외</v>
      </c>
      <c r="V125" s="11" t="str">
        <f t="shared" si="20"/>
        <v>제외</v>
      </c>
    </row>
    <row r="126" spans="9:22">
      <c r="I126" s="5"/>
      <c r="L126" s="7"/>
      <c r="M126" s="9"/>
      <c r="N126" s="9"/>
      <c r="O126" s="9"/>
      <c r="P126" s="9"/>
      <c r="Q126" s="9"/>
      <c r="R126" s="9"/>
      <c r="S126" s="9"/>
      <c r="T126" s="11">
        <f t="shared" si="18"/>
        <v>0</v>
      </c>
      <c r="U126" s="11" t="str">
        <f t="shared" si="19"/>
        <v>제외</v>
      </c>
      <c r="V126" s="11" t="str">
        <f t="shared" si="20"/>
        <v>제외</v>
      </c>
    </row>
    <row r="127" spans="9:22">
      <c r="I127" s="5"/>
      <c r="L127" s="7"/>
      <c r="M127" s="9"/>
      <c r="N127" s="9"/>
      <c r="O127" s="9"/>
      <c r="P127" s="9"/>
      <c r="Q127" s="9"/>
      <c r="R127" s="9"/>
      <c r="S127" s="9"/>
      <c r="T127" s="11">
        <f t="shared" si="18"/>
        <v>0</v>
      </c>
      <c r="U127" s="11" t="str">
        <f t="shared" si="19"/>
        <v>제외</v>
      </c>
      <c r="V127" s="11" t="str">
        <f t="shared" si="20"/>
        <v>제외</v>
      </c>
    </row>
    <row r="128" spans="9:22">
      <c r="I128" s="5"/>
      <c r="L128" s="7"/>
      <c r="M128" s="9"/>
      <c r="N128" s="9"/>
      <c r="O128" s="9"/>
      <c r="P128" s="9"/>
      <c r="Q128" s="9"/>
      <c r="R128" s="9"/>
      <c r="S128" s="9"/>
      <c r="T128" s="11">
        <f t="shared" si="18"/>
        <v>0</v>
      </c>
      <c r="U128" s="11" t="str">
        <f t="shared" si="19"/>
        <v>제외</v>
      </c>
      <c r="V128" s="11" t="str">
        <f t="shared" si="20"/>
        <v>제외</v>
      </c>
    </row>
    <row r="129" spans="9:22">
      <c r="I129" s="5"/>
      <c r="L129" s="7"/>
      <c r="M129" s="9"/>
      <c r="N129" s="9"/>
      <c r="O129" s="9"/>
      <c r="P129" s="9"/>
      <c r="Q129" s="9"/>
      <c r="R129" s="9"/>
      <c r="S129" s="9"/>
      <c r="T129" s="11">
        <f t="shared" si="18"/>
        <v>0</v>
      </c>
      <c r="U129" s="11" t="str">
        <f t="shared" si="19"/>
        <v>제외</v>
      </c>
      <c r="V129" s="11" t="str">
        <f t="shared" si="20"/>
        <v>제외</v>
      </c>
    </row>
    <row r="130" spans="9:22">
      <c r="I130" s="5"/>
      <c r="L130" s="7"/>
      <c r="M130" s="9"/>
      <c r="N130" s="9"/>
      <c r="O130" s="9"/>
      <c r="P130" s="9"/>
      <c r="Q130" s="9"/>
      <c r="R130" s="9"/>
      <c r="S130" s="9"/>
      <c r="T130" s="11">
        <f t="shared" si="18"/>
        <v>0</v>
      </c>
      <c r="U130" s="11" t="str">
        <f t="shared" si="19"/>
        <v>제외</v>
      </c>
      <c r="V130" s="11" t="str">
        <f t="shared" si="20"/>
        <v>제외</v>
      </c>
    </row>
    <row r="131" spans="9:22">
      <c r="I131" s="5"/>
      <c r="L131" s="7"/>
      <c r="M131" s="9"/>
      <c r="N131" s="9"/>
      <c r="O131" s="9"/>
      <c r="P131" s="9"/>
      <c r="Q131" s="9"/>
      <c r="R131" s="9"/>
      <c r="S131" s="9"/>
      <c r="T131" s="11">
        <f t="shared" si="18"/>
        <v>0</v>
      </c>
      <c r="U131" s="11" t="str">
        <f t="shared" si="19"/>
        <v>제외</v>
      </c>
      <c r="V131" s="11" t="str">
        <f t="shared" si="20"/>
        <v>제외</v>
      </c>
    </row>
    <row r="132" spans="9:22">
      <c r="I132" s="5"/>
      <c r="L132" s="7"/>
      <c r="M132" s="9"/>
      <c r="N132" s="9"/>
      <c r="O132" s="9"/>
      <c r="P132" s="9"/>
      <c r="Q132" s="9"/>
      <c r="R132" s="9"/>
      <c r="S132" s="9"/>
      <c r="T132" s="11">
        <f t="shared" si="18"/>
        <v>0</v>
      </c>
      <c r="U132" s="11" t="str">
        <f t="shared" si="19"/>
        <v>제외</v>
      </c>
      <c r="V132" s="11" t="str">
        <f t="shared" si="20"/>
        <v>제외</v>
      </c>
    </row>
    <row r="133" spans="9:22">
      <c r="I133" s="5"/>
      <c r="L133" s="7"/>
      <c r="M133" s="9"/>
      <c r="N133" s="9"/>
      <c r="O133" s="9"/>
      <c r="P133" s="9"/>
      <c r="Q133" s="9"/>
      <c r="R133" s="9"/>
      <c r="S133" s="9"/>
      <c r="T133" s="11">
        <f t="shared" si="18"/>
        <v>0</v>
      </c>
      <c r="U133" s="11" t="str">
        <f t="shared" si="19"/>
        <v>제외</v>
      </c>
      <c r="V133" s="11" t="str">
        <f t="shared" si="20"/>
        <v>제외</v>
      </c>
    </row>
    <row r="134" spans="9:22">
      <c r="I134" s="5"/>
      <c r="L134" s="7"/>
      <c r="M134" s="9"/>
      <c r="N134" s="9"/>
      <c r="O134" s="9"/>
      <c r="P134" s="9"/>
      <c r="Q134" s="9"/>
      <c r="R134" s="9"/>
      <c r="S134" s="9"/>
      <c r="T134" s="11">
        <f t="shared" si="18"/>
        <v>0</v>
      </c>
      <c r="U134" s="11" t="str">
        <f t="shared" si="19"/>
        <v>제외</v>
      </c>
      <c r="V134" s="11" t="str">
        <f t="shared" si="20"/>
        <v>제외</v>
      </c>
    </row>
    <row r="135" spans="9:22">
      <c r="I135" s="5"/>
      <c r="L135" s="7"/>
      <c r="M135" s="9"/>
      <c r="N135" s="9"/>
      <c r="O135" s="9"/>
      <c r="P135" s="9"/>
      <c r="Q135" s="9"/>
      <c r="R135" s="9"/>
      <c r="S135" s="9"/>
      <c r="T135" s="11">
        <f t="shared" si="18"/>
        <v>0</v>
      </c>
      <c r="U135" s="11" t="str">
        <f t="shared" si="19"/>
        <v>제외</v>
      </c>
      <c r="V135" s="11" t="str">
        <f t="shared" si="20"/>
        <v>제외</v>
      </c>
    </row>
    <row r="136" spans="9:22">
      <c r="I136" s="5"/>
      <c r="L136" s="7"/>
      <c r="M136" s="9"/>
      <c r="N136" s="9"/>
      <c r="O136" s="9"/>
      <c r="P136" s="9"/>
      <c r="Q136" s="9"/>
      <c r="R136" s="9"/>
      <c r="S136" s="9"/>
      <c r="T136" s="11">
        <f t="shared" si="18"/>
        <v>0</v>
      </c>
      <c r="U136" s="11" t="str">
        <f t="shared" si="19"/>
        <v>제외</v>
      </c>
      <c r="V136" s="11" t="str">
        <f t="shared" si="20"/>
        <v>제외</v>
      </c>
    </row>
    <row r="137" spans="9:22">
      <c r="I137" s="5"/>
      <c r="L137" s="7"/>
      <c r="M137" s="9"/>
      <c r="N137" s="9"/>
      <c r="O137" s="9"/>
      <c r="P137" s="9"/>
      <c r="Q137" s="9"/>
      <c r="R137" s="9"/>
      <c r="S137" s="9"/>
      <c r="T137" s="11">
        <f t="shared" si="18"/>
        <v>0</v>
      </c>
      <c r="U137" s="11" t="str">
        <f t="shared" si="19"/>
        <v>제외</v>
      </c>
      <c r="V137" s="11" t="str">
        <f t="shared" si="20"/>
        <v>제외</v>
      </c>
    </row>
    <row r="138" spans="9:22">
      <c r="I138" s="5"/>
      <c r="L138" s="7"/>
      <c r="M138" s="9"/>
      <c r="N138" s="9"/>
      <c r="O138" s="9"/>
      <c r="P138" s="9"/>
      <c r="Q138" s="9"/>
      <c r="R138" s="9"/>
      <c r="S138" s="9"/>
      <c r="T138" s="11">
        <f t="shared" si="18"/>
        <v>0</v>
      </c>
      <c r="U138" s="11" t="str">
        <f t="shared" si="19"/>
        <v>제외</v>
      </c>
      <c r="V138" s="11" t="str">
        <f t="shared" si="20"/>
        <v>제외</v>
      </c>
    </row>
    <row r="139" spans="9:22">
      <c r="I139" s="5"/>
      <c r="L139" s="7"/>
      <c r="M139" s="9"/>
      <c r="N139" s="9"/>
      <c r="O139" s="9"/>
      <c r="P139" s="9"/>
      <c r="Q139" s="9"/>
      <c r="R139" s="9"/>
      <c r="S139" s="9"/>
      <c r="T139" s="11">
        <f t="shared" si="18"/>
        <v>0</v>
      </c>
      <c r="U139" s="11" t="str">
        <f t="shared" si="19"/>
        <v>제외</v>
      </c>
      <c r="V139" s="11" t="str">
        <f t="shared" si="20"/>
        <v>제외</v>
      </c>
    </row>
    <row r="140" spans="9:22">
      <c r="I140" s="5"/>
      <c r="L140" s="7"/>
      <c r="M140" s="9"/>
      <c r="N140" s="9"/>
      <c r="O140" s="9"/>
      <c r="P140" s="9"/>
      <c r="Q140" s="9"/>
      <c r="R140" s="9"/>
      <c r="S140" s="9"/>
      <c r="T140" s="11">
        <f t="shared" si="18"/>
        <v>0</v>
      </c>
      <c r="U140" s="11" t="str">
        <f t="shared" si="19"/>
        <v>제외</v>
      </c>
      <c r="V140" s="11" t="str">
        <f t="shared" si="20"/>
        <v>제외</v>
      </c>
    </row>
    <row r="141" spans="9:22">
      <c r="I141" s="5"/>
      <c r="L141" s="7"/>
      <c r="M141" s="9"/>
      <c r="N141" s="9"/>
      <c r="O141" s="9"/>
      <c r="P141" s="9"/>
      <c r="Q141" s="9"/>
      <c r="R141" s="9"/>
      <c r="S141" s="9"/>
      <c r="T141" s="11">
        <f t="shared" si="18"/>
        <v>0</v>
      </c>
      <c r="U141" s="11" t="str">
        <f t="shared" si="19"/>
        <v>제외</v>
      </c>
      <c r="V141" s="11" t="str">
        <f t="shared" si="20"/>
        <v>제외</v>
      </c>
    </row>
    <row r="142" spans="9:22">
      <c r="I142" s="5"/>
      <c r="L142" s="7"/>
      <c r="M142" s="9"/>
      <c r="N142" s="9"/>
      <c r="O142" s="9"/>
      <c r="P142" s="9"/>
      <c r="Q142" s="9"/>
      <c r="R142" s="9"/>
      <c r="S142" s="9"/>
      <c r="T142" s="11">
        <f t="shared" si="18"/>
        <v>0</v>
      </c>
      <c r="U142" s="11" t="str">
        <f t="shared" si="19"/>
        <v>제외</v>
      </c>
      <c r="V142" s="11" t="str">
        <f t="shared" si="20"/>
        <v>제외</v>
      </c>
    </row>
    <row r="143" spans="9:22">
      <c r="I143" s="5"/>
      <c r="L143" s="7"/>
      <c r="M143" s="9"/>
      <c r="N143" s="9"/>
      <c r="O143" s="9"/>
      <c r="P143" s="9"/>
      <c r="Q143" s="9"/>
      <c r="R143" s="9"/>
      <c r="S143" s="9"/>
      <c r="T143" s="11">
        <f t="shared" si="18"/>
        <v>0</v>
      </c>
      <c r="U143" s="11" t="str">
        <f t="shared" si="19"/>
        <v>제외</v>
      </c>
      <c r="V143" s="11" t="str">
        <f t="shared" si="20"/>
        <v>제외</v>
      </c>
    </row>
    <row r="144" spans="9:22">
      <c r="I144" s="5"/>
      <c r="L144" s="7"/>
      <c r="M144" s="9"/>
      <c r="N144" s="9"/>
      <c r="O144" s="9"/>
      <c r="P144" s="9"/>
      <c r="Q144" s="9"/>
      <c r="R144" s="9"/>
      <c r="S144" s="9"/>
      <c r="T144" s="11">
        <f t="shared" si="18"/>
        <v>0</v>
      </c>
      <c r="U144" s="11" t="str">
        <f t="shared" si="19"/>
        <v>제외</v>
      </c>
      <c r="V144" s="11" t="str">
        <f t="shared" si="20"/>
        <v>제외</v>
      </c>
    </row>
    <row r="145" spans="9:22">
      <c r="I145" s="5"/>
      <c r="L145" s="7"/>
      <c r="M145" s="9"/>
      <c r="N145" s="9"/>
      <c r="O145" s="9"/>
      <c r="P145" s="9"/>
      <c r="Q145" s="9"/>
      <c r="R145" s="9"/>
      <c r="S145" s="9"/>
      <c r="T145" s="11">
        <f t="shared" si="18"/>
        <v>0</v>
      </c>
      <c r="U145" s="11" t="str">
        <f t="shared" si="19"/>
        <v>제외</v>
      </c>
      <c r="V145" s="11" t="str">
        <f t="shared" si="20"/>
        <v>제외</v>
      </c>
    </row>
    <row r="146" spans="9:22">
      <c r="I146" s="5"/>
      <c r="L146" s="7"/>
      <c r="M146" s="9"/>
      <c r="N146" s="9"/>
      <c r="O146" s="9"/>
      <c r="P146" s="9"/>
      <c r="Q146" s="9"/>
      <c r="R146" s="9"/>
      <c r="S146" s="9"/>
      <c r="T146" s="11">
        <f t="shared" si="18"/>
        <v>0</v>
      </c>
      <c r="U146" s="11" t="str">
        <f t="shared" si="19"/>
        <v>제외</v>
      </c>
      <c r="V146" s="11" t="str">
        <f t="shared" si="20"/>
        <v>제외</v>
      </c>
    </row>
    <row r="147" spans="9:22">
      <c r="I147" s="5"/>
      <c r="L147" s="7"/>
      <c r="M147" s="9"/>
      <c r="N147" s="9"/>
      <c r="O147" s="9"/>
      <c r="P147" s="9"/>
      <c r="Q147" s="9"/>
      <c r="R147" s="9"/>
      <c r="S147" s="9"/>
      <c r="T147" s="11">
        <f t="shared" si="18"/>
        <v>0</v>
      </c>
      <c r="U147" s="11" t="str">
        <f t="shared" si="19"/>
        <v>제외</v>
      </c>
      <c r="V147" s="11" t="str">
        <f t="shared" si="20"/>
        <v>제외</v>
      </c>
    </row>
    <row r="148" spans="9:22">
      <c r="I148" s="5"/>
      <c r="L148" s="7"/>
      <c r="M148" s="9"/>
      <c r="N148" s="9"/>
      <c r="O148" s="9"/>
      <c r="P148" s="9"/>
      <c r="Q148" s="9"/>
      <c r="R148" s="9"/>
      <c r="S148" s="9"/>
      <c r="T148" s="11">
        <f t="shared" si="18"/>
        <v>0</v>
      </c>
      <c r="U148" s="11" t="str">
        <f t="shared" si="19"/>
        <v>제외</v>
      </c>
      <c r="V148" s="11" t="str">
        <f t="shared" si="20"/>
        <v>제외</v>
      </c>
    </row>
    <row r="149" spans="9:22">
      <c r="I149" s="5"/>
      <c r="L149" s="7"/>
      <c r="M149" s="9"/>
      <c r="N149" s="9"/>
      <c r="O149" s="9"/>
      <c r="P149" s="9"/>
      <c r="Q149" s="9"/>
      <c r="R149" s="9"/>
      <c r="S149" s="9"/>
      <c r="T149" s="11">
        <f t="shared" si="18"/>
        <v>0</v>
      </c>
      <c r="U149" s="11" t="str">
        <f t="shared" si="19"/>
        <v>제외</v>
      </c>
      <c r="V149" s="11" t="str">
        <f t="shared" si="20"/>
        <v>제외</v>
      </c>
    </row>
    <row r="150" spans="9:22">
      <c r="I150" s="5"/>
      <c r="L150" s="7"/>
      <c r="M150" s="9"/>
      <c r="N150" s="9"/>
      <c r="O150" s="9"/>
      <c r="P150" s="9"/>
      <c r="Q150" s="9"/>
      <c r="R150" s="9"/>
      <c r="S150" s="9"/>
      <c r="T150" s="11">
        <f t="shared" si="18"/>
        <v>0</v>
      </c>
      <c r="U150" s="11" t="str">
        <f t="shared" si="19"/>
        <v>제외</v>
      </c>
      <c r="V150" s="11" t="str">
        <f t="shared" si="20"/>
        <v>제외</v>
      </c>
    </row>
    <row r="151" spans="9:22">
      <c r="I151" s="5"/>
      <c r="L151" s="7"/>
      <c r="M151" s="9"/>
      <c r="N151" s="9"/>
      <c r="O151" s="9"/>
      <c r="P151" s="9"/>
      <c r="Q151" s="9"/>
      <c r="R151" s="9"/>
      <c r="S151" s="9"/>
      <c r="T151" s="11">
        <f t="shared" ref="T151:T182" si="21">SUM(M151:Q151)-R151-S151</f>
        <v>0</v>
      </c>
      <c r="U151" s="11" t="str">
        <f t="shared" ref="U151:U182" si="22">IF(T151&gt;=75,"핵심",IF(T151&gt;=60,"연관",IF(AND(T151&gt;=55,D151="소비 신호"),"소비 신호",IF(T151&gt;=45,"확인중","제외"))))</f>
        <v>제외</v>
      </c>
      <c r="V151" s="11" t="str">
        <f t="shared" ref="V151:V182" si="23">IF(OR(R151&gt;=12,S151&gt;=10,T151&lt;45),"제외",IF(AND(T151&gt;=75,N151&gt;=17,O151&gt;=12,OR(D151="대표명·별칭",D151="구성요소",D151="제품·형태")),"핵심",IF(AND(T151&gt;=60,P151&gt;=1),"연관",IF(AND(T151&gt;=55,D151="소비 신호",P151&gt;=1),"소비 신호","확인중"))))</f>
        <v>제외</v>
      </c>
    </row>
    <row r="152" spans="9:22">
      <c r="I152" s="5"/>
      <c r="L152" s="7"/>
      <c r="M152" s="9"/>
      <c r="N152" s="9"/>
      <c r="O152" s="9"/>
      <c r="P152" s="9"/>
      <c r="Q152" s="9"/>
      <c r="R152" s="9"/>
      <c r="S152" s="9"/>
      <c r="T152" s="11">
        <f t="shared" si="21"/>
        <v>0</v>
      </c>
      <c r="U152" s="11" t="str">
        <f t="shared" si="22"/>
        <v>제외</v>
      </c>
      <c r="V152" s="11" t="str">
        <f t="shared" si="23"/>
        <v>제외</v>
      </c>
    </row>
    <row r="153" spans="9:22">
      <c r="I153" s="5"/>
      <c r="L153" s="7"/>
      <c r="M153" s="9"/>
      <c r="N153" s="9"/>
      <c r="O153" s="9"/>
      <c r="P153" s="9"/>
      <c r="Q153" s="9"/>
      <c r="R153" s="9"/>
      <c r="S153" s="9"/>
      <c r="T153" s="11">
        <f t="shared" si="21"/>
        <v>0</v>
      </c>
      <c r="U153" s="11" t="str">
        <f t="shared" si="22"/>
        <v>제외</v>
      </c>
      <c r="V153" s="11" t="str">
        <f t="shared" si="23"/>
        <v>제외</v>
      </c>
    </row>
    <row r="154" spans="9:22">
      <c r="I154" s="5"/>
      <c r="L154" s="7"/>
      <c r="M154" s="9"/>
      <c r="N154" s="9"/>
      <c r="O154" s="9"/>
      <c r="P154" s="9"/>
      <c r="Q154" s="9"/>
      <c r="R154" s="9"/>
      <c r="S154" s="9"/>
      <c r="T154" s="11">
        <f t="shared" si="21"/>
        <v>0</v>
      </c>
      <c r="U154" s="11" t="str">
        <f t="shared" si="22"/>
        <v>제외</v>
      </c>
      <c r="V154" s="11" t="str">
        <f t="shared" si="23"/>
        <v>제외</v>
      </c>
    </row>
    <row r="155" spans="9:22">
      <c r="I155" s="5"/>
      <c r="L155" s="7"/>
      <c r="M155" s="9"/>
      <c r="N155" s="9"/>
      <c r="O155" s="9"/>
      <c r="P155" s="9"/>
      <c r="Q155" s="9"/>
      <c r="R155" s="9"/>
      <c r="S155" s="9"/>
      <c r="T155" s="11">
        <f t="shared" si="21"/>
        <v>0</v>
      </c>
      <c r="U155" s="11" t="str">
        <f t="shared" si="22"/>
        <v>제외</v>
      </c>
      <c r="V155" s="11" t="str">
        <f t="shared" si="23"/>
        <v>제외</v>
      </c>
    </row>
    <row r="156" spans="9:22">
      <c r="I156" s="5"/>
      <c r="L156" s="7"/>
      <c r="M156" s="9"/>
      <c r="N156" s="9"/>
      <c r="O156" s="9"/>
      <c r="P156" s="9"/>
      <c r="Q156" s="9"/>
      <c r="R156" s="9"/>
      <c r="S156" s="9"/>
      <c r="T156" s="11">
        <f t="shared" si="21"/>
        <v>0</v>
      </c>
      <c r="U156" s="11" t="str">
        <f t="shared" si="22"/>
        <v>제외</v>
      </c>
      <c r="V156" s="11" t="str">
        <f t="shared" si="23"/>
        <v>제외</v>
      </c>
    </row>
    <row r="157" spans="9:22">
      <c r="I157" s="5"/>
      <c r="L157" s="7"/>
      <c r="M157" s="9"/>
      <c r="N157" s="9"/>
      <c r="O157" s="9"/>
      <c r="P157" s="9"/>
      <c r="Q157" s="9"/>
      <c r="R157" s="9"/>
      <c r="S157" s="9"/>
      <c r="T157" s="11">
        <f t="shared" si="21"/>
        <v>0</v>
      </c>
      <c r="U157" s="11" t="str">
        <f t="shared" si="22"/>
        <v>제외</v>
      </c>
      <c r="V157" s="11" t="str">
        <f t="shared" si="23"/>
        <v>제외</v>
      </c>
    </row>
    <row r="158" spans="9:22">
      <c r="I158" s="5"/>
      <c r="L158" s="7"/>
      <c r="M158" s="9"/>
      <c r="N158" s="9"/>
      <c r="O158" s="9"/>
      <c r="P158" s="9"/>
      <c r="Q158" s="9"/>
      <c r="R158" s="9"/>
      <c r="S158" s="9"/>
      <c r="T158" s="11">
        <f t="shared" si="21"/>
        <v>0</v>
      </c>
      <c r="U158" s="11" t="str">
        <f t="shared" si="22"/>
        <v>제외</v>
      </c>
      <c r="V158" s="11" t="str">
        <f t="shared" si="23"/>
        <v>제외</v>
      </c>
    </row>
    <row r="159" spans="9:22">
      <c r="I159" s="5"/>
      <c r="L159" s="7"/>
      <c r="M159" s="9"/>
      <c r="N159" s="9"/>
      <c r="O159" s="9"/>
      <c r="P159" s="9"/>
      <c r="Q159" s="9"/>
      <c r="R159" s="9"/>
      <c r="S159" s="9"/>
      <c r="T159" s="11">
        <f t="shared" si="21"/>
        <v>0</v>
      </c>
      <c r="U159" s="11" t="str">
        <f t="shared" si="22"/>
        <v>제외</v>
      </c>
      <c r="V159" s="11" t="str">
        <f t="shared" si="23"/>
        <v>제외</v>
      </c>
    </row>
    <row r="160" spans="9:22">
      <c r="I160" s="5"/>
      <c r="L160" s="7"/>
      <c r="M160" s="9"/>
      <c r="N160" s="9"/>
      <c r="O160" s="9"/>
      <c r="P160" s="9"/>
      <c r="Q160" s="9"/>
      <c r="R160" s="9"/>
      <c r="S160" s="9"/>
      <c r="T160" s="11">
        <f t="shared" si="21"/>
        <v>0</v>
      </c>
      <c r="U160" s="11" t="str">
        <f t="shared" si="22"/>
        <v>제외</v>
      </c>
      <c r="V160" s="11" t="str">
        <f t="shared" si="23"/>
        <v>제외</v>
      </c>
    </row>
    <row r="161" spans="9:22">
      <c r="I161" s="5"/>
      <c r="L161" s="7"/>
      <c r="M161" s="9"/>
      <c r="N161" s="9"/>
      <c r="O161" s="9"/>
      <c r="P161" s="9"/>
      <c r="Q161" s="9"/>
      <c r="R161" s="9"/>
      <c r="S161" s="9"/>
      <c r="T161" s="11">
        <f t="shared" si="21"/>
        <v>0</v>
      </c>
      <c r="U161" s="11" t="str">
        <f t="shared" si="22"/>
        <v>제외</v>
      </c>
      <c r="V161" s="11" t="str">
        <f t="shared" si="23"/>
        <v>제외</v>
      </c>
    </row>
    <row r="162" spans="9:22">
      <c r="I162" s="5"/>
      <c r="L162" s="7"/>
      <c r="M162" s="9"/>
      <c r="N162" s="9"/>
      <c r="O162" s="9"/>
      <c r="P162" s="9"/>
      <c r="Q162" s="9"/>
      <c r="R162" s="9"/>
      <c r="S162" s="9"/>
      <c r="T162" s="11">
        <f t="shared" si="21"/>
        <v>0</v>
      </c>
      <c r="U162" s="11" t="str">
        <f t="shared" si="22"/>
        <v>제외</v>
      </c>
      <c r="V162" s="11" t="str">
        <f t="shared" si="23"/>
        <v>제외</v>
      </c>
    </row>
    <row r="163" spans="9:22">
      <c r="I163" s="5"/>
      <c r="L163" s="7"/>
      <c r="M163" s="9"/>
      <c r="N163" s="9"/>
      <c r="O163" s="9"/>
      <c r="P163" s="9"/>
      <c r="Q163" s="9"/>
      <c r="R163" s="9"/>
      <c r="S163" s="9"/>
      <c r="T163" s="11">
        <f t="shared" si="21"/>
        <v>0</v>
      </c>
      <c r="U163" s="11" t="str">
        <f t="shared" si="22"/>
        <v>제외</v>
      </c>
      <c r="V163" s="11" t="str">
        <f t="shared" si="23"/>
        <v>제외</v>
      </c>
    </row>
    <row r="164" spans="9:22">
      <c r="I164" s="5"/>
      <c r="L164" s="7"/>
      <c r="M164" s="9"/>
      <c r="N164" s="9"/>
      <c r="O164" s="9"/>
      <c r="P164" s="9"/>
      <c r="Q164" s="9"/>
      <c r="R164" s="9"/>
      <c r="S164" s="9"/>
      <c r="T164" s="11">
        <f t="shared" si="21"/>
        <v>0</v>
      </c>
      <c r="U164" s="11" t="str">
        <f t="shared" si="22"/>
        <v>제외</v>
      </c>
      <c r="V164" s="11" t="str">
        <f t="shared" si="23"/>
        <v>제외</v>
      </c>
    </row>
    <row r="165" spans="9:22">
      <c r="I165" s="5"/>
      <c r="L165" s="7"/>
      <c r="M165" s="9"/>
      <c r="N165" s="9"/>
      <c r="O165" s="9"/>
      <c r="P165" s="9"/>
      <c r="Q165" s="9"/>
      <c r="R165" s="9"/>
      <c r="S165" s="9"/>
      <c r="T165" s="11">
        <f t="shared" si="21"/>
        <v>0</v>
      </c>
      <c r="U165" s="11" t="str">
        <f t="shared" si="22"/>
        <v>제외</v>
      </c>
      <c r="V165" s="11" t="str">
        <f t="shared" si="23"/>
        <v>제외</v>
      </c>
    </row>
    <row r="166" spans="9:22">
      <c r="I166" s="5"/>
      <c r="L166" s="7"/>
      <c r="M166" s="9"/>
      <c r="N166" s="9"/>
      <c r="O166" s="9"/>
      <c r="P166" s="9"/>
      <c r="Q166" s="9"/>
      <c r="R166" s="9"/>
      <c r="S166" s="9"/>
      <c r="T166" s="11">
        <f t="shared" si="21"/>
        <v>0</v>
      </c>
      <c r="U166" s="11" t="str">
        <f t="shared" si="22"/>
        <v>제외</v>
      </c>
      <c r="V166" s="11" t="str">
        <f t="shared" si="23"/>
        <v>제외</v>
      </c>
    </row>
    <row r="167" spans="9:22">
      <c r="I167" s="5"/>
      <c r="L167" s="7"/>
      <c r="M167" s="9"/>
      <c r="N167" s="9"/>
      <c r="O167" s="9"/>
      <c r="P167" s="9"/>
      <c r="Q167" s="9"/>
      <c r="R167" s="9"/>
      <c r="S167" s="9"/>
      <c r="T167" s="11">
        <f t="shared" si="21"/>
        <v>0</v>
      </c>
      <c r="U167" s="11" t="str">
        <f t="shared" si="22"/>
        <v>제외</v>
      </c>
      <c r="V167" s="11" t="str">
        <f t="shared" si="23"/>
        <v>제외</v>
      </c>
    </row>
    <row r="168" spans="9:22">
      <c r="I168" s="5"/>
      <c r="L168" s="7"/>
      <c r="M168" s="9"/>
      <c r="N168" s="9"/>
      <c r="O168" s="9"/>
      <c r="P168" s="9"/>
      <c r="Q168" s="9"/>
      <c r="R168" s="9"/>
      <c r="S168" s="9"/>
      <c r="T168" s="11">
        <f t="shared" si="21"/>
        <v>0</v>
      </c>
      <c r="U168" s="11" t="str">
        <f t="shared" si="22"/>
        <v>제외</v>
      </c>
      <c r="V168" s="11" t="str">
        <f t="shared" si="23"/>
        <v>제외</v>
      </c>
    </row>
    <row r="169" spans="9:22">
      <c r="I169" s="5"/>
      <c r="L169" s="7"/>
      <c r="M169" s="9"/>
      <c r="N169" s="9"/>
      <c r="O169" s="9"/>
      <c r="P169" s="9"/>
      <c r="Q169" s="9"/>
      <c r="R169" s="9"/>
      <c r="S169" s="9"/>
      <c r="T169" s="11">
        <f t="shared" si="21"/>
        <v>0</v>
      </c>
      <c r="U169" s="11" t="str">
        <f t="shared" si="22"/>
        <v>제외</v>
      </c>
      <c r="V169" s="11" t="str">
        <f t="shared" si="23"/>
        <v>제외</v>
      </c>
    </row>
    <row r="170" spans="9:22">
      <c r="I170" s="5"/>
      <c r="L170" s="7"/>
      <c r="M170" s="9"/>
      <c r="N170" s="9"/>
      <c r="O170" s="9"/>
      <c r="P170" s="9"/>
      <c r="Q170" s="9"/>
      <c r="R170" s="9"/>
      <c r="S170" s="9"/>
      <c r="T170" s="11">
        <f t="shared" si="21"/>
        <v>0</v>
      </c>
      <c r="U170" s="11" t="str">
        <f t="shared" si="22"/>
        <v>제외</v>
      </c>
      <c r="V170" s="11" t="str">
        <f t="shared" si="23"/>
        <v>제외</v>
      </c>
    </row>
    <row r="171" spans="9:22">
      <c r="I171" s="5"/>
      <c r="L171" s="7"/>
      <c r="M171" s="9"/>
      <c r="N171" s="9"/>
      <c r="O171" s="9"/>
      <c r="P171" s="9"/>
      <c r="Q171" s="9"/>
      <c r="R171" s="9"/>
      <c r="S171" s="9"/>
      <c r="T171" s="11">
        <f t="shared" si="21"/>
        <v>0</v>
      </c>
      <c r="U171" s="11" t="str">
        <f t="shared" si="22"/>
        <v>제외</v>
      </c>
      <c r="V171" s="11" t="str">
        <f t="shared" si="23"/>
        <v>제외</v>
      </c>
    </row>
    <row r="172" spans="9:22">
      <c r="I172" s="5"/>
      <c r="L172" s="7"/>
      <c r="M172" s="9"/>
      <c r="N172" s="9"/>
      <c r="O172" s="9"/>
      <c r="P172" s="9"/>
      <c r="Q172" s="9"/>
      <c r="R172" s="9"/>
      <c r="S172" s="9"/>
      <c r="T172" s="11">
        <f t="shared" si="21"/>
        <v>0</v>
      </c>
      <c r="U172" s="11" t="str">
        <f t="shared" si="22"/>
        <v>제외</v>
      </c>
      <c r="V172" s="11" t="str">
        <f t="shared" si="23"/>
        <v>제외</v>
      </c>
    </row>
    <row r="173" spans="9:22">
      <c r="I173" s="5"/>
      <c r="L173" s="7"/>
      <c r="M173" s="9"/>
      <c r="N173" s="9"/>
      <c r="O173" s="9"/>
      <c r="P173" s="9"/>
      <c r="Q173" s="9"/>
      <c r="R173" s="9"/>
      <c r="S173" s="9"/>
      <c r="T173" s="11">
        <f t="shared" si="21"/>
        <v>0</v>
      </c>
      <c r="U173" s="11" t="str">
        <f t="shared" si="22"/>
        <v>제외</v>
      </c>
      <c r="V173" s="11" t="str">
        <f t="shared" si="23"/>
        <v>제외</v>
      </c>
    </row>
    <row r="174" spans="9:22">
      <c r="I174" s="5"/>
      <c r="L174" s="7"/>
      <c r="M174" s="9"/>
      <c r="N174" s="9"/>
      <c r="O174" s="9"/>
      <c r="P174" s="9"/>
      <c r="Q174" s="9"/>
      <c r="R174" s="9"/>
      <c r="S174" s="9"/>
      <c r="T174" s="11">
        <f t="shared" si="21"/>
        <v>0</v>
      </c>
      <c r="U174" s="11" t="str">
        <f t="shared" si="22"/>
        <v>제외</v>
      </c>
      <c r="V174" s="11" t="str">
        <f t="shared" si="23"/>
        <v>제외</v>
      </c>
    </row>
    <row r="175" spans="9:22">
      <c r="I175" s="5"/>
      <c r="L175" s="7"/>
      <c r="M175" s="9"/>
      <c r="N175" s="9"/>
      <c r="O175" s="9"/>
      <c r="P175" s="9"/>
      <c r="Q175" s="9"/>
      <c r="R175" s="9"/>
      <c r="S175" s="9"/>
      <c r="T175" s="11">
        <f t="shared" si="21"/>
        <v>0</v>
      </c>
      <c r="U175" s="11" t="str">
        <f t="shared" si="22"/>
        <v>제외</v>
      </c>
      <c r="V175" s="11" t="str">
        <f t="shared" si="23"/>
        <v>제외</v>
      </c>
    </row>
    <row r="176" spans="9:22">
      <c r="I176" s="5"/>
      <c r="L176" s="7"/>
      <c r="M176" s="9"/>
      <c r="N176" s="9"/>
      <c r="O176" s="9"/>
      <c r="P176" s="9"/>
      <c r="Q176" s="9"/>
      <c r="R176" s="9"/>
      <c r="S176" s="9"/>
      <c r="T176" s="11">
        <f t="shared" si="21"/>
        <v>0</v>
      </c>
      <c r="U176" s="11" t="str">
        <f t="shared" si="22"/>
        <v>제외</v>
      </c>
      <c r="V176" s="11" t="str">
        <f t="shared" si="23"/>
        <v>제외</v>
      </c>
    </row>
    <row r="177" spans="9:22">
      <c r="I177" s="5"/>
      <c r="L177" s="7"/>
      <c r="M177" s="9"/>
      <c r="N177" s="9"/>
      <c r="O177" s="9"/>
      <c r="P177" s="9"/>
      <c r="Q177" s="9"/>
      <c r="R177" s="9"/>
      <c r="S177" s="9"/>
      <c r="T177" s="11">
        <f t="shared" si="21"/>
        <v>0</v>
      </c>
      <c r="U177" s="11" t="str">
        <f t="shared" si="22"/>
        <v>제외</v>
      </c>
      <c r="V177" s="11" t="str">
        <f t="shared" si="23"/>
        <v>제외</v>
      </c>
    </row>
    <row r="178" spans="9:22">
      <c r="I178" s="5"/>
      <c r="L178" s="7"/>
      <c r="M178" s="9"/>
      <c r="N178" s="9"/>
      <c r="O178" s="9"/>
      <c r="P178" s="9"/>
      <c r="Q178" s="9"/>
      <c r="R178" s="9"/>
      <c r="S178" s="9"/>
      <c r="T178" s="11">
        <f t="shared" si="21"/>
        <v>0</v>
      </c>
      <c r="U178" s="11" t="str">
        <f t="shared" si="22"/>
        <v>제외</v>
      </c>
      <c r="V178" s="11" t="str">
        <f t="shared" si="23"/>
        <v>제외</v>
      </c>
    </row>
    <row r="179" spans="9:22">
      <c r="I179" s="5"/>
      <c r="L179" s="7"/>
      <c r="M179" s="9"/>
      <c r="N179" s="9"/>
      <c r="O179" s="9"/>
      <c r="P179" s="9"/>
      <c r="Q179" s="9"/>
      <c r="R179" s="9"/>
      <c r="S179" s="9"/>
      <c r="T179" s="11">
        <f t="shared" si="21"/>
        <v>0</v>
      </c>
      <c r="U179" s="11" t="str">
        <f t="shared" si="22"/>
        <v>제외</v>
      </c>
      <c r="V179" s="11" t="str">
        <f t="shared" si="23"/>
        <v>제외</v>
      </c>
    </row>
    <row r="180" spans="9:22">
      <c r="I180" s="5"/>
      <c r="L180" s="7"/>
      <c r="M180" s="9"/>
      <c r="N180" s="9"/>
      <c r="O180" s="9"/>
      <c r="P180" s="9"/>
      <c r="Q180" s="9"/>
      <c r="R180" s="9"/>
      <c r="S180" s="9"/>
      <c r="T180" s="11">
        <f t="shared" si="21"/>
        <v>0</v>
      </c>
      <c r="U180" s="11" t="str">
        <f t="shared" si="22"/>
        <v>제외</v>
      </c>
      <c r="V180" s="11" t="str">
        <f t="shared" si="23"/>
        <v>제외</v>
      </c>
    </row>
    <row r="181" spans="9:22">
      <c r="I181" s="5"/>
      <c r="L181" s="7"/>
      <c r="M181" s="9"/>
      <c r="N181" s="9"/>
      <c r="O181" s="9"/>
      <c r="P181" s="9"/>
      <c r="Q181" s="9"/>
      <c r="R181" s="9"/>
      <c r="S181" s="9"/>
      <c r="T181" s="11">
        <f t="shared" si="21"/>
        <v>0</v>
      </c>
      <c r="U181" s="11" t="str">
        <f t="shared" si="22"/>
        <v>제외</v>
      </c>
      <c r="V181" s="11" t="str">
        <f t="shared" si="23"/>
        <v>제외</v>
      </c>
    </row>
    <row r="182" spans="9:22">
      <c r="I182" s="5"/>
      <c r="L182" s="7"/>
      <c r="M182" s="9"/>
      <c r="N182" s="9"/>
      <c r="O182" s="9"/>
      <c r="P182" s="9"/>
      <c r="Q182" s="9"/>
      <c r="R182" s="9"/>
      <c r="S182" s="9"/>
      <c r="T182" s="11">
        <f t="shared" si="21"/>
        <v>0</v>
      </c>
      <c r="U182" s="11" t="str">
        <f t="shared" si="22"/>
        <v>제외</v>
      </c>
      <c r="V182" s="11" t="str">
        <f t="shared" si="23"/>
        <v>제외</v>
      </c>
    </row>
    <row r="183" spans="9:22">
      <c r="I183" s="5"/>
      <c r="L183" s="7"/>
      <c r="M183" s="9"/>
      <c r="N183" s="9"/>
      <c r="O183" s="9"/>
      <c r="P183" s="9"/>
      <c r="Q183" s="9"/>
      <c r="R183" s="9"/>
      <c r="S183" s="9"/>
      <c r="T183" s="11">
        <f t="shared" ref="T183:T214" si="24">SUM(M183:Q183)-R183-S183</f>
        <v>0</v>
      </c>
      <c r="U183" s="11" t="str">
        <f t="shared" ref="U183:U214" si="25">IF(T183&gt;=75,"핵심",IF(T183&gt;=60,"연관",IF(AND(T183&gt;=55,D183="소비 신호"),"소비 신호",IF(T183&gt;=45,"확인중","제외"))))</f>
        <v>제외</v>
      </c>
      <c r="V183" s="11" t="str">
        <f t="shared" ref="V183:V214" si="26">IF(OR(R183&gt;=12,S183&gt;=10,T183&lt;45),"제외",IF(AND(T183&gt;=75,N183&gt;=17,O183&gt;=12,OR(D183="대표명·별칭",D183="구성요소",D183="제품·형태")),"핵심",IF(AND(T183&gt;=60,P183&gt;=1),"연관",IF(AND(T183&gt;=55,D183="소비 신호",P183&gt;=1),"소비 신호","확인중"))))</f>
        <v>제외</v>
      </c>
    </row>
    <row r="184" spans="9:22">
      <c r="I184" s="5"/>
      <c r="L184" s="7"/>
      <c r="M184" s="9"/>
      <c r="N184" s="9"/>
      <c r="O184" s="9"/>
      <c r="P184" s="9"/>
      <c r="Q184" s="9"/>
      <c r="R184" s="9"/>
      <c r="S184" s="9"/>
      <c r="T184" s="11">
        <f t="shared" si="24"/>
        <v>0</v>
      </c>
      <c r="U184" s="11" t="str">
        <f t="shared" si="25"/>
        <v>제외</v>
      </c>
      <c r="V184" s="11" t="str">
        <f t="shared" si="26"/>
        <v>제외</v>
      </c>
    </row>
    <row r="185" spans="9:22">
      <c r="I185" s="5"/>
      <c r="L185" s="7"/>
      <c r="M185" s="9"/>
      <c r="N185" s="9"/>
      <c r="O185" s="9"/>
      <c r="P185" s="9"/>
      <c r="Q185" s="9"/>
      <c r="R185" s="9"/>
      <c r="S185" s="9"/>
      <c r="T185" s="11">
        <f t="shared" si="24"/>
        <v>0</v>
      </c>
      <c r="U185" s="11" t="str">
        <f t="shared" si="25"/>
        <v>제외</v>
      </c>
      <c r="V185" s="11" t="str">
        <f t="shared" si="26"/>
        <v>제외</v>
      </c>
    </row>
    <row r="186" spans="9:22">
      <c r="I186" s="5"/>
      <c r="L186" s="7"/>
      <c r="M186" s="9"/>
      <c r="N186" s="9"/>
      <c r="O186" s="9"/>
      <c r="P186" s="9"/>
      <c r="Q186" s="9"/>
      <c r="R186" s="9"/>
      <c r="S186" s="9"/>
      <c r="T186" s="11">
        <f t="shared" si="24"/>
        <v>0</v>
      </c>
      <c r="U186" s="11" t="str">
        <f t="shared" si="25"/>
        <v>제외</v>
      </c>
      <c r="V186" s="11" t="str">
        <f t="shared" si="26"/>
        <v>제외</v>
      </c>
    </row>
    <row r="187" spans="9:22">
      <c r="I187" s="5"/>
      <c r="L187" s="7"/>
      <c r="M187" s="9"/>
      <c r="N187" s="9"/>
      <c r="O187" s="9"/>
      <c r="P187" s="9"/>
      <c r="Q187" s="9"/>
      <c r="R187" s="9"/>
      <c r="S187" s="9"/>
      <c r="T187" s="11">
        <f t="shared" si="24"/>
        <v>0</v>
      </c>
      <c r="U187" s="11" t="str">
        <f t="shared" si="25"/>
        <v>제외</v>
      </c>
      <c r="V187" s="11" t="str">
        <f t="shared" si="26"/>
        <v>제외</v>
      </c>
    </row>
    <row r="188" spans="9:22">
      <c r="I188" s="5"/>
      <c r="L188" s="7"/>
      <c r="M188" s="9"/>
      <c r="N188" s="9"/>
      <c r="O188" s="9"/>
      <c r="P188" s="9"/>
      <c r="Q188" s="9"/>
      <c r="R188" s="9"/>
      <c r="S188" s="9"/>
      <c r="T188" s="11">
        <f t="shared" si="24"/>
        <v>0</v>
      </c>
      <c r="U188" s="11" t="str">
        <f t="shared" si="25"/>
        <v>제외</v>
      </c>
      <c r="V188" s="11" t="str">
        <f t="shared" si="26"/>
        <v>제외</v>
      </c>
    </row>
    <row r="189" spans="9:22">
      <c r="I189" s="5"/>
      <c r="L189" s="7"/>
      <c r="M189" s="9"/>
      <c r="N189" s="9"/>
      <c r="O189" s="9"/>
      <c r="P189" s="9"/>
      <c r="Q189" s="9"/>
      <c r="R189" s="9"/>
      <c r="S189" s="9"/>
      <c r="T189" s="11">
        <f t="shared" si="24"/>
        <v>0</v>
      </c>
      <c r="U189" s="11" t="str">
        <f t="shared" si="25"/>
        <v>제외</v>
      </c>
      <c r="V189" s="11" t="str">
        <f t="shared" si="26"/>
        <v>제외</v>
      </c>
    </row>
    <row r="190" spans="9:22">
      <c r="I190" s="5"/>
      <c r="L190" s="7"/>
      <c r="M190" s="9"/>
      <c r="N190" s="9"/>
      <c r="O190" s="9"/>
      <c r="P190" s="9"/>
      <c r="Q190" s="9"/>
      <c r="R190" s="9"/>
      <c r="S190" s="9"/>
      <c r="T190" s="11">
        <f t="shared" si="24"/>
        <v>0</v>
      </c>
      <c r="U190" s="11" t="str">
        <f t="shared" si="25"/>
        <v>제외</v>
      </c>
      <c r="V190" s="11" t="str">
        <f t="shared" si="26"/>
        <v>제외</v>
      </c>
    </row>
    <row r="191" spans="9:22">
      <c r="I191" s="5"/>
      <c r="L191" s="7"/>
      <c r="M191" s="9"/>
      <c r="N191" s="9"/>
      <c r="O191" s="9"/>
      <c r="P191" s="9"/>
      <c r="Q191" s="9"/>
      <c r="R191" s="9"/>
      <c r="S191" s="9"/>
      <c r="T191" s="11">
        <f t="shared" si="24"/>
        <v>0</v>
      </c>
      <c r="U191" s="11" t="str">
        <f t="shared" si="25"/>
        <v>제외</v>
      </c>
      <c r="V191" s="11" t="str">
        <f t="shared" si="26"/>
        <v>제외</v>
      </c>
    </row>
    <row r="192" spans="9:22">
      <c r="I192" s="5"/>
      <c r="L192" s="7"/>
      <c r="M192" s="9"/>
      <c r="N192" s="9"/>
      <c r="O192" s="9"/>
      <c r="P192" s="9"/>
      <c r="Q192" s="9"/>
      <c r="R192" s="9"/>
      <c r="S192" s="9"/>
      <c r="T192" s="11">
        <f t="shared" si="24"/>
        <v>0</v>
      </c>
      <c r="U192" s="11" t="str">
        <f t="shared" si="25"/>
        <v>제외</v>
      </c>
      <c r="V192" s="11" t="str">
        <f t="shared" si="26"/>
        <v>제외</v>
      </c>
    </row>
    <row r="193" spans="9:22">
      <c r="I193" s="5"/>
      <c r="L193" s="7"/>
      <c r="M193" s="9"/>
      <c r="N193" s="9"/>
      <c r="O193" s="9"/>
      <c r="P193" s="9"/>
      <c r="Q193" s="9"/>
      <c r="R193" s="9"/>
      <c r="S193" s="9"/>
      <c r="T193" s="11">
        <f t="shared" si="24"/>
        <v>0</v>
      </c>
      <c r="U193" s="11" t="str">
        <f t="shared" si="25"/>
        <v>제외</v>
      </c>
      <c r="V193" s="11" t="str">
        <f t="shared" si="26"/>
        <v>제외</v>
      </c>
    </row>
    <row r="194" spans="9:22">
      <c r="I194" s="5"/>
      <c r="L194" s="7"/>
      <c r="M194" s="9"/>
      <c r="N194" s="9"/>
      <c r="O194" s="9"/>
      <c r="P194" s="9"/>
      <c r="Q194" s="9"/>
      <c r="R194" s="9"/>
      <c r="S194" s="9"/>
      <c r="T194" s="11">
        <f t="shared" si="24"/>
        <v>0</v>
      </c>
      <c r="U194" s="11" t="str">
        <f t="shared" si="25"/>
        <v>제외</v>
      </c>
      <c r="V194" s="11" t="str">
        <f t="shared" si="26"/>
        <v>제외</v>
      </c>
    </row>
    <row r="195" spans="9:22">
      <c r="I195" s="5"/>
      <c r="L195" s="7"/>
      <c r="M195" s="9"/>
      <c r="N195" s="9"/>
      <c r="O195" s="9"/>
      <c r="P195" s="9"/>
      <c r="Q195" s="9"/>
      <c r="R195" s="9"/>
      <c r="S195" s="9"/>
      <c r="T195" s="11">
        <f t="shared" si="24"/>
        <v>0</v>
      </c>
      <c r="U195" s="11" t="str">
        <f t="shared" si="25"/>
        <v>제외</v>
      </c>
      <c r="V195" s="11" t="str">
        <f t="shared" si="26"/>
        <v>제외</v>
      </c>
    </row>
    <row r="196" spans="9:22">
      <c r="I196" s="5"/>
      <c r="L196" s="7"/>
      <c r="M196" s="9"/>
      <c r="N196" s="9"/>
      <c r="O196" s="9"/>
      <c r="P196" s="9"/>
      <c r="Q196" s="9"/>
      <c r="R196" s="9"/>
      <c r="S196" s="9"/>
      <c r="T196" s="11">
        <f t="shared" si="24"/>
        <v>0</v>
      </c>
      <c r="U196" s="11" t="str">
        <f t="shared" si="25"/>
        <v>제외</v>
      </c>
      <c r="V196" s="11" t="str">
        <f t="shared" si="26"/>
        <v>제외</v>
      </c>
    </row>
    <row r="197" spans="9:22">
      <c r="I197" s="5"/>
      <c r="L197" s="7"/>
      <c r="M197" s="9"/>
      <c r="N197" s="9"/>
      <c r="O197" s="9"/>
      <c r="P197" s="9"/>
      <c r="Q197" s="9"/>
      <c r="R197" s="9"/>
      <c r="S197" s="9"/>
      <c r="T197" s="11">
        <f t="shared" si="24"/>
        <v>0</v>
      </c>
      <c r="U197" s="11" t="str">
        <f t="shared" si="25"/>
        <v>제외</v>
      </c>
      <c r="V197" s="11" t="str">
        <f t="shared" si="26"/>
        <v>제외</v>
      </c>
    </row>
    <row r="198" spans="9:22">
      <c r="I198" s="5"/>
      <c r="L198" s="7"/>
      <c r="M198" s="9"/>
      <c r="N198" s="9"/>
      <c r="O198" s="9"/>
      <c r="P198" s="9"/>
      <c r="Q198" s="9"/>
      <c r="R198" s="9"/>
      <c r="S198" s="9"/>
      <c r="T198" s="11">
        <f t="shared" si="24"/>
        <v>0</v>
      </c>
      <c r="U198" s="11" t="str">
        <f t="shared" si="25"/>
        <v>제외</v>
      </c>
      <c r="V198" s="11" t="str">
        <f t="shared" si="26"/>
        <v>제외</v>
      </c>
    </row>
    <row r="199" spans="9:22">
      <c r="I199" s="5"/>
      <c r="L199" s="7"/>
      <c r="M199" s="9"/>
      <c r="N199" s="9"/>
      <c r="O199" s="9"/>
      <c r="P199" s="9"/>
      <c r="Q199" s="9"/>
      <c r="R199" s="9"/>
      <c r="S199" s="9"/>
      <c r="T199" s="11">
        <f t="shared" si="24"/>
        <v>0</v>
      </c>
      <c r="U199" s="11" t="str">
        <f t="shared" si="25"/>
        <v>제외</v>
      </c>
      <c r="V199" s="11" t="str">
        <f t="shared" si="26"/>
        <v>제외</v>
      </c>
    </row>
    <row r="200" spans="9:22">
      <c r="I200" s="5"/>
      <c r="L200" s="7"/>
      <c r="M200" s="9"/>
      <c r="N200" s="9"/>
      <c r="O200" s="9"/>
      <c r="P200" s="9"/>
      <c r="Q200" s="9"/>
      <c r="R200" s="9"/>
      <c r="S200" s="9"/>
      <c r="T200" s="11">
        <f t="shared" si="24"/>
        <v>0</v>
      </c>
      <c r="U200" s="11" t="str">
        <f t="shared" si="25"/>
        <v>제외</v>
      </c>
      <c r="V200" s="11" t="str">
        <f t="shared" si="26"/>
        <v>제외</v>
      </c>
    </row>
    <row r="201" spans="9:22">
      <c r="I201" s="5"/>
      <c r="L201" s="7"/>
      <c r="M201" s="9"/>
      <c r="N201" s="9"/>
      <c r="O201" s="9"/>
      <c r="P201" s="9"/>
      <c r="Q201" s="9"/>
      <c r="R201" s="9"/>
      <c r="S201" s="9"/>
      <c r="T201" s="11">
        <f t="shared" si="24"/>
        <v>0</v>
      </c>
      <c r="U201" s="11" t="str">
        <f t="shared" si="25"/>
        <v>제외</v>
      </c>
      <c r="V201" s="11" t="str">
        <f t="shared" si="26"/>
        <v>제외</v>
      </c>
    </row>
    <row r="202" spans="9:22">
      <c r="I202" s="5"/>
      <c r="L202" s="7"/>
      <c r="M202" s="9"/>
      <c r="N202" s="9"/>
      <c r="O202" s="9"/>
      <c r="P202" s="9"/>
      <c r="Q202" s="9"/>
      <c r="R202" s="9"/>
      <c r="S202" s="9"/>
      <c r="T202" s="11">
        <f t="shared" si="24"/>
        <v>0</v>
      </c>
      <c r="U202" s="11" t="str">
        <f t="shared" si="25"/>
        <v>제외</v>
      </c>
      <c r="V202" s="11" t="str">
        <f t="shared" si="26"/>
        <v>제외</v>
      </c>
    </row>
    <row r="203" spans="9:22">
      <c r="I203" s="5"/>
      <c r="L203" s="7"/>
      <c r="M203" s="9"/>
      <c r="N203" s="9"/>
      <c r="O203" s="9"/>
      <c r="P203" s="9"/>
      <c r="Q203" s="9"/>
      <c r="R203" s="9"/>
      <c r="S203" s="9"/>
      <c r="T203" s="11">
        <f t="shared" si="24"/>
        <v>0</v>
      </c>
      <c r="U203" s="11" t="str">
        <f t="shared" si="25"/>
        <v>제외</v>
      </c>
      <c r="V203" s="11" t="str">
        <f t="shared" si="26"/>
        <v>제외</v>
      </c>
    </row>
    <row r="204" spans="9:22">
      <c r="I204" s="5"/>
      <c r="L204" s="7"/>
      <c r="M204" s="9"/>
      <c r="N204" s="9"/>
      <c r="O204" s="9"/>
      <c r="P204" s="9"/>
      <c r="Q204" s="9"/>
      <c r="R204" s="9"/>
      <c r="S204" s="9"/>
      <c r="T204" s="11">
        <f t="shared" si="24"/>
        <v>0</v>
      </c>
      <c r="U204" s="11" t="str">
        <f t="shared" si="25"/>
        <v>제외</v>
      </c>
      <c r="V204" s="11" t="str">
        <f t="shared" si="26"/>
        <v>제외</v>
      </c>
    </row>
    <row r="205" spans="9:22">
      <c r="I205" s="5"/>
      <c r="L205" s="7"/>
      <c r="M205" s="9"/>
      <c r="N205" s="9"/>
      <c r="O205" s="9"/>
      <c r="P205" s="9"/>
      <c r="Q205" s="9"/>
      <c r="R205" s="9"/>
      <c r="S205" s="9"/>
      <c r="T205" s="11">
        <f t="shared" si="24"/>
        <v>0</v>
      </c>
      <c r="U205" s="11" t="str">
        <f t="shared" si="25"/>
        <v>제외</v>
      </c>
      <c r="V205" s="11" t="str">
        <f t="shared" si="26"/>
        <v>제외</v>
      </c>
    </row>
    <row r="206" spans="9:22">
      <c r="I206" s="5"/>
      <c r="L206" s="7"/>
      <c r="M206" s="9"/>
      <c r="N206" s="9"/>
      <c r="O206" s="9"/>
      <c r="P206" s="9"/>
      <c r="Q206" s="9"/>
      <c r="R206" s="9"/>
      <c r="S206" s="9"/>
      <c r="T206" s="11">
        <f t="shared" si="24"/>
        <v>0</v>
      </c>
      <c r="U206" s="11" t="str">
        <f t="shared" si="25"/>
        <v>제외</v>
      </c>
      <c r="V206" s="11" t="str">
        <f t="shared" si="26"/>
        <v>제외</v>
      </c>
    </row>
    <row r="207" spans="9:22">
      <c r="I207" s="5"/>
      <c r="L207" s="7"/>
      <c r="M207" s="9"/>
      <c r="N207" s="9"/>
      <c r="O207" s="9"/>
      <c r="P207" s="9"/>
      <c r="Q207" s="9"/>
      <c r="R207" s="9"/>
      <c r="S207" s="9"/>
      <c r="T207" s="11">
        <f t="shared" si="24"/>
        <v>0</v>
      </c>
      <c r="U207" s="11" t="str">
        <f t="shared" si="25"/>
        <v>제외</v>
      </c>
      <c r="V207" s="11" t="str">
        <f t="shared" si="26"/>
        <v>제외</v>
      </c>
    </row>
    <row r="208" spans="9:22">
      <c r="I208" s="5"/>
      <c r="L208" s="7"/>
      <c r="M208" s="9"/>
      <c r="N208" s="9"/>
      <c r="O208" s="9"/>
      <c r="P208" s="9"/>
      <c r="Q208" s="9"/>
      <c r="R208" s="9"/>
      <c r="S208" s="9"/>
      <c r="T208" s="11">
        <f t="shared" si="24"/>
        <v>0</v>
      </c>
      <c r="U208" s="11" t="str">
        <f t="shared" si="25"/>
        <v>제외</v>
      </c>
      <c r="V208" s="11" t="str">
        <f t="shared" si="26"/>
        <v>제외</v>
      </c>
    </row>
    <row r="209" spans="9:22">
      <c r="I209" s="5"/>
      <c r="L209" s="7"/>
      <c r="M209" s="9"/>
      <c r="N209" s="9"/>
      <c r="O209" s="9"/>
      <c r="P209" s="9"/>
      <c r="Q209" s="9"/>
      <c r="R209" s="9"/>
      <c r="S209" s="9"/>
      <c r="T209" s="11">
        <f t="shared" si="24"/>
        <v>0</v>
      </c>
      <c r="U209" s="11" t="str">
        <f t="shared" si="25"/>
        <v>제외</v>
      </c>
      <c r="V209" s="11" t="str">
        <f t="shared" si="26"/>
        <v>제외</v>
      </c>
    </row>
    <row r="210" spans="9:22">
      <c r="I210" s="5"/>
      <c r="L210" s="7"/>
      <c r="M210" s="9"/>
      <c r="N210" s="9"/>
      <c r="O210" s="9"/>
      <c r="P210" s="9"/>
      <c r="Q210" s="9"/>
      <c r="R210" s="9"/>
      <c r="S210" s="9"/>
      <c r="T210" s="11">
        <f t="shared" si="24"/>
        <v>0</v>
      </c>
      <c r="U210" s="11" t="str">
        <f t="shared" si="25"/>
        <v>제외</v>
      </c>
      <c r="V210" s="11" t="str">
        <f t="shared" si="26"/>
        <v>제외</v>
      </c>
    </row>
    <row r="211" spans="9:22">
      <c r="I211" s="5"/>
      <c r="L211" s="7"/>
      <c r="M211" s="9"/>
      <c r="N211" s="9"/>
      <c r="O211" s="9"/>
      <c r="P211" s="9"/>
      <c r="Q211" s="9"/>
      <c r="R211" s="9"/>
      <c r="S211" s="9"/>
      <c r="T211" s="11">
        <f t="shared" si="24"/>
        <v>0</v>
      </c>
      <c r="U211" s="11" t="str">
        <f t="shared" si="25"/>
        <v>제외</v>
      </c>
      <c r="V211" s="11" t="str">
        <f t="shared" si="26"/>
        <v>제외</v>
      </c>
    </row>
    <row r="212" spans="9:22">
      <c r="I212" s="5"/>
      <c r="L212" s="7"/>
      <c r="M212" s="9"/>
      <c r="N212" s="9"/>
      <c r="O212" s="9"/>
      <c r="P212" s="9"/>
      <c r="Q212" s="9"/>
      <c r="R212" s="9"/>
      <c r="S212" s="9"/>
      <c r="T212" s="11">
        <f t="shared" si="24"/>
        <v>0</v>
      </c>
      <c r="U212" s="11" t="str">
        <f t="shared" si="25"/>
        <v>제외</v>
      </c>
      <c r="V212" s="11" t="str">
        <f t="shared" si="26"/>
        <v>제외</v>
      </c>
    </row>
    <row r="213" spans="9:22">
      <c r="I213" s="5"/>
      <c r="L213" s="7"/>
      <c r="M213" s="9"/>
      <c r="N213" s="9"/>
      <c r="O213" s="9"/>
      <c r="P213" s="9"/>
      <c r="Q213" s="9"/>
      <c r="R213" s="9"/>
      <c r="S213" s="9"/>
      <c r="T213" s="11">
        <f t="shared" si="24"/>
        <v>0</v>
      </c>
      <c r="U213" s="11" t="str">
        <f t="shared" si="25"/>
        <v>제외</v>
      </c>
      <c r="V213" s="11" t="str">
        <f t="shared" si="26"/>
        <v>제외</v>
      </c>
    </row>
    <row r="214" spans="9:22">
      <c r="I214" s="5"/>
      <c r="L214" s="7"/>
      <c r="M214" s="9"/>
      <c r="N214" s="9"/>
      <c r="O214" s="9"/>
      <c r="P214" s="9"/>
      <c r="Q214" s="9"/>
      <c r="R214" s="9"/>
      <c r="S214" s="9"/>
      <c r="T214" s="11">
        <f t="shared" si="24"/>
        <v>0</v>
      </c>
      <c r="U214" s="11" t="str">
        <f t="shared" si="25"/>
        <v>제외</v>
      </c>
      <c r="V214" s="11" t="str">
        <f t="shared" si="26"/>
        <v>제외</v>
      </c>
    </row>
    <row r="215" spans="9:22">
      <c r="I215" s="5"/>
      <c r="L215" s="7"/>
      <c r="M215" s="9"/>
      <c r="N215" s="9"/>
      <c r="O215" s="9"/>
      <c r="P215" s="9"/>
      <c r="Q215" s="9"/>
      <c r="R215" s="9"/>
      <c r="S215" s="9"/>
      <c r="T215" s="11">
        <f t="shared" ref="T215:T246" si="27">SUM(M215:Q215)-R215-S215</f>
        <v>0</v>
      </c>
      <c r="U215" s="11" t="str">
        <f t="shared" ref="U215:U246" si="28">IF(T215&gt;=75,"핵심",IF(T215&gt;=60,"연관",IF(AND(T215&gt;=55,D215="소비 신호"),"소비 신호",IF(T215&gt;=45,"확인중","제외"))))</f>
        <v>제외</v>
      </c>
      <c r="V215" s="11" t="str">
        <f t="shared" ref="V215:V249" si="29">IF(OR(R215&gt;=12,S215&gt;=10,T215&lt;45),"제외",IF(AND(T215&gt;=75,N215&gt;=17,O215&gt;=12,OR(D215="대표명·별칭",D215="구성요소",D215="제품·형태")),"핵심",IF(AND(T215&gt;=60,P215&gt;=1),"연관",IF(AND(T215&gt;=55,D215="소비 신호",P215&gt;=1),"소비 신호","확인중"))))</f>
        <v>제외</v>
      </c>
    </row>
    <row r="216" spans="9:22">
      <c r="I216" s="5"/>
      <c r="L216" s="7"/>
      <c r="M216" s="9"/>
      <c r="N216" s="9"/>
      <c r="O216" s="9"/>
      <c r="P216" s="9"/>
      <c r="Q216" s="9"/>
      <c r="R216" s="9"/>
      <c r="S216" s="9"/>
      <c r="T216" s="11">
        <f t="shared" si="27"/>
        <v>0</v>
      </c>
      <c r="U216" s="11" t="str">
        <f t="shared" si="28"/>
        <v>제외</v>
      </c>
      <c r="V216" s="11" t="str">
        <f t="shared" si="29"/>
        <v>제외</v>
      </c>
    </row>
    <row r="217" spans="9:22">
      <c r="I217" s="5"/>
      <c r="L217" s="7"/>
      <c r="M217" s="9"/>
      <c r="N217" s="9"/>
      <c r="O217" s="9"/>
      <c r="P217" s="9"/>
      <c r="Q217" s="9"/>
      <c r="R217" s="9"/>
      <c r="S217" s="9"/>
      <c r="T217" s="11">
        <f t="shared" si="27"/>
        <v>0</v>
      </c>
      <c r="U217" s="11" t="str">
        <f t="shared" si="28"/>
        <v>제외</v>
      </c>
      <c r="V217" s="11" t="str">
        <f t="shared" si="29"/>
        <v>제외</v>
      </c>
    </row>
    <row r="218" spans="9:22">
      <c r="I218" s="5"/>
      <c r="L218" s="7"/>
      <c r="M218" s="9"/>
      <c r="N218" s="9"/>
      <c r="O218" s="9"/>
      <c r="P218" s="9"/>
      <c r="Q218" s="9"/>
      <c r="R218" s="9"/>
      <c r="S218" s="9"/>
      <c r="T218" s="11">
        <f t="shared" si="27"/>
        <v>0</v>
      </c>
      <c r="U218" s="11" t="str">
        <f t="shared" si="28"/>
        <v>제외</v>
      </c>
      <c r="V218" s="11" t="str">
        <f t="shared" si="29"/>
        <v>제외</v>
      </c>
    </row>
    <row r="219" spans="9:22">
      <c r="I219" s="5"/>
      <c r="L219" s="7"/>
      <c r="M219" s="9"/>
      <c r="N219" s="9"/>
      <c r="O219" s="9"/>
      <c r="P219" s="9"/>
      <c r="Q219" s="9"/>
      <c r="R219" s="9"/>
      <c r="S219" s="9"/>
      <c r="T219" s="11">
        <f t="shared" si="27"/>
        <v>0</v>
      </c>
      <c r="U219" s="11" t="str">
        <f t="shared" si="28"/>
        <v>제외</v>
      </c>
      <c r="V219" s="11" t="str">
        <f t="shared" si="29"/>
        <v>제외</v>
      </c>
    </row>
    <row r="220" spans="9:22">
      <c r="I220" s="5"/>
      <c r="L220" s="7"/>
      <c r="M220" s="9"/>
      <c r="N220" s="9"/>
      <c r="O220" s="9"/>
      <c r="P220" s="9"/>
      <c r="Q220" s="9"/>
      <c r="R220" s="9"/>
      <c r="S220" s="9"/>
      <c r="T220" s="11">
        <f t="shared" si="27"/>
        <v>0</v>
      </c>
      <c r="U220" s="11" t="str">
        <f t="shared" si="28"/>
        <v>제외</v>
      </c>
      <c r="V220" s="11" t="str">
        <f t="shared" si="29"/>
        <v>제외</v>
      </c>
    </row>
    <row r="221" spans="9:22">
      <c r="I221" s="5"/>
      <c r="L221" s="7"/>
      <c r="M221" s="9"/>
      <c r="N221" s="9"/>
      <c r="O221" s="9"/>
      <c r="P221" s="9"/>
      <c r="Q221" s="9"/>
      <c r="R221" s="9"/>
      <c r="S221" s="9"/>
      <c r="T221" s="11">
        <f t="shared" si="27"/>
        <v>0</v>
      </c>
      <c r="U221" s="11" t="str">
        <f t="shared" si="28"/>
        <v>제외</v>
      </c>
      <c r="V221" s="11" t="str">
        <f t="shared" si="29"/>
        <v>제외</v>
      </c>
    </row>
    <row r="222" spans="9:22">
      <c r="I222" s="5"/>
      <c r="L222" s="7"/>
      <c r="M222" s="9"/>
      <c r="N222" s="9"/>
      <c r="O222" s="9"/>
      <c r="P222" s="9"/>
      <c r="Q222" s="9"/>
      <c r="R222" s="9"/>
      <c r="S222" s="9"/>
      <c r="T222" s="11">
        <f t="shared" si="27"/>
        <v>0</v>
      </c>
      <c r="U222" s="11" t="str">
        <f t="shared" si="28"/>
        <v>제외</v>
      </c>
      <c r="V222" s="11" t="str">
        <f t="shared" si="29"/>
        <v>제외</v>
      </c>
    </row>
    <row r="223" spans="9:22">
      <c r="I223" s="5"/>
      <c r="L223" s="7"/>
      <c r="M223" s="9"/>
      <c r="N223" s="9"/>
      <c r="O223" s="9"/>
      <c r="P223" s="9"/>
      <c r="Q223" s="9"/>
      <c r="R223" s="9"/>
      <c r="S223" s="9"/>
      <c r="T223" s="11">
        <f t="shared" si="27"/>
        <v>0</v>
      </c>
      <c r="U223" s="11" t="str">
        <f t="shared" si="28"/>
        <v>제외</v>
      </c>
      <c r="V223" s="11" t="str">
        <f t="shared" si="29"/>
        <v>제외</v>
      </c>
    </row>
    <row r="224" spans="9:22">
      <c r="I224" s="5"/>
      <c r="L224" s="7"/>
      <c r="M224" s="9"/>
      <c r="N224" s="9"/>
      <c r="O224" s="9"/>
      <c r="P224" s="9"/>
      <c r="Q224" s="9"/>
      <c r="R224" s="9"/>
      <c r="S224" s="9"/>
      <c r="T224" s="11">
        <f t="shared" si="27"/>
        <v>0</v>
      </c>
      <c r="U224" s="11" t="str">
        <f t="shared" si="28"/>
        <v>제외</v>
      </c>
      <c r="V224" s="11" t="str">
        <f t="shared" si="29"/>
        <v>제외</v>
      </c>
    </row>
    <row r="225" spans="9:22">
      <c r="I225" s="5"/>
      <c r="L225" s="7"/>
      <c r="M225" s="9"/>
      <c r="N225" s="9"/>
      <c r="O225" s="9"/>
      <c r="P225" s="9"/>
      <c r="Q225" s="9"/>
      <c r="R225" s="9"/>
      <c r="S225" s="9"/>
      <c r="T225" s="11">
        <f t="shared" si="27"/>
        <v>0</v>
      </c>
      <c r="U225" s="11" t="str">
        <f t="shared" si="28"/>
        <v>제외</v>
      </c>
      <c r="V225" s="11" t="str">
        <f t="shared" si="29"/>
        <v>제외</v>
      </c>
    </row>
    <row r="226" spans="9:22">
      <c r="I226" s="5"/>
      <c r="L226" s="7"/>
      <c r="M226" s="9"/>
      <c r="N226" s="9"/>
      <c r="O226" s="9"/>
      <c r="P226" s="9"/>
      <c r="Q226" s="9"/>
      <c r="R226" s="9"/>
      <c r="S226" s="9"/>
      <c r="T226" s="11">
        <f t="shared" si="27"/>
        <v>0</v>
      </c>
      <c r="U226" s="11" t="str">
        <f t="shared" si="28"/>
        <v>제외</v>
      </c>
      <c r="V226" s="11" t="str">
        <f t="shared" si="29"/>
        <v>제외</v>
      </c>
    </row>
    <row r="227" spans="9:22">
      <c r="I227" s="5"/>
      <c r="L227" s="7"/>
      <c r="M227" s="9"/>
      <c r="N227" s="9"/>
      <c r="O227" s="9"/>
      <c r="P227" s="9"/>
      <c r="Q227" s="9"/>
      <c r="R227" s="9"/>
      <c r="S227" s="9"/>
      <c r="T227" s="11">
        <f t="shared" si="27"/>
        <v>0</v>
      </c>
      <c r="U227" s="11" t="str">
        <f t="shared" si="28"/>
        <v>제외</v>
      </c>
      <c r="V227" s="11" t="str">
        <f t="shared" si="29"/>
        <v>제외</v>
      </c>
    </row>
    <row r="228" spans="9:22">
      <c r="I228" s="5"/>
      <c r="L228" s="7"/>
      <c r="M228" s="9"/>
      <c r="N228" s="9"/>
      <c r="O228" s="9"/>
      <c r="P228" s="9"/>
      <c r="Q228" s="9"/>
      <c r="R228" s="9"/>
      <c r="S228" s="9"/>
      <c r="T228" s="11">
        <f t="shared" si="27"/>
        <v>0</v>
      </c>
      <c r="U228" s="11" t="str">
        <f t="shared" si="28"/>
        <v>제외</v>
      </c>
      <c r="V228" s="11" t="str">
        <f t="shared" si="29"/>
        <v>제외</v>
      </c>
    </row>
    <row r="229" spans="9:22">
      <c r="I229" s="5"/>
      <c r="L229" s="7"/>
      <c r="M229" s="9"/>
      <c r="N229" s="9"/>
      <c r="O229" s="9"/>
      <c r="P229" s="9"/>
      <c r="Q229" s="9"/>
      <c r="R229" s="9"/>
      <c r="S229" s="9"/>
      <c r="T229" s="11">
        <f t="shared" si="27"/>
        <v>0</v>
      </c>
      <c r="U229" s="11" t="str">
        <f t="shared" si="28"/>
        <v>제외</v>
      </c>
      <c r="V229" s="11" t="str">
        <f t="shared" si="29"/>
        <v>제외</v>
      </c>
    </row>
    <row r="230" spans="9:22">
      <c r="I230" s="5"/>
      <c r="L230" s="7"/>
      <c r="M230" s="9"/>
      <c r="N230" s="9"/>
      <c r="O230" s="9"/>
      <c r="P230" s="9"/>
      <c r="Q230" s="9"/>
      <c r="R230" s="9"/>
      <c r="S230" s="9"/>
      <c r="T230" s="11">
        <f t="shared" si="27"/>
        <v>0</v>
      </c>
      <c r="U230" s="11" t="str">
        <f t="shared" si="28"/>
        <v>제외</v>
      </c>
      <c r="V230" s="11" t="str">
        <f t="shared" si="29"/>
        <v>제외</v>
      </c>
    </row>
    <row r="231" spans="9:22">
      <c r="I231" s="5"/>
      <c r="L231" s="7"/>
      <c r="M231" s="9"/>
      <c r="N231" s="9"/>
      <c r="O231" s="9"/>
      <c r="P231" s="9"/>
      <c r="Q231" s="9"/>
      <c r="R231" s="9"/>
      <c r="S231" s="9"/>
      <c r="T231" s="11">
        <f t="shared" si="27"/>
        <v>0</v>
      </c>
      <c r="U231" s="11" t="str">
        <f t="shared" si="28"/>
        <v>제외</v>
      </c>
      <c r="V231" s="11" t="str">
        <f t="shared" si="29"/>
        <v>제외</v>
      </c>
    </row>
    <row r="232" spans="9:22">
      <c r="I232" s="5"/>
      <c r="L232" s="7"/>
      <c r="M232" s="9"/>
      <c r="N232" s="9"/>
      <c r="O232" s="9"/>
      <c r="P232" s="9"/>
      <c r="Q232" s="9"/>
      <c r="R232" s="9"/>
      <c r="S232" s="9"/>
      <c r="T232" s="11">
        <f t="shared" si="27"/>
        <v>0</v>
      </c>
      <c r="U232" s="11" t="str">
        <f t="shared" si="28"/>
        <v>제외</v>
      </c>
      <c r="V232" s="11" t="str">
        <f t="shared" si="29"/>
        <v>제외</v>
      </c>
    </row>
    <row r="233" spans="9:22">
      <c r="I233" s="5"/>
      <c r="L233" s="7"/>
      <c r="M233" s="9"/>
      <c r="N233" s="9"/>
      <c r="O233" s="9"/>
      <c r="P233" s="9"/>
      <c r="Q233" s="9"/>
      <c r="R233" s="9"/>
      <c r="S233" s="9"/>
      <c r="T233" s="11">
        <f t="shared" si="27"/>
        <v>0</v>
      </c>
      <c r="U233" s="11" t="str">
        <f t="shared" si="28"/>
        <v>제외</v>
      </c>
      <c r="V233" s="11" t="str">
        <f t="shared" si="29"/>
        <v>제외</v>
      </c>
    </row>
    <row r="234" spans="9:22">
      <c r="I234" s="5"/>
      <c r="L234" s="7"/>
      <c r="M234" s="9"/>
      <c r="N234" s="9"/>
      <c r="O234" s="9"/>
      <c r="P234" s="9"/>
      <c r="Q234" s="9"/>
      <c r="R234" s="9"/>
      <c r="S234" s="9"/>
      <c r="T234" s="11">
        <f t="shared" si="27"/>
        <v>0</v>
      </c>
      <c r="U234" s="11" t="str">
        <f t="shared" si="28"/>
        <v>제외</v>
      </c>
      <c r="V234" s="11" t="str">
        <f t="shared" si="29"/>
        <v>제외</v>
      </c>
    </row>
    <row r="235" spans="9:22">
      <c r="I235" s="5"/>
      <c r="L235" s="7"/>
      <c r="M235" s="9"/>
      <c r="N235" s="9"/>
      <c r="O235" s="9"/>
      <c r="P235" s="9"/>
      <c r="Q235" s="9"/>
      <c r="R235" s="9"/>
      <c r="S235" s="9"/>
      <c r="T235" s="11">
        <f t="shared" si="27"/>
        <v>0</v>
      </c>
      <c r="U235" s="11" t="str">
        <f t="shared" si="28"/>
        <v>제외</v>
      </c>
      <c r="V235" s="11" t="str">
        <f t="shared" si="29"/>
        <v>제외</v>
      </c>
    </row>
    <row r="236" spans="9:22">
      <c r="I236" s="5"/>
      <c r="L236" s="7"/>
      <c r="M236" s="9"/>
      <c r="N236" s="9"/>
      <c r="O236" s="9"/>
      <c r="P236" s="9"/>
      <c r="Q236" s="9"/>
      <c r="R236" s="9"/>
      <c r="S236" s="9"/>
      <c r="T236" s="11">
        <f t="shared" si="27"/>
        <v>0</v>
      </c>
      <c r="U236" s="11" t="str">
        <f t="shared" si="28"/>
        <v>제외</v>
      </c>
      <c r="V236" s="11" t="str">
        <f t="shared" si="29"/>
        <v>제외</v>
      </c>
    </row>
    <row r="237" spans="9:22">
      <c r="I237" s="5"/>
      <c r="L237" s="7"/>
      <c r="M237" s="9"/>
      <c r="N237" s="9"/>
      <c r="O237" s="9"/>
      <c r="P237" s="9"/>
      <c r="Q237" s="9"/>
      <c r="R237" s="9"/>
      <c r="S237" s="9"/>
      <c r="T237" s="11">
        <f t="shared" si="27"/>
        <v>0</v>
      </c>
      <c r="U237" s="11" t="str">
        <f t="shared" si="28"/>
        <v>제외</v>
      </c>
      <c r="V237" s="11" t="str">
        <f t="shared" si="29"/>
        <v>제외</v>
      </c>
    </row>
    <row r="238" spans="9:22">
      <c r="I238" s="5"/>
      <c r="L238" s="7"/>
      <c r="M238" s="9"/>
      <c r="N238" s="9"/>
      <c r="O238" s="9"/>
      <c r="P238" s="9"/>
      <c r="Q238" s="9"/>
      <c r="R238" s="9"/>
      <c r="S238" s="9"/>
      <c r="T238" s="11">
        <f t="shared" si="27"/>
        <v>0</v>
      </c>
      <c r="U238" s="11" t="str">
        <f t="shared" si="28"/>
        <v>제외</v>
      </c>
      <c r="V238" s="11" t="str">
        <f t="shared" si="29"/>
        <v>제외</v>
      </c>
    </row>
    <row r="239" spans="9:22">
      <c r="I239" s="5"/>
      <c r="L239" s="7"/>
      <c r="M239" s="9"/>
      <c r="N239" s="9"/>
      <c r="O239" s="9"/>
      <c r="P239" s="9"/>
      <c r="Q239" s="9"/>
      <c r="R239" s="9"/>
      <c r="S239" s="9"/>
      <c r="T239" s="11">
        <f t="shared" si="27"/>
        <v>0</v>
      </c>
      <c r="U239" s="11" t="str">
        <f t="shared" si="28"/>
        <v>제외</v>
      </c>
      <c r="V239" s="11" t="str">
        <f t="shared" si="29"/>
        <v>제외</v>
      </c>
    </row>
    <row r="240" spans="9:22">
      <c r="I240" s="5"/>
      <c r="L240" s="7"/>
      <c r="M240" s="9"/>
      <c r="N240" s="9"/>
      <c r="O240" s="9"/>
      <c r="P240" s="9"/>
      <c r="Q240" s="9"/>
      <c r="R240" s="9"/>
      <c r="S240" s="9"/>
      <c r="T240" s="11">
        <f t="shared" si="27"/>
        <v>0</v>
      </c>
      <c r="U240" s="11" t="str">
        <f t="shared" si="28"/>
        <v>제외</v>
      </c>
      <c r="V240" s="11" t="str">
        <f t="shared" si="29"/>
        <v>제외</v>
      </c>
    </row>
    <row r="241" spans="9:22">
      <c r="I241" s="5"/>
      <c r="L241" s="7"/>
      <c r="M241" s="9"/>
      <c r="N241" s="9"/>
      <c r="O241" s="9"/>
      <c r="P241" s="9"/>
      <c r="Q241" s="9"/>
      <c r="R241" s="9"/>
      <c r="S241" s="9"/>
      <c r="T241" s="11">
        <f t="shared" si="27"/>
        <v>0</v>
      </c>
      <c r="U241" s="11" t="str">
        <f t="shared" si="28"/>
        <v>제외</v>
      </c>
      <c r="V241" s="11" t="str">
        <f t="shared" si="29"/>
        <v>제외</v>
      </c>
    </row>
    <row r="242" spans="9:22">
      <c r="I242" s="5"/>
      <c r="L242" s="7"/>
      <c r="M242" s="9"/>
      <c r="N242" s="9"/>
      <c r="O242" s="9"/>
      <c r="P242" s="9"/>
      <c r="Q242" s="9"/>
      <c r="R242" s="9"/>
      <c r="S242" s="9"/>
      <c r="T242" s="11">
        <f t="shared" si="27"/>
        <v>0</v>
      </c>
      <c r="U242" s="11" t="str">
        <f t="shared" si="28"/>
        <v>제외</v>
      </c>
      <c r="V242" s="11" t="str">
        <f t="shared" si="29"/>
        <v>제외</v>
      </c>
    </row>
    <row r="243" spans="9:22">
      <c r="I243" s="5"/>
      <c r="L243" s="7"/>
      <c r="M243" s="9"/>
      <c r="N243" s="9"/>
      <c r="O243" s="9"/>
      <c r="P243" s="9"/>
      <c r="Q243" s="9"/>
      <c r="R243" s="9"/>
      <c r="S243" s="9"/>
      <c r="T243" s="11">
        <f t="shared" si="27"/>
        <v>0</v>
      </c>
      <c r="U243" s="11" t="str">
        <f t="shared" si="28"/>
        <v>제외</v>
      </c>
      <c r="V243" s="11" t="str">
        <f t="shared" si="29"/>
        <v>제외</v>
      </c>
    </row>
    <row r="244" spans="9:22">
      <c r="I244" s="5"/>
      <c r="L244" s="7"/>
      <c r="M244" s="9"/>
      <c r="N244" s="9"/>
      <c r="O244" s="9"/>
      <c r="P244" s="9"/>
      <c r="Q244" s="9"/>
      <c r="R244" s="9"/>
      <c r="S244" s="9"/>
      <c r="T244" s="11">
        <f t="shared" si="27"/>
        <v>0</v>
      </c>
      <c r="U244" s="11" t="str">
        <f t="shared" si="28"/>
        <v>제외</v>
      </c>
      <c r="V244" s="11" t="str">
        <f t="shared" si="29"/>
        <v>제외</v>
      </c>
    </row>
    <row r="245" spans="9:22">
      <c r="I245" s="5"/>
      <c r="L245" s="7"/>
      <c r="M245" s="9"/>
      <c r="N245" s="9"/>
      <c r="O245" s="9"/>
      <c r="P245" s="9"/>
      <c r="Q245" s="9"/>
      <c r="R245" s="9"/>
      <c r="S245" s="9"/>
      <c r="T245" s="11">
        <f t="shared" si="27"/>
        <v>0</v>
      </c>
      <c r="U245" s="11" t="str">
        <f t="shared" si="28"/>
        <v>제외</v>
      </c>
      <c r="V245" s="11" t="str">
        <f t="shared" si="29"/>
        <v>제외</v>
      </c>
    </row>
    <row r="246" spans="9:22">
      <c r="I246" s="5"/>
      <c r="L246" s="7"/>
      <c r="M246" s="9"/>
      <c r="N246" s="9"/>
      <c r="O246" s="9"/>
      <c r="P246" s="9"/>
      <c r="Q246" s="9"/>
      <c r="R246" s="9"/>
      <c r="S246" s="9"/>
      <c r="T246" s="11">
        <f t="shared" si="27"/>
        <v>0</v>
      </c>
      <c r="U246" s="11" t="str">
        <f t="shared" si="28"/>
        <v>제외</v>
      </c>
      <c r="V246" s="11" t="str">
        <f t="shared" si="29"/>
        <v>제외</v>
      </c>
    </row>
    <row r="247" spans="9:22">
      <c r="I247" s="5"/>
      <c r="L247" s="7"/>
      <c r="M247" s="9"/>
      <c r="N247" s="9"/>
      <c r="O247" s="9"/>
      <c r="P247" s="9"/>
      <c r="Q247" s="9"/>
      <c r="R247" s="9"/>
      <c r="S247" s="9"/>
      <c r="T247" s="11">
        <f t="shared" ref="T247:T278" si="30">SUM(M247:Q247)-R247-S247</f>
        <v>0</v>
      </c>
      <c r="U247" s="11" t="str">
        <f t="shared" ref="U247:U278" si="31">IF(T247&gt;=75,"핵심",IF(T247&gt;=60,"연관",IF(AND(T247&gt;=55,D247="소비 신호"),"소비 신호",IF(T247&gt;=45,"확인중","제외"))))</f>
        <v>제외</v>
      </c>
      <c r="V247" s="11" t="str">
        <f t="shared" si="29"/>
        <v>제외</v>
      </c>
    </row>
    <row r="248" spans="9:22">
      <c r="I248" s="5"/>
      <c r="L248" s="7"/>
      <c r="M248" s="9"/>
      <c r="N248" s="9"/>
      <c r="O248" s="9"/>
      <c r="P248" s="9"/>
      <c r="Q248" s="9"/>
      <c r="R248" s="9"/>
      <c r="S248" s="9"/>
      <c r="T248" s="11">
        <f t="shared" si="30"/>
        <v>0</v>
      </c>
      <c r="U248" s="11" t="str">
        <f t="shared" si="31"/>
        <v>제외</v>
      </c>
      <c r="V248" s="11" t="str">
        <f t="shared" si="29"/>
        <v>제외</v>
      </c>
    </row>
    <row r="249" spans="9:22">
      <c r="I249" s="5"/>
      <c r="L249" s="7"/>
      <c r="M249" s="9"/>
      <c r="N249" s="9"/>
      <c r="O249" s="9"/>
      <c r="P249" s="9"/>
      <c r="Q249" s="9"/>
      <c r="R249" s="9"/>
      <c r="S249" s="9"/>
      <c r="T249" s="11">
        <f t="shared" si="30"/>
        <v>0</v>
      </c>
      <c r="U249" s="11" t="str">
        <f t="shared" si="31"/>
        <v>제외</v>
      </c>
      <c r="V249" s="11" t="str">
        <f t="shared" si="29"/>
        <v>제외</v>
      </c>
    </row>
  </sheetData>
  <mergeCells count="3">
    <mergeCell ref="A1:V1"/>
    <mergeCell ref="A2:V2"/>
    <mergeCell ref="A3:V3"/>
  </mergeCells>
  <phoneticPr fontId="6" type="noConversion"/>
  <conditionalFormatting sqref="U6:V249">
    <cfRule type="containsText" dxfId="3" priority="1" operator="containsText" text="핵심"/>
    <cfRule type="containsText" dxfId="2" priority="2" operator="containsText" text="연관"/>
    <cfRule type="containsText" dxfId="1" priority="4" operator="containsText" text="확인중"/>
    <cfRule type="containsText" dxfId="0" priority="5" operator="containsText" text="제외"/>
  </conditionalFormatting>
  <dataValidations count="2">
    <dataValidation type="list" sqref="D6:D249" xr:uid="{00000000-0002-0000-0100-000000000000}">
      <formula1>"대표명·별칭,구성요소,제품·형태,소비 신호,확산 맥락"</formula1>
    </dataValidation>
    <dataValidation type="list" sqref="G6:G249" xr:uid="{00000000-0002-0000-0100-000001000000}">
      <formula1>"X,YouTube,네이버,기사,공식자료,X·YouTube,X·YouTube·네이버,X·YouTube·기사,X·기사·커뮤니티"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트렌드 마스터</vt:lpstr>
      <vt:lpstr>키워드 마스터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JINSUK MIN</cp:lastModifiedBy>
  <dcterms:modified xsi:type="dcterms:W3CDTF">2026-08-09T15:24:54Z</dcterms:modified>
</cp:coreProperties>
</file>