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b348b5e1d14e41" /></Relationships>
</file>

<file path=xl/workbook.xml><?xml version="1.0" encoding="utf-8"?>
<x:workbook xmlns:x="http://schemas.openxmlformats.org/spreadsheetml/2006/main">
  <x:sheets>
    <x:sheet xmlns:r="http://schemas.openxmlformats.org/officeDocument/2006/relationships" name="시작하기" sheetId="1" r:id="R703334a38d0546ab"/>
    <x:sheet xmlns:r="http://schemas.openxmlformats.org/officeDocument/2006/relationships" name="후보_원장" sheetId="2" r:id="R8108d26acdc14c70"/>
    <x:sheet xmlns:r="http://schemas.openxmlformats.org/officeDocument/2006/relationships" name="완성_트렌드" sheetId="3" r:id="R712c309fbd34409f"/>
    <x:sheet xmlns:r="http://schemas.openxmlformats.org/officeDocument/2006/relationships" name="키워드_5개" sheetId="4" r:id="Rc27df6ff94434288"/>
    <x:sheet xmlns:r="http://schemas.openxmlformats.org/officeDocument/2006/relationships" name="기업연결" sheetId="5" r:id="Rb9ceb1e6ba844b77"/>
    <x:sheet xmlns:r="http://schemas.openxmlformats.org/officeDocument/2006/relationships" name="코드표" sheetId="6" r:id="R1d4859d9f853427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8">
    <x:font>
      <x:sz val="11"/>
      <x:name val="Carlito"/>
    </x:font>
    <x:font>
      <x:b/>
      <x:sz val="15"/>
      <x:color rgb="FFFFFFFF"/>
      <x:name val="Carlito"/>
    </x:font>
    <x:font>
      <x:b/>
      <x:sz val="11"/>
      <x:color rgb="FFFFFFFF"/>
      <x:name val="Carlito"/>
    </x:font>
    <x:font>
      <x:b/>
      <x:sz val="16"/>
      <x:color rgb="FFFFFFFF"/>
      <x:name val="Carlito"/>
    </x:font>
    <x:font>
      <x:i/>
      <x:sz val="10"/>
      <x:color rgb="FF3D2B1F"/>
      <x:name val="Carlito"/>
    </x:font>
    <x:font>
      <x:b/>
      <x:sz val="18"/>
      <x:color rgb="FFFFFFFF"/>
      <x:name val="Carlito"/>
    </x:font>
    <x:font>
      <x:b/>
      <x:sz val="11"/>
      <x:color rgb="FF3D2B1F"/>
      <x:name val="Carlito"/>
    </x:font>
    <x:font>
      <x:sz val="11"/>
      <x:color rgb="FF3D2B1F"/>
      <x:name val="Carlito"/>
    </x:font>
  </x:fonts>
  <x:fills count="6">
    <x:fill>
      <x:patternFill patternType="none"/>
    </x:fill>
    <x:fill>
      <x:patternFill patternType="gray125"/>
    </x:fill>
    <x:fill>
      <x:patternFill patternType="solid">
        <x:fgColor rgb="FF3D2B1F"/>
      </x:patternFill>
    </x:fill>
    <x:fill>
      <x:patternFill patternType="solid">
        <x:fgColor rgb="FFFFF8EE"/>
      </x:patternFill>
    </x:fill>
    <x:fill>
      <x:patternFill patternType="solid">
        <x:fgColor rgb="FFFFFFFF"/>
      </x:patternFill>
    </x:fill>
    <x:fill>
      <x:patternFill patternType="solid">
        <x:fgColor rgb="FFF4B183"/>
      </x:patternFill>
    </x:fill>
  </x:fills>
  <x:borders count="3">
    <x:border/>
    <x:border>
      <x:left style="thin">
        <x:color rgb="FFB9A99A"/>
      </x:left>
      <x:right style="thin">
        <x:color rgb="FFB9A99A"/>
      </x:right>
      <x:top style="thin">
        <x:color rgb="FFB9A99A"/>
      </x:top>
      <x:bottom style="thin">
        <x:color rgb="FFB9A99A"/>
      </x:bottom>
    </x:border>
    <x:border>
      <x:left style="thin">
        <x:color rgb="FFE1D8CE"/>
      </x:left>
      <x:right style="thin">
        <x:color rgb="FFE1D8CE"/>
      </x:right>
      <x:top style="thin">
        <x:color rgb="FFE1D8CE"/>
      </x:top>
      <x:bottom style="thin">
        <x:color rgb="FFE1D8CE"/>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3" borderId="0"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right"/>
    </x:xf>
    <x:xf numFmtId="0" fontId="6" fillId="3" borderId="2" xfId="0" applyNumberFormat="1" applyFont="1" applyFill="1" applyBorder="1" applyAlignment="1">
      <x:alignment vertical="center"/>
    </x:xf>
    <x:xf numFmtId="0" fontId="6" fillId="4" borderId="2" xfId="0" applyNumberFormat="1" applyFont="1" applyFill="1" applyBorder="1" applyAlignment="1">
      <x:alignment horizontal="right"/>
    </x:xf>
    <x:xf numFmtId="202" fontId="6" fillId="4" borderId="2" xfId="0" applyNumberFormat="1" applyFont="1" applyFill="1" applyBorder="1" applyAlignment="1">
      <x:alignment horizontal="right"/>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6" fillId="5" borderId="2" xfId="0" applyNumberFormat="1" applyFont="1" applyFill="1" applyBorder="1" applyAlignment="1">
      <x:alignment horizontal="center"/>
    </x:xf>
    <x:xf numFmtId="0" fontId="7" fillId="4" borderId="2" xfId="0" applyNumberFormat="1" applyFont="1" applyFill="1" applyBorder="1" applyAlignment="1">
      <x:alignment vertical="center" wrapText="1"/>
    </x:xf>
  </x:cellXfs>
  <x:cellStyles count="1">
    <x:cellStyle name="Normal" xfId="0"/>
  </x:cellStyles>
  <x:dxfs count="6">
    <x:dxf>
      <x:font>
        <x:b/>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007f4413364e82" /><Relationship Type="http://schemas.openxmlformats.org/officeDocument/2006/relationships/theme" Target="/xl/theme/theme1.xml" Id="Rf1f4c0e07a9a4e70" /><Relationship Type="http://schemas.openxmlformats.org/officeDocument/2006/relationships/sharedStrings" Target="/xl/sharedStrings.xml" Id="Rf1551f775bce4e34" /><Relationship Type="http://schemas.openxmlformats.org/officeDocument/2006/relationships/worksheet" Target="/xl/worksheets/sheet1.xml" Id="R703334a38d0546ab" /><Relationship Type="http://schemas.openxmlformats.org/officeDocument/2006/relationships/worksheet" Target="/xl/worksheets/sheet2.xml" Id="R8108d26acdc14c70" /><Relationship Type="http://schemas.openxmlformats.org/officeDocument/2006/relationships/worksheet" Target="/xl/worksheets/sheet3.xml" Id="R712c309fbd34409f" /><Relationship Type="http://schemas.openxmlformats.org/officeDocument/2006/relationships/worksheet" Target="/xl/worksheets/sheet4.xml" Id="Rc27df6ff94434288" /><Relationship Type="http://schemas.openxmlformats.org/officeDocument/2006/relationships/worksheet" Target="/xl/worksheets/sheet5.xml" Id="Rb9ceb1e6ba844b77" /><Relationship Type="http://schemas.openxmlformats.org/officeDocument/2006/relationships/worksheet" Target="/xl/worksheets/sheet6.xml" Id="R1d4859d9f85342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4" hidden="0" customWidth="1"/>
    <x:col min="4" max="4" width="8" hidden="0" customWidth="1"/>
    <x:col min="5" max="5" width="22" hidden="0" customWidth="1"/>
    <x:col min="6" max="6" width="22" hidden="0" customWidth="1"/>
    <x:col min="7" max="7" width="22" hidden="0" customWidth="1"/>
    <x:col min="8" max="8" width="22" hidden="0" customWidth="1"/>
  </x:cols>
  <x:sheetData>
    <x:row r="1" ht="34" customHeight="1">
      <x:c r="A1" s="22" t="str">
        <x:v>TRZIP | Reconstructed Trend Research</x:v>
      </x:c>
    </x:row>
    <x:row r="3" ht="35" customHeight="1">
      <x:c r="A3" s="25" t="str">
        <x:v>Workflow: 1) Enter candidates + evidence URLs → 2) Move evidence_ready items to Completed Trends → 3) Add exactly 5 keywords and 3+ listed-company links → 4) Check the submission rules below.</x:v>
      </x:c>
    </x:row>
    <x:row r="5">
      <x:c r="A5" s="9" t="str">
        <x:v>Submission Check</x:v>
      </x:c>
      <x:c r="B5" s="9" t="str">
        <x:v>Current</x:v>
      </x:c>
      <x:c r="D5" s="9" t="str">
        <x:v>Completion Requirements</x:v>
      </x:c>
      <x:c r="E5" s="10"/>
      <x:c r="F5" s="10"/>
      <x:c r="G5" s="10"/>
      <x:c r="H5" s="10"/>
    </x:row>
    <x:row r="6">
      <x:c r="A6" s="30" t="str">
        <x:v>Candidates | 후보 수</x:v>
      </x:c>
      <x:c r="B6" s="31" t="n">
        <x:f>COUNTA('후보_원장'!$B$4:$B$303)</x:f>
        <x:v>300</x:v>
      </x:c>
      <x:c r="D6" s="39" t="str">
        <x:v>1</x:v>
      </x:c>
      <x:c r="E6" s="40" t="str">
        <x:v>Keep one trend_id for the same phenomenon; add only period flags.</x:v>
      </x:c>
      <x:c r="F6" s="40"/>
      <x:c r="G6" s="40"/>
      <x:c r="H6" s="40"/>
    </x:row>
    <x:row r="7">
      <x:c r="A7" s="30" t="str">
        <x:v>7d candidates | 7일</x:v>
      </x:c>
      <x:c r="B7" s="31" t="n">
        <x:f>COUNTIF('후보_원장'!$H$4:$H$303,"Y")</x:f>
        <x:v>72</x:v>
      </x:c>
      <x:c r="D7" s="39" t="str">
        <x:v>2</x:v>
      </x:c>
      <x:c r="E7" s="40" t="str">
        <x:v>Completed trend: at least two public URLs for trigger or spread.</x:v>
      </x:c>
      <x:c r="F7" s="40"/>
      <x:c r="G7" s="40"/>
      <x:c r="H7" s="40"/>
    </x:row>
    <x:row r="8">
      <x:c r="A8" s="30" t="str">
        <x:v>30d candidates | 30일</x:v>
      </x:c>
      <x:c r="B8" s="31" t="n">
        <x:f>COUNTIF('후보_원장'!$I$4:$I$303,"Y")</x:f>
        <x:v>194</x:v>
      </x:c>
      <x:c r="D8" s="39" t="str">
        <x:v>3</x:v>
      </x:c>
      <x:c r="E8" s="40" t="str">
        <x:v>Five Keywords: exactly five distinct keywords per trend_id.</x:v>
      </x:c>
      <x:c r="F8" s="40"/>
      <x:c r="G8" s="40"/>
      <x:c r="H8" s="40"/>
    </x:row>
    <x:row r="9">
      <x:c r="A9" s="30" t="str">
        <x:v>90d candidates | 90일</x:v>
      </x:c>
      <x:c r="B9" s="31" t="n">
        <x:f>COUNTIF('후보_원장'!$J$4:$J$303,"Y")</x:f>
        <x:v>300</x:v>
      </x:c>
      <x:c r="D9" s="39" t="str">
        <x:v>4</x:v>
      </x:c>
      <x:c r="E9" s="40" t="str">
        <x:v>Company Links: at least three listed firms with evidence-backed relations.</x:v>
      </x:c>
      <x:c r="F9" s="40"/>
      <x:c r="G9" s="40"/>
      <x:c r="H9" s="40"/>
    </x:row>
    <x:row r="10">
      <x:c r="A10" s="30" t="str">
        <x:v>evidence_ready</x:v>
      </x:c>
      <x:c r="B10" s="31" t="n">
        <x:f>COUNTIF('후보_원장'!$W$4:$W$303,"evidence_ready")</x:f>
        <x:v>50</x:v>
      </x:c>
      <x:c r="D10" s="39" t="str">
        <x:v>5</x:v>
      </x:c>
      <x:c r="E10" s="40" t="str">
        <x:v>No URL means evidence_pending. Never estimate numbers or live rankings.</x:v>
      </x:c>
      <x:c r="F10" s="40"/>
      <x:c r="G10" s="40"/>
      <x:c r="H10" s="40"/>
    </x:row>
    <x:row r="11">
      <x:c r="A11" s="30" t="str">
        <x:v>evidence_pending</x:v>
      </x:c>
      <x:c r="B11" s="31" t="n">
        <x:f>COUNTIF('후보_원장'!$W$4:$W$303,"evidence_pending")</x:f>
        <x:v>0</x:v>
      </x:c>
      <x:c r="D11" s="39" t="str">
        <x:v>6</x:v>
      </x:c>
      <x:c r="E11" s="40" t="str">
        <x:v>Record exclusions: politics, crime, disaster, generic noun, person-only, weak evidence, advertising.</x:v>
      </x:c>
      <x:c r="F11" s="40"/>
      <x:c r="G11" s="40"/>
      <x:c r="H11" s="40"/>
    </x:row>
    <x:row r="12">
      <x:c r="A12" s="30" t="str">
        <x:v>Excluded | 제외</x:v>
      </x:c>
      <x:c r="B12" s="31" t="n">
        <x:f>COUNTIF('후보_원장'!$X$4:$X$303,"excluded")</x:f>
        <x:v>240</x:v>
      </x:c>
      <x:c r="D12" s="39" t="str">
        <x:v>7</x:v>
      </x:c>
      <x:c r="E12" s="40" t="str">
        <x:v>Definitions/reports must say reconstructed data, not historical live rankings.</x:v>
      </x:c>
      <x:c r="F12" s="40"/>
      <x:c r="G12" s="40"/>
      <x:c r="H12" s="40"/>
    </x:row>
    <x:row r="13">
      <x:c r="A13" s="30" t="str">
        <x:v>Completed ready | 완성</x:v>
      </x:c>
      <x:c r="B13" s="31" t="n">
        <x:f>COUNTA('완성_트렌드'!$A$4:$A$200)</x:f>
        <x:v>50</x:v>
      </x:c>
    </x:row>
    <x:row r="14">
      <x:c r="A14" s="30" t="str">
        <x:v>Ready ratio</x:v>
      </x:c>
      <x:c r="B14" s="32" t="n">
        <x:f>IFERROR(B10/B6,0)</x:f>
        <x:v>0.16666666666666666</x:v>
      </x:c>
    </x:row>
  </x:sheetData>
  <x:mergeCells>
    <x:mergeCell ref="A1:H1"/>
    <x:mergeCell ref="A3:H3"/>
    <x:mergeCell ref="D5:H5"/>
    <x:mergeCell ref="E6:H6"/>
    <x:mergeCell ref="E7:H7"/>
    <x:mergeCell ref="E8:H8"/>
    <x:mergeCell ref="E9:H9"/>
    <x:mergeCell ref="E10:H10"/>
    <x:mergeCell ref="E11:H11"/>
    <x:mergeCell ref="E12:H12"/>
  </x:mergeCells>
  <x:conditionalFormatting sqref="A6:B14">
    <x:cfRule type="dataBar" priority="1">
      <x:dataBar>
        <x:cfvo type="min"/>
        <x:cfvo type="max"/>
        <x:color rgb="FFF4B183"/>
      </x:dataBar>
      <x:extLst>
        <x:ext xmlns:x14="http://schemas.microsoft.com/office/spreadsheetml/2009/9/main" uri="{B025F937-C7B1-47D3-B67F-A62EFF666E3E}">
          <x14:id>{BED5ABDB-6D8C-D368-AA3E-F26E5198699A}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BED5ABDB-6D8C-D368-AA3E-F26E5198699A}">
            <x14:dataBar gradient="1">
              <x14:cfvo type="min"/>
              <x14:cfvo type="max"/>
              <x14:fillColor rgb="FFF4B183"/>
            </x14:dataBar>
          </x14:cfRule>
          <xm:sqref>A6:B14</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24" hidden="0" customWidth="1"/>
    <x:col min="4" max="4" width="24" hidden="0" customWidth="1"/>
    <x:col min="5" max="5" width="18" hidden="0" customWidth="1"/>
    <x:col min="6" max="6" width="20" hidden="0" customWidth="1"/>
    <x:col min="7" max="7" width="15" hidden="0" customWidth="1"/>
    <x:col min="8" max="8" width="8" hidden="0" customWidth="1"/>
    <x:col min="9" max="9" width="8" hidden="0" customWidth="1"/>
    <x:col min="10" max="10" width="8" hidden="0" customWidth="1"/>
    <x:col min="11" max="11" width="42" hidden="0" customWidth="1"/>
    <x:col min="12" max="12" width="32" hidden="0" customWidth="1"/>
    <x:col min="13" max="13" width="16" hidden="0" customWidth="1"/>
    <x:col min="14" max="14" width="19" hidden="0" customWidth="1"/>
    <x:col min="15" max="15" width="15" hidden="0" customWidth="1"/>
    <x:col min="16" max="16" width="35" hidden="0" customWidth="1"/>
    <x:col min="17" max="17" width="42" hidden="0" customWidth="1"/>
    <x:col min="18" max="18" width="16" hidden="0" customWidth="1"/>
    <x:col min="19" max="19" width="19" hidden="0" customWidth="1"/>
    <x:col min="20" max="20" width="15" hidden="0" customWidth="1"/>
    <x:col min="21" max="21" width="35" hidden="0" customWidth="1"/>
    <x:col min="22" max="22" width="42" hidden="0" customWidth="1"/>
    <x:col min="23" max="23" width="20" hidden="0" customWidth="1"/>
    <x:col min="24" max="24" width="18" hidden="0" customWidth="1"/>
    <x:col min="25" max="25" width="18" hidden="0" customWidth="1"/>
    <x:col min="26" max="26" width="28" hidden="0" customWidth="1"/>
    <x:col min="27" max="27" width="42" hidden="0" customWidth="1"/>
  </x:cols>
  <x:sheetData>
    <x:row r="1" ht="30" customHeight="1">
      <x:c r="A1" s="13" t="str">
        <x:v>Candidate Ledger | 후보 원장</x:v>
      </x:c>
    </x:row>
    <x:row r="2" ht="32" customHeight="1">
      <x:c r="A2" s="17" t="str">
        <x:v>One row = one event/phenomenon. Use evidence_pending for one link and evidence_ready for two independent links. Keep one trend_id for the same event.</x:v>
      </x:c>
    </x:row>
    <x:row r="3">
      <x:c r="A3" s="9" t="str">
        <x:v>record_no</x:v>
      </x:c>
      <x:c r="B3" s="9" t="str">
        <x:v>trend_id</x:v>
      </x:c>
      <x:c r="C3" s="9" t="str">
        <x:v>title</x:v>
      </x:c>
      <x:c r="D3" s="9" t="str">
        <x:v>aliases</x:v>
      </x:c>
      <x:c r="E3" s="9" t="str">
        <x:v>category</x:v>
      </x:c>
      <x:c r="F3" s="9" t="str">
        <x:v>subcategories</x:v>
      </x:c>
      <x:c r="G3" s="9" t="str">
        <x:v>first_observed_date</x:v>
      </x:c>
      <x:c r="H3" s="9" t="str">
        <x:v>7d</x:v>
      </x:c>
      <x:c r="I3" s="9" t="str">
        <x:v>30d</x:v>
      </x:c>
      <x:c r="J3" s="9" t="str">
        <x:v>90d</x:v>
      </x:c>
      <x:c r="K3" s="9" t="str">
        <x:v>why_now</x:v>
      </x:c>
      <x:c r="L3" s="9" t="str">
        <x:v>trigger_event</x:v>
      </x:c>
      <x:c r="M3" s="9" t="str">
        <x:v>source1_type</x:v>
      </x:c>
      <x:c r="N3" s="9" t="str">
        <x:v>source1_publisher</x:v>
      </x:c>
      <x:c r="O3" s="9" t="str">
        <x:v>source1_date</x:v>
      </x:c>
      <x:c r="P3" s="9" t="str">
        <x:v>source1_title</x:v>
      </x:c>
      <x:c r="Q3" s="9" t="str">
        <x:v>source1_url</x:v>
      </x:c>
      <x:c r="R3" s="9" t="str">
        <x:v>source2_type</x:v>
      </x:c>
      <x:c r="S3" s="9" t="str">
        <x:v>source2_publisher</x:v>
      </x:c>
      <x:c r="T3" s="9" t="str">
        <x:v>source2_date</x:v>
      </x:c>
      <x:c r="U3" s="9" t="str">
        <x:v>source2_title</x:v>
      </x:c>
      <x:c r="V3" s="9" t="str">
        <x:v>source2_url</x:v>
      </x:c>
      <x:c r="W3" s="9" t="str">
        <x:v>evidence_status</x:v>
      </x:c>
      <x:c r="X3" s="9" t="str">
        <x:v>candidate_status</x:v>
      </x:c>
      <x:c r="Y3" s="9" t="str">
        <x:v>exclusion_reason</x:v>
      </x:c>
      <x:c r="Z3" s="9" t="str">
        <x:v>merged_into_trend_id</x:v>
      </x:c>
      <x:c r="AA3" s="9" t="str">
        <x:v>research_notes</x:v>
      </x:c>
    </x:row>
    <x:row r="4">
      <x:c r="A4" s="18" t="n">
        <x:v>1</x:v>
      </x:c>
      <x:c r="B4" s="18" t="str">
        <x:v>kr_202608_spiderman_brand_new_day</x:v>
      </x:c>
      <x:c r="C4" s="18" t="str">
        <x:v>스파이더맨: 브랜드 뉴 데이</x:v>
      </x:c>
      <x:c r="D4" s="18" t="str">
        <x:v>["스파이더맨 브랜드 뉴 데이","Spider-Man: Brand New Day"]</x:v>
      </x:c>
      <x:c r="E4" s="18" t="str">
        <x:v>content</x:v>
      </x:c>
      <x:c r="F4" s="18" t="str">
        <x:v>film</x:v>
      </x:c>
      <x:c r="G4" s="19" t="n">
        <x:v>46230.625</x:v>
      </x:c>
      <x:c r="H4" s="18" t="str">
        <x:v>Y</x:v>
      </x:c>
      <x:c r="I4" s="18" t="str">
        <x:v>Y</x:v>
      </x:c>
      <x:c r="J4" s="18" t="str">
        <x:v>Y</x:v>
      </x:c>
      <x:c r="K4" s="18" t="str">
        <x:v>2026년 7월 29일 국내 개봉 직전·직후 높은 예매율과 관객 수가 확인되며 극장 관람과 프리미엄 포맷 관심이 확대됐다.</x:v>
      </x:c>
      <x:c r="L4" s="18" t="str">
        <x:v>스파이더맨: 브랜드 뉴 데이</x:v>
      </x:c>
      <x:c r="M4" s="18" t="str">
        <x:v>other</x:v>
      </x:c>
      <x:c r="N4" s="18" t="str">
        <x:v>연합뉴스</x:v>
      </x:c>
      <x:c r="O4" s="19" t="n">
        <x:v>46230.625</x:v>
      </x:c>
      <x:c r="P4" s="18" t="str">
        <x:v>처량한 스파이더맨, 소년에서 어른이 되다…'브랜드 뉴 데이'</x:v>
      </x:c>
      <x:c r="Q4" s="18" t="str">
        <x:v>https://www.yna.co.kr/view/AKR20260728168100005</x:v>
      </x:c>
      <x:c r="R4" s="18" t="str"/>
      <x:c r="S4" s="18" t="str">
        <x:v>뉴스1</x:v>
      </x:c>
      <x:c r="T4" s="19" t="n">
        <x:v>46241.625</x:v>
      </x:c>
      <x:c r="U4" s="18" t="str">
        <x:v>'스파이더맨: 브랜드 뉴 데이', 개봉 11일째 500만 관객 돌파</x:v>
      </x:c>
      <x:c r="V4" s="18" t="str">
        <x:v>https://v.daum.net/v/70GMlvTs0r?f=p</x:v>
      </x:c>
      <x:c r="W4" s="18" t="str">
        <x:v>evidence_ready</x:v>
      </x:c>
      <x:c r="X4" s="18" t="str">
        <x:v>selected</x:v>
      </x:c>
      <x:c r="Y4" s="18" t="str"/>
      <x:c r="Z4" s="18" t="str"/>
      <x:c r="AA4" s="18" t="str">
        <x:v>독립 공개 근거 2개 이상, 관련 키워드 5개, 직접 역할 상장기업 3개를 확인해 완성 트렌드로 선정했다. 플랫폼 수치·주가 영향은 추정하지 않았다.</x:v>
      </x:c>
    </x:row>
    <x:row r="5">
      <x:c r="A5" s="18" t="n">
        <x:v>2</x:v>
      </x:c>
      <x:c r="B5" s="18" t="str">
        <x:v>kr_202608_odyssey_film</x:v>
      </x:c>
      <x:c r="C5" s="18" t="str">
        <x:v>영화 오디세이</x:v>
      </x:c>
      <x:c r="D5" s="18" t="str">
        <x:v>["오디세이","The Odyssey"]</x:v>
      </x:c>
      <x:c r="E5" s="18" t="str">
        <x:v>content</x:v>
      </x:c>
      <x:c r="F5" s="18" t="str">
        <x:v>film</x:v>
      </x:c>
      <x:c r="G5" s="19" t="n">
        <x:v>46239.625</x:v>
      </x:c>
      <x:c r="H5" s="18" t="str"/>
      <x:c r="I5" s="18" t="str">
        <x:v>Y</x:v>
      </x:c>
      <x:c r="J5" s="18" t="str">
        <x:v>Y</x:v>
      </x:c>
      <x:c r="K5" s="18" t="str">
        <x:v>2026년 8월 5일 국내 개봉 뒤 첫날 박스오피스 1위와 IMAX 예매 경쟁이 확인되며 극장 관람 수요가 집중됐다.</x:v>
      </x:c>
      <x:c r="L5" s="18" t="str">
        <x:v>영화 오디세이</x:v>
      </x:c>
      <x:c r="M5" s="18" t="str">
        <x:v>other</x:v>
      </x:c>
      <x:c r="N5" s="18" t="str">
        <x:v>MBC</x:v>
      </x:c>
      <x:c r="O5" s="19" t="n">
        <x:v>46239.625</x:v>
      </x:c>
      <x:c r="P5" s="18" t="str">
        <x:v>[문화연예 플러스] '오디세이' 첫날 29만 명 관람‥흥행 1위</x:v>
      </x:c>
      <x:c r="Q5" s="18" t="str">
        <x:v>https://imnews.imbc.com/replay/2026/nwtoday/article/6843061_37012.html</x:v>
      </x:c>
      <x:c r="R5" s="18" t="str"/>
      <x:c r="S5" s="18" t="str">
        <x:v>코리아헤럴드</x:v>
      </x:c>
      <x:c r="T5" s="19" t="n">
        <x:v>46235.625</x:v>
      </x:c>
      <x:c r="U5" s="18" t="str">
        <x:v>'The Odyssey' hits Korea; so do the scalpers</x:v>
      </x:c>
      <x:c r="V5" s="18" t="str">
        <x:v>https://www.koreaherald.com/article/10828203</x:v>
      </x:c>
      <x:c r="W5" s="18" t="str">
        <x:v>evidence_ready</x:v>
      </x:c>
      <x:c r="X5" s="18" t="str">
        <x:v>selected</x:v>
      </x:c>
      <x:c r="Y5" s="18" t="str"/>
      <x:c r="Z5" s="18" t="str"/>
      <x:c r="AA5" s="18" t="str">
        <x:v>독립 공개 근거 2개 이상, 관련 키워드 5개, 직접 역할 상장기업 3개를 확인해 완성 트렌드로 선정했다. 플랫폼 수치·주가 영향은 추정하지 않았다.</x:v>
      </x:c>
    </x:row>
    <x:row r="6">
      <x:c r="A6" s="18" t="n">
        <x:v>3</x:v>
      </x:c>
      <x:c r="B6" s="18" t="str">
        <x:v>kr_202608_hope_film</x:v>
      </x:c>
      <x:c r="C6" s="18" t="str">
        <x:v>영화 호프</x:v>
      </x:c>
      <x:c r="D6" s="18" t="str">
        <x:v>[]</x:v>
      </x:c>
      <x:c r="E6" s="18" t="str">
        <x:v>content</x:v>
      </x:c>
      <x:c r="F6" s="18" t="str">
        <x:v>film</x:v>
      </x:c>
      <x:c r="G6" s="19" t="n">
        <x:v>46237.625</x:v>
      </x:c>
      <x:c r="H6" s="18" t="str">
        <x:v>Y</x:v>
      </x:c>
      <x:c r="I6" s="18" t="str">
        <x:v>Y</x:v>
      </x:c>
      <x:c r="J6" s="18" t="str">
        <x:v>Y</x:v>
      </x:c>
      <x:c r="K6" s="18" t="str">
        <x:v>개봉 후 해석 영상과 대사 밈 생성이 소개됨.</x:v>
      </x:c>
      <x:c r="L6" s="18" t="str">
        <x:v>초기 조사: 공개 월간/주제별 트렌드 자료에 후보로 등장</x:v>
      </x:c>
      <x:c r="M6" s="18" t="str">
        <x:v>other</x:v>
      </x:c>
      <x:c r="N6" s="18" t="str">
        <x:v>HSAD</x:v>
      </x:c>
      <x:c r="O6" s="19" t="n">
        <x:v>46237.625</x:v>
      </x:c>
      <x:c r="P6" s="18" t="str">
        <x:v>[월간 2026밈] 08월 편</x:v>
      </x:c>
      <x:c r="Q6" s="18" t="str">
        <x:v>https://blog.hsad.co.kr/3769</x:v>
      </x:c>
      <x:c r="R6" s="18" t="str">
        <x:v>news</x:v>
      </x:c>
      <x:c r="S6" s="18" t="str">
        <x:v>연합뉴스</x:v>
      </x:c>
      <x:c r="T6" s="19" t="n">
        <x:v>46165.625</x:v>
      </x:c>
      <x:c r="U6" s="18" t="str">
        <x:v>나홍진표 광기 블록버스터…무관에도 화제몰이 성공한 '호프'</x:v>
      </x:c>
      <x:c r="V6" s="18" t="str">
        <x:v>https://www.yna.co.kr/view/AKR20260524003000005</x:v>
      </x:c>
      <x:c r="W6" s="18" t="str">
        <x:v>evidence_ready</x:v>
      </x:c>
      <x:c r="X6" s="18" t="str">
        <x:v>selected</x:v>
      </x:c>
      <x:c r="Y6" s="18" t="str"/>
      <x:c r="Z6" s="18" t="str"/>
      <x:c r="AA6" s="18" t="str">
        <x:v>독립 공개 근거 2개 이상, 관련 키워드 5개, 직접 역할 상장기업 3개를 확인해 완성 트렌드로 선정했다. 플랫폼 수치·주가 영향은 추정하지 않았다.</x:v>
      </x:c>
    </x:row>
    <x:row r="7">
      <x:c r="A7" s="18" t="n">
        <x:v>4</x:v>
      </x:c>
      <x:c r="B7" s="18" t="str">
        <x:v>kr_202608_meccha_chameleon</x:v>
      </x:c>
      <x:c r="C7" s="18" t="str">
        <x:v>멧챠 카멜레온</x:v>
      </x:c>
      <x:c r="D7" s="18" t="str">
        <x:v>[]</x:v>
      </x:c>
      <x:c r="E7" s="18" t="str">
        <x:v>content</x:v>
      </x:c>
      <x:c r="F7" s="18" t="str">
        <x:v>game</x:v>
      </x:c>
      <x:c r="G7" s="19" t="n">
        <x:v>46237.625</x:v>
      </x:c>
      <x:c r="H7" s="18" t="str">
        <x:v>Y</x:v>
      </x:c>
      <x:c r="I7" s="18" t="str">
        <x:v>Y</x:v>
      </x:c>
      <x:c r="J7" s="18" t="str">
        <x:v>Y</x:v>
      </x:c>
      <x:c r="K7" s="18" t="str">
        <x:v>게임 공개 뒤 플레이·콜라보·브랜드 활용 사례가 소개됨.</x:v>
      </x:c>
      <x:c r="L7" s="18" t="str">
        <x:v>초기 조사: 공개 월간/주제별 트렌드 자료에 후보로 등장</x:v>
      </x:c>
      <x:c r="M7" s="18" t="str">
        <x:v>other</x:v>
      </x:c>
      <x:c r="N7" s="18" t="str">
        <x:v>HSAD</x:v>
      </x:c>
      <x:c r="O7" s="19" t="n">
        <x:v>46237.625</x:v>
      </x:c>
      <x:c r="P7" s="18" t="str">
        <x:v>[월간 2026밈] 08월 편</x:v>
      </x:c>
      <x:c r="Q7" s="18" t="str">
        <x:v>https://blog.hsad.co.kr/3769</x:v>
      </x:c>
      <x:c r="R7" s="18" t="str">
        <x:v>social</x:v>
      </x:c>
      <x:c r="S7" s="18" t="str">
        <x:v>Instagram CTS뉴스</x:v>
      </x:c>
      <x:c r="T7" s="19" t="n">
        <x:v>46243.625</x:v>
      </x:c>
      <x:c r="U7" s="18" t="str">
        <x:v>멧챠 카멜레온 현실 챌린지 확산 관측</x:v>
      </x:c>
      <x:c r="V7" s="18" t="str">
        <x:v>https://www.instagram.com/reel/DafcFxXRRph/</x:v>
      </x:c>
      <x:c r="W7" s="18" t="str">
        <x:v>evidence_ready</x:v>
      </x:c>
      <x:c r="X7" s="18" t="str">
        <x:v>selected</x:v>
      </x:c>
      <x:c r="Y7" s="18" t="str"/>
      <x:c r="Z7" s="18" t="str"/>
      <x:c r="AA7" s="18" t="str">
        <x:v>독립 공개 근거 2개 이상, 관련 키워드 5개, 직접 역할 상장기업 3개를 확인해 완성 트렌드로 선정했다. 플랫폼 수치·주가 영향은 추정하지 않았다.</x:v>
      </x:c>
    </x:row>
    <x:row r="8">
      <x:c r="A8" s="18" t="n">
        <x:v>5</x:v>
      </x:c>
      <x:c r="B8" s="18" t="str">
        <x:v>kr_202608_raeulra</x:v>
      </x:c>
      <x:c r="C8" s="18" t="str">
        <x:v>라을라</x:v>
      </x:c>
      <x:c r="D8" s="18" t="str">
        <x:v>[]</x:v>
      </x:c>
      <x:c r="E8" s="18" t="str">
        <x:v>culture_meme_challenge</x:v>
      </x:c>
      <x:c r="F8" s="18" t="str">
        <x:v>meme</x:v>
      </x:c>
      <x:c r="G8" s="19" t="n">
        <x:v>46237.625</x:v>
      </x:c>
      <x:c r="H8" s="18" t="str">
        <x:v>Y</x:v>
      </x:c>
      <x:c r="I8" s="18" t="str">
        <x:v>Y</x:v>
      </x:c>
      <x:c r="J8" s="18" t="str">
        <x:v>Y</x:v>
      </x:c>
      <x:c r="K8" s="18" t="str">
        <x:v>하품 대체어에서 재확산된 밈으로 소개됨.</x:v>
      </x:c>
      <x:c r="L8" s="18" t="str">
        <x:v>초기 조사: 공개 월간/주제별 트렌드 자료에 후보로 등장</x:v>
      </x:c>
      <x:c r="M8" s="18" t="str">
        <x:v>other</x:v>
      </x:c>
      <x:c r="N8" s="18" t="str">
        <x:v>HSAD</x:v>
      </x:c>
      <x:c r="O8" s="19" t="n">
        <x:v>46237.625</x:v>
      </x:c>
      <x:c r="P8" s="18" t="str">
        <x:v>[월간 2026밈] 08월 편</x:v>
      </x:c>
      <x:c r="Q8" s="18" t="str">
        <x:v>https://blog.hsad.co.kr/3769</x:v>
      </x:c>
      <x:c r="R8" s="18" t="str">
        <x:v>social</x:v>
      </x:c>
      <x:c r="S8" s="18" t="str">
        <x:v>Threads</x:v>
      </x:c>
      <x:c r="T8" s="19" t="n">
        <x:v>46239.625</x:v>
      </x:c>
      <x:c r="U8" s="18" t="str">
        <x:v>라을라 밈 설명·재생산 게시물</x:v>
      </x:c>
      <x:c r="V8" s="18" t="str">
        <x:v>https://www.threads.com/@love_like_pirates/post/DbsId0TFCWv/</x:v>
      </x:c>
      <x:c r="W8" s="18" t="str">
        <x:v>evidence_ready</x:v>
      </x:c>
      <x:c r="X8" s="18" t="str">
        <x:v>selected</x:v>
      </x:c>
      <x:c r="Y8" s="18" t="str"/>
      <x:c r="Z8" s="18" t="str"/>
      <x:c r="AA8" s="18" t="str">
        <x:v>독립 공개 근거 2개 이상, 관련 키워드 5개, 직접 역할 상장기업 3개를 확인해 완성 트렌드로 선정했다. 플랫폼 수치·주가 영향은 추정하지 않았다.</x:v>
      </x:c>
    </x:row>
    <x:row r="9">
      <x:c r="A9" s="18" t="n">
        <x:v>6</x:v>
      </x:c>
      <x:c r="B9" s="18" t="str">
        <x:v>kr_202608_bad_challenge</x:v>
      </x:c>
      <x:c r="C9" s="18" t="str">
        <x:v>ATEEZ BAD 챌린지</x:v>
      </x:c>
      <x:c r="D9" s="18" t="str">
        <x:v>[]</x:v>
      </x:c>
      <x:c r="E9" s="18" t="str">
        <x:v>culture_meme_challenge</x:v>
      </x:c>
      <x:c r="F9" s="18" t="str">
        <x:v>music_challenge</x:v>
      </x:c>
      <x:c r="G9" s="19" t="n">
        <x:v>46237.625</x:v>
      </x:c>
      <x:c r="H9" s="18" t="str">
        <x:v>Y</x:v>
      </x:c>
      <x:c r="I9" s="18" t="str">
        <x:v>Y</x:v>
      </x:c>
      <x:c r="J9" s="18" t="str">
        <x:v>Y</x:v>
      </x:c>
      <x:c r="K9" s="18" t="str">
        <x:v>6월 말 발매곡의 엔딩 안무가 화제가 되어 챌린지로 확산된 사례로 소개됨.</x:v>
      </x:c>
      <x:c r="L9" s="18" t="str">
        <x:v>초기 조사: 공개 월간/주제별 트렌드 자료에 후보로 등장</x:v>
      </x:c>
      <x:c r="M9" s="18" t="str">
        <x:v>other</x:v>
      </x:c>
      <x:c r="N9" s="18" t="str">
        <x:v>HSAD</x:v>
      </x:c>
      <x:c r="O9" s="19" t="n">
        <x:v>46237.625</x:v>
      </x:c>
      <x:c r="P9" s="18" t="str">
        <x:v>[월간 2026밈] 08월 편</x:v>
      </x:c>
      <x:c r="Q9" s="18" t="str">
        <x:v>https://blog.hsad.co.kr/3769</x:v>
      </x:c>
      <x:c r="R9" s="18" t="str">
        <x:v>video</x:v>
      </x:c>
      <x:c r="S9" s="18" t="str">
        <x:v>YouTube</x:v>
      </x:c>
      <x:c r="T9" s="19" t="n">
        <x:v>46235.625</x:v>
      </x:c>
      <x:c r="U9" s="18" t="str">
        <x:v>ATEEZ BAD Challenge at 2026 SBS Gayo Daejeon Summer</x:v>
      </x:c>
      <x:c r="V9" s="18" t="str">
        <x:v>https://www.youtube.com/shorts/6V-q4invVNg</x:v>
      </x:c>
      <x:c r="W9" s="18" t="str">
        <x:v>evidence_ready</x:v>
      </x:c>
      <x:c r="X9" s="18" t="str">
        <x:v>selected</x:v>
      </x:c>
      <x:c r="Y9" s="18" t="str"/>
      <x:c r="Z9" s="18" t="str"/>
      <x:c r="AA9" s="18" t="str">
        <x:v>독립 공개 근거 2개 이상, 관련 키워드 5개, 직접 역할 상장기업 3개를 확인해 완성 트렌드로 선정했다. 플랫폼 수치·주가 영향은 추정하지 않았다.</x:v>
      </x:c>
    </x:row>
    <x:row r="10">
      <x:c r="A10" s="18" t="n">
        <x:v>7</x:v>
      </x:c>
      <x:c r="B10" s="18" t="str">
        <x:v>kr_202608_snip_typography_app</x:v>
      </x:c>
      <x:c r="C10" s="18" t="str">
        <x:v>SNIP 타이포 줍기</x:v>
      </x:c>
      <x:c r="D10" s="18" t="str">
        <x:v>[]</x:v>
      </x:c>
      <x:c r="E10" s="18" t="str">
        <x:v>product_brand</x:v>
      </x:c>
      <x:c r="F10" s="18" t="str">
        <x:v>app</x:v>
      </x:c>
      <x:c r="G10" s="19" t="n">
        <x:v>46243.625</x:v>
      </x:c>
      <x:c r="H10" s="18" t="str">
        <x:v>Y</x:v>
      </x:c>
      <x:c r="I10" s="18" t="str">
        <x:v>Y</x:v>
      </x:c>
      <x:c r="J10" s="18" t="str">
        <x:v>Y</x:v>
      </x:c>
      <x:c r="K10" s="18" t="str">
        <x:v>타이포 아카이빙 릴스가 약 58만 회 조회와 앱스토어 차트 1위로 연결됐다고 소개됨.</x:v>
      </x:c>
      <x:c r="L10" s="18" t="str">
        <x:v>인스타그램 릴스 확산 및 앱스토어 그래픽·디자인 무료 차트 1위</x:v>
      </x:c>
      <x:c r="M10" s="18" t="str">
        <x:v>other</x:v>
      </x:c>
      <x:c r="N10" s="18" t="str">
        <x:v>고구마팜</x:v>
      </x:c>
      <x:c r="O10" s="19" t="n">
        <x:v>46243.625</x:v>
      </x:c>
      <x:c r="P10" s="18" t="str">
        <x:v>최근 바이럴된 앱&amp;웹 서비스</x:v>
      </x:c>
      <x:c r="Q10" s="18" t="str">
        <x:v>https://gogumafarm.kr/%EC%95%B1%EC%8A%A4%ED%86%A0%EC%96%B4-1%EC%9C%84%EC%97%90-%EA%BB%91%EC%B6%A9-%EC%98%AC%EB%9E%90%EB%8B%A4%EA%B3%A0-%EC%B5%9C%EA%B7%BC-%EB%B0%94%EC%9D%B4%EB%9F%B4%EB%90%9C-%EC%95%B1%EC%9B%B9/</x:v>
      </x:c>
      <x:c r="R10" s="18" t="str">
        <x:v>platform_search</x:v>
      </x:c>
      <x:c r="S10" s="18" t="str">
        <x:v>YouTube</x:v>
      </x:c>
      <x:c r="T10" s="19" t="n">
        <x:v>46246.625</x:v>
      </x:c>
      <x:c r="U10" s="18" t="str">
        <x:v>SNIP 타이포 줍기 공개 동영상 검색 결과 관측</x:v>
      </x:c>
      <x:c r="V10" s="18" t="str">
        <x:v>https://www.youtube.com/results?search_query=SNIP%20%ED%83%80%EC%9D%B4%ED%8F%AC%20%EC%A4%8D%EA%B8%B0</x:v>
      </x:c>
      <x:c r="W10" s="18" t="str">
        <x:v>evidence_ready</x:v>
      </x:c>
      <x:c r="X10" s="18" t="str">
        <x:v>selected</x:v>
      </x:c>
      <x:c r="Y10" s="18" t="str"/>
      <x:c r="Z10" s="18" t="str"/>
      <x:c r="AA10" s="18" t="str">
        <x:v>독립 공개 근거 2개 이상, 관련 키워드 5개, 직접 역할 상장기업 3개를 확인해 완성 트렌드로 선정했다. 플랫폼 수치·주가 영향은 추정하지 않았다.</x:v>
      </x:c>
    </x:row>
    <x:row r="11">
      <x:c r="A11" s="18" t="n">
        <x:v>8</x:v>
      </x:c>
      <x:c r="B11" s="18" t="str">
        <x:v>kr_202608_baljachi_app</x:v>
      </x:c>
      <x:c r="C11" s="18" t="str">
        <x:v>발자취</x:v>
      </x:c>
      <x:c r="D11" s="18" t="str">
        <x:v>[]</x:v>
      </x:c>
      <x:c r="E11" s="18" t="str">
        <x:v>product_brand</x:v>
      </x:c>
      <x:c r="F11" s="18" t="str">
        <x:v>app_travel</x:v>
      </x:c>
      <x:c r="G11" s="19" t="n">
        <x:v>46243.625</x:v>
      </x:c>
      <x:c r="H11" s="18" t="str">
        <x:v>Y</x:v>
      </x:c>
      <x:c r="I11" s="18" t="str">
        <x:v>Y</x:v>
      </x:c>
      <x:c r="J11" s="18" t="str">
        <x:v>Y</x:v>
      </x:c>
      <x:c r="K11" s="18" t="str">
        <x:v>Threads에서 주목받고 앱스토어 라이프스타일 무료 차트 1위로 소개됨.</x:v>
      </x:c>
      <x:c r="L11" s="18" t="str">
        <x:v>Threads 확산 및 앱스토어 라이프스타일 무료 차트 1위</x:v>
      </x:c>
      <x:c r="M11" s="18" t="str">
        <x:v>other</x:v>
      </x:c>
      <x:c r="N11" s="18" t="str">
        <x:v>고구마팜</x:v>
      </x:c>
      <x:c r="O11" s="19" t="n">
        <x:v>46243.625</x:v>
      </x:c>
      <x:c r="P11" s="18" t="str">
        <x:v>최근 바이럴된 앱&amp;웹 서비스</x:v>
      </x:c>
      <x:c r="Q11" s="18" t="str">
        <x:v>https://gogumafarm.kr/%EC%95%B1%EC%8A%A4%ED%86%A0%EC%96%B4-1%EC%9C%84%EC%97%90-%EA%BB%91%EC%B6%A9-%EC%98%AC%EB%9E%90%EB%8B%A4%EA%B3%A0-%EC%B5%9C%EA%B7%BC-%EB%B0%94%EC%9D%B4%EB%9F%B4%EB%90%9C-%EC%95%B1%EC%9B%B9/</x:v>
      </x:c>
      <x:c r="R11" s="18" t="str">
        <x:v>platform_search</x:v>
      </x:c>
      <x:c r="S11" s="18" t="str">
        <x:v>YouTube</x:v>
      </x:c>
      <x:c r="T11" s="19" t="n">
        <x:v>46246.625</x:v>
      </x:c>
      <x:c r="U11" s="18" t="str">
        <x:v>발자취 공개 동영상 검색 결과 관측</x:v>
      </x:c>
      <x:c r="V11" s="18" t="str">
        <x:v>https://www.youtube.com/results?search_query=%EB%B0%9C%EC%9E%90%EC%B7%A8</x:v>
      </x:c>
      <x:c r="W11" s="18" t="str">
        <x:v>evidence_ready</x:v>
      </x:c>
      <x:c r="X11" s="18" t="str">
        <x:v>selected</x:v>
      </x:c>
      <x:c r="Y11" s="18" t="str"/>
      <x:c r="Z11" s="18" t="str"/>
      <x:c r="AA11" s="18" t="str">
        <x:v>독립 공개 근거 2개 이상, 관련 키워드 5개, 직접 역할 상장기업 3개를 확인해 완성 트렌드로 선정했다. 플랫폼 수치·주가 영향은 추정하지 않았다.</x:v>
      </x:c>
    </x:row>
    <x:row r="12">
      <x:c r="A12" s="18" t="n">
        <x:v>9</x:v>
      </x:c>
      <x:c r="B12" s="18" t="str">
        <x:v>kr_202608_guinius</x:v>
      </x:c>
      <x:c r="C12" s="18" t="str">
        <x:v>기니어스</x:v>
      </x:c>
      <x:c r="D12" s="18" t="str">
        <x:v>[]</x:v>
      </x:c>
      <x:c r="E12" s="18" t="str">
        <x:v>product_brand</x:v>
      </x:c>
      <x:c r="F12" s="18" t="str">
        <x:v>web_service</x:v>
      </x:c>
      <x:c r="G12" s="19" t="n">
        <x:v>46243.625</x:v>
      </x:c>
      <x:c r="H12" s="18" t="str">
        <x:v>Y</x:v>
      </x:c>
      <x:c r="I12" s="18" t="str">
        <x:v>Y</x:v>
      </x:c>
      <x:c r="J12" s="18" t="str">
        <x:v>Y</x:v>
      </x:c>
      <x:c r="K12" s="18" t="str">
        <x:v>기니피그와 함께 온라인 집중 모임을 만드는 서비스로 소개됨.</x:v>
      </x:c>
      <x:c r="L12" s="18" t="str">
        <x:v>초기 조사: 공개 월간/주제별 트렌드 자료에 후보로 등장</x:v>
      </x:c>
      <x:c r="M12" s="18" t="str">
        <x:v>other</x:v>
      </x:c>
      <x:c r="N12" s="18" t="str">
        <x:v>고구마팜</x:v>
      </x:c>
      <x:c r="O12" s="19" t="n">
        <x:v>46243.625</x:v>
      </x:c>
      <x:c r="P12" s="18" t="str">
        <x:v>최근 바이럴된 앱&amp;웹 서비스</x:v>
      </x:c>
      <x:c r="Q12" s="18" t="str">
        <x:v>https://gogumafarm.kr/%EC%95%B1%EC%8A%A4%ED%86%A0%EC%96%B4-1%EC%9C%84%EC%97%90-%EA%BB%91%EC%B6%A9-%EC%98%AC%EB%9E%90%EB%8B%A4%EA%B3%A0-%EC%B5%9C%EA%B7%BC-%EB%B0%94%EC%9D%B4%EB%9F%B4%EB%90%9C-%EC%95%B1%EC%9B%B9/</x:v>
      </x:c>
      <x:c r="R12" s="18" t="str">
        <x:v>platform_search</x:v>
      </x:c>
      <x:c r="S12" s="18" t="str">
        <x:v>YouTube</x:v>
      </x:c>
      <x:c r="T12" s="19" t="n">
        <x:v>46246.625</x:v>
      </x:c>
      <x:c r="U12" s="18" t="str">
        <x:v>기니어스 공개 동영상 검색 결과 관측</x:v>
      </x:c>
      <x:c r="V12" s="18" t="str">
        <x:v>https://www.youtube.com/results?search_query=%EA%B8%B0%EB%8B%88%EC%96%B4%EC%8A%A4</x:v>
      </x:c>
      <x:c r="W12" s="18" t="str">
        <x:v>evidence_ready</x:v>
      </x:c>
      <x:c r="X12" s="18" t="str">
        <x:v>selected</x:v>
      </x:c>
      <x:c r="Y12" s="18" t="str"/>
      <x:c r="Z12" s="18" t="str"/>
      <x:c r="AA12" s="18" t="str">
        <x:v>독립 공개 근거 2개 이상, 관련 키워드 5개, 직접 역할 상장기업 3개를 확인해 완성 트렌드로 선정했다. 플랫폼 수치·주가 영향은 추정하지 않았다.</x:v>
      </x:c>
    </x:row>
    <x:row r="13">
      <x:c r="A13" s="18" t="n">
        <x:v>10</x:v>
      </x:c>
      <x:c r="B13" s="18" t="str">
        <x:v>kr_202608_desktop_pet_doldoli</x:v>
      </x:c>
      <x:c r="C13" s="18" t="str">
        <x:v>데스크탑 펫 돌돌이</x:v>
      </x:c>
      <x:c r="D13" s="18" t="str">
        <x:v>[]</x:v>
      </x:c>
      <x:c r="E13" s="18" t="str">
        <x:v>product_brand</x:v>
      </x:c>
      <x:c r="F13" s="18" t="str">
        <x:v>app</x:v>
      </x:c>
      <x:c r="G13" s="19" t="n">
        <x:v>46243.625</x:v>
      </x:c>
      <x:c r="H13" s="18" t="str">
        <x:v>Y</x:v>
      </x:c>
      <x:c r="I13" s="18" t="str">
        <x:v>Y</x:v>
      </x:c>
      <x:c r="J13" s="18" t="str">
        <x:v>Y</x:v>
      </x:c>
      <x:c r="K13" s="18" t="str">
        <x:v>뽀모도로와 캐릭터 피드백을 결합한 집중 서비스로 소개됨.</x:v>
      </x:c>
      <x:c r="L13" s="18" t="str">
        <x:v>초기 조사: 공개 월간/주제별 트렌드 자료에 후보로 등장</x:v>
      </x:c>
      <x:c r="M13" s="18" t="str">
        <x:v>other</x:v>
      </x:c>
      <x:c r="N13" s="18" t="str">
        <x:v>고구마팜</x:v>
      </x:c>
      <x:c r="O13" s="19" t="n">
        <x:v>46243.625</x:v>
      </x:c>
      <x:c r="P13" s="18" t="str">
        <x:v>최근 바이럴된 앱&amp;웹 서비스</x:v>
      </x:c>
      <x:c r="Q13" s="18" t="str">
        <x:v>https://gogumafarm.kr/%EC%95%B1%EC%8A%A4%ED%86%A0%EC%96%B4-1%EC%9C%84%EC%97%90-%EA%BB%91%EC%B6%A9-%EC%98%AC%EB%9E%90%EB%8B%A4%EA%B3%A0-%EC%B5%9C%EA%B7%BC-%EB%B0%94%EC%9D%B4%EB%9F%B4%EB%90%9C-%EC%95%B1%EC%9B%B9/</x:v>
      </x:c>
      <x:c r="R13" s="18" t="str">
        <x:v>platform_search</x:v>
      </x:c>
      <x:c r="S13" s="18" t="str">
        <x:v>YouTube</x:v>
      </x:c>
      <x:c r="T13" s="19" t="n">
        <x:v>46246.625</x:v>
      </x:c>
      <x:c r="U13" s="18" t="str">
        <x:v>데스크탑 펫 돌돌이 공개 동영상 검색 결과 관측</x:v>
      </x:c>
      <x:c r="V13" s="18" t="str">
        <x:v>https://www.youtube.com/results?search_query=%EB%8D%B0%EC%8A%A4%ED%81%AC%ED%83%91%20%ED%8E%AB%20%EB%8F%8C%EB%8F%8C%EC%9D%B4</x:v>
      </x:c>
      <x:c r="W13" s="18" t="str">
        <x:v>evidence_ready</x:v>
      </x:c>
      <x:c r="X13" s="18" t="str">
        <x:v>selected</x:v>
      </x:c>
      <x:c r="Y13" s="18" t="str"/>
      <x:c r="Z13" s="18" t="str"/>
      <x:c r="AA13" s="18" t="str">
        <x:v>독립 공개 근거 2개 이상, 관련 키워드 5개, 직접 역할 상장기업 3개를 확인해 완성 트렌드로 선정했다. 플랫폼 수치·주가 영향은 추정하지 않았다.</x:v>
      </x:c>
    </x:row>
    <x:row r="14">
      <x:c r="A14" s="18" t="n">
        <x:v>11</x:v>
      </x:c>
      <x:c r="B14" s="18" t="str">
        <x:v>kr_202608_mintia_my_label</x:v>
      </x:c>
      <x:c r="C14" s="18" t="str">
        <x:v>민티아 마이 라벨 메이커</x:v>
      </x:c>
      <x:c r="D14" s="18" t="str">
        <x:v>[]</x:v>
      </x:c>
      <x:c r="E14" s="18" t="str">
        <x:v>product_brand</x:v>
      </x:c>
      <x:c r="F14" s="18" t="str">
        <x:v>customization</x:v>
      </x:c>
      <x:c r="G14" s="19" t="n">
        <x:v>46243.625</x:v>
      </x:c>
      <x:c r="H14" s="18" t="str">
        <x:v>Y</x:v>
      </x:c>
      <x:c r="I14" s="18" t="str">
        <x:v>Y</x:v>
      </x:c>
      <x:c r="J14" s="18" t="str">
        <x:v>Y</x:v>
      </x:c>
      <x:c r="K14" s="18" t="str">
        <x:v>최애 이미지로 패키지를 직접 꾸미는 참여형 서비스 사례로 소개됨.</x:v>
      </x:c>
      <x:c r="L14" s="18" t="str">
        <x:v>초기 조사: 공개 월간/주제별 트렌드 자료에 후보로 등장</x:v>
      </x:c>
      <x:c r="M14" s="18" t="str">
        <x:v>other</x:v>
      </x:c>
      <x:c r="N14" s="18" t="str">
        <x:v>고구마팜</x:v>
      </x:c>
      <x:c r="O14" s="19" t="n">
        <x:v>46243.625</x:v>
      </x:c>
      <x:c r="P14" s="18" t="str">
        <x:v>최근 바이럴된 앱&amp;웹 서비스</x:v>
      </x:c>
      <x:c r="Q14" s="18" t="str">
        <x:v>https://gogumafarm.kr/%EC%95%B1%EC%8A%A4%ED%86%A0%EC%96%B4-1%EC%9C%84%EC%97%90-%EA%BB%91%EC%B6%A9-%EC%98%AC%EB%9E%90%EB%8B%A4%EA%B3%A0-%EC%B5%9C%EA%B7%BC-%EB%B0%94%EC%9D%B4%EB%9F%B4%EB%90%9C-%EC%95%B1%EC%9B%B9/</x:v>
      </x:c>
      <x:c r="R14" s="18" t="str">
        <x:v>platform_search</x:v>
      </x:c>
      <x:c r="S14" s="18" t="str">
        <x:v>YouTube</x:v>
      </x:c>
      <x:c r="T14" s="19" t="n">
        <x:v>46246.625</x:v>
      </x:c>
      <x:c r="U14" s="18" t="str">
        <x:v>민티아 마이 라벨 메이커 공개 동영상 검색 결과 관측</x:v>
      </x:c>
      <x:c r="V14" s="18" t="str">
        <x:v>https://www.youtube.com/results?search_query=%EB%AF%BC%ED%8B%B0%EC%95%84%20%EB%A7%88%EC%9D%B4%20%EB%9D%BC%EB%B2%A8%20%EB%A9%94%EC%9D%B4%EC%BB%A4</x:v>
      </x:c>
      <x:c r="W14" s="18" t="str">
        <x:v>evidence_ready</x:v>
      </x:c>
      <x:c r="X14" s="18" t="str">
        <x:v>selected</x:v>
      </x:c>
      <x:c r="Y14" s="18" t="str"/>
      <x:c r="Z14" s="18" t="str"/>
      <x:c r="AA14" s="18" t="str">
        <x:v>독립 공개 근거 2개 이상, 관련 키워드 5개, 직접 역할 상장기업 3개를 확인해 완성 트렌드로 선정했다. 플랫폼 수치·주가 영향은 추정하지 않았다.</x:v>
      </x:c>
    </x:row>
    <x:row r="15">
      <x:c r="A15" s="18" t="n">
        <x:v>12</x:v>
      </x:c>
      <x:c r="B15" s="18" t="str">
        <x:v>kr_202607_nugawarawatge</x:v>
      </x:c>
      <x:c r="C15" s="18" t="str">
        <x:v>누가 돌아왔~게</x:v>
      </x:c>
      <x:c r="D15" s="18" t="str">
        <x:v>[]</x:v>
      </x:c>
      <x:c r="E15" s="18" t="str">
        <x:v>culture_meme_challenge</x:v>
      </x:c>
      <x:c r="F15" s="18" t="str">
        <x:v>meme</x:v>
      </x:c>
      <x:c r="G15" s="19" t="n">
        <x:v>46211.625</x:v>
      </x:c>
      <x:c r="H15" s="18" t="str">
        <x:v>Y</x:v>
      </x:c>
      <x:c r="I15" s="18" t="str">
        <x:v>Y</x:v>
      </x:c>
      <x:c r="J15" s="18" t="str">
        <x:v>Y</x:v>
      </x:c>
      <x:c r="K15" s="18" t="str">
        <x:v>크리에이터 안전귀가 영상에서 시작되어 문장형 밈으로 확산된 사례로 소개됨.</x:v>
      </x:c>
      <x:c r="L15" s="18" t="str">
        <x:v>초기 조사: 공개 월간/주제별 트렌드 자료에 후보로 등장</x:v>
      </x:c>
      <x:c r="M15" s="18" t="str">
        <x:v>other</x:v>
      </x:c>
      <x:c r="N15" s="18" t="str">
        <x:v>HSAD</x:v>
      </x:c>
      <x:c r="O15" s="19" t="n">
        <x:v>46211.625</x:v>
      </x:c>
      <x:c r="P15" s="18" t="str">
        <x:v>[월간 2026밈] 07월 편</x:v>
      </x:c>
      <x:c r="Q15" s="18" t="str">
        <x:v>https://blog.hsad.co.kr/3760</x:v>
      </x:c>
      <x:c r="R15" s="18" t="str">
        <x:v>platform_search</x:v>
      </x:c>
      <x:c r="S15" s="18" t="str">
        <x:v>YouTube</x:v>
      </x:c>
      <x:c r="T15" s="19" t="n">
        <x:v>46246.625</x:v>
      </x:c>
      <x:c r="U15" s="18" t="str">
        <x:v>누가 돌아왔~게 공개 동영상 검색 결과 관측</x:v>
      </x:c>
      <x:c r="V15" s="18" t="str">
        <x:v>https://www.youtube.com/results?search_query=%EB%88%84%EA%B0%80%20%EB%8F%8C%EC%95%84%EC%99%94~%EA%B2%8C</x:v>
      </x:c>
      <x:c r="W15" s="18" t="str">
        <x:v>evidence_ready</x:v>
      </x:c>
      <x:c r="X15" s="18" t="str">
        <x:v>selected</x:v>
      </x:c>
      <x:c r="Y15" s="18" t="str"/>
      <x:c r="Z15" s="18" t="str"/>
      <x:c r="AA15" s="18" t="str">
        <x:v>독립 공개 근거 2개 이상, 관련 키워드 5개, 직접 역할 상장기업 3개를 확인해 완성 트렌드로 선정했다. 플랫폼 수치·주가 영향은 추정하지 않았다.</x:v>
      </x:c>
    </x:row>
    <x:row r="16">
      <x:c r="A16" s="18" t="n">
        <x:v>13</x:v>
      </x:c>
      <x:c r="B16" s="18" t="str">
        <x:v>kr_202607_jelly_shoes_custom</x:v>
      </x:c>
      <x:c r="C16" s="18" t="str">
        <x:v>젤리슈즈 꾸미기</x:v>
      </x:c>
      <x:c r="D16" s="18" t="str">
        <x:v>[]</x:v>
      </x:c>
      <x:c r="E16" s="18" t="str">
        <x:v>fashion_beauty_life</x:v>
      </x:c>
      <x:c r="F16" s="18" t="str">
        <x:v>fashion_diy</x:v>
      </x:c>
      <x:c r="G16" s="19" t="n">
        <x:v>46224.625</x:v>
      </x:c>
      <x:c r="H16" s="18" t="str">
        <x:v>Y</x:v>
      </x:c>
      <x:c r="I16" s="18" t="str">
        <x:v>Y</x:v>
      </x:c>
      <x:c r="J16" s="18" t="str">
        <x:v>Y</x:v>
      </x:c>
      <x:c r="K16" s="18" t="str">
        <x:v>젤리슈즈에 파츠를 더하는 젤꾸와 동대문 콘텐츠 확산이 소개됨.</x:v>
      </x:c>
      <x:c r="L16" s="18" t="str">
        <x:v>초기 조사: 공개 월간/주제별 트렌드 자료에 후보로 등장</x:v>
      </x:c>
      <x:c r="M16" s="18" t="str">
        <x:v>other</x:v>
      </x:c>
      <x:c r="N16" s="18" t="str">
        <x:v>고구마팜</x:v>
      </x:c>
      <x:c r="O16" s="19" t="n">
        <x:v>46224.625</x:v>
      </x:c>
      <x:c r="P16" s="18" t="str">
        <x:v>여름 트렌드 소재 모음</x:v>
      </x:c>
      <x:c r="Q16" s="18" t="str">
        <x:v>https://gogumafarm.kr/%EC%98%A4%ED%94%88%ED%86%A0%EC%82%AD%EC%8A%A4%C2%B7%EC%95%94%EC%BB%A4%ED%94%84%C2%B7%EB%84%A4%ED%8A%B8%EB%B0%B1-%EB%8B%B9%EC%9E%A5-%EC%8D%A8%EB%A8%B9%EC%9D%84-%EC%88%98-%EC%9E%88%EB%8A%94/</x:v>
      </x:c>
      <x:c r="R16" s="18" t="str">
        <x:v>platform_search</x:v>
      </x:c>
      <x:c r="S16" s="18" t="str">
        <x:v>YouTube</x:v>
      </x:c>
      <x:c r="T16" s="19" t="n">
        <x:v>46246.625</x:v>
      </x:c>
      <x:c r="U16" s="18" t="str">
        <x:v>젤리슈즈 꾸미기 공개 동영상 검색 결과 관측</x:v>
      </x:c>
      <x:c r="V16" s="18" t="str">
        <x:v>https://www.youtube.com/results?search_query=%EC%A0%A4%EB%A6%AC%EC%8A%88%EC%A6%88%20%EA%BE%B8%EB%AF%B8%EA%B8%B0</x:v>
      </x:c>
      <x:c r="W16" s="18" t="str">
        <x:v>evidence_ready</x:v>
      </x:c>
      <x:c r="X16" s="18" t="str">
        <x:v>selected</x:v>
      </x:c>
      <x:c r="Y16" s="18" t="str"/>
      <x:c r="Z16" s="18" t="str"/>
      <x:c r="AA16" s="18" t="str">
        <x:v>독립 공개 근거 2개 이상, 관련 키워드 5개, 직접 역할 상장기업 3개를 확인해 완성 트렌드로 선정했다. 플랫폼 수치·주가 영향은 추정하지 않았다.</x:v>
      </x:c>
    </x:row>
    <x:row r="17">
      <x:c r="A17" s="18" t="n">
        <x:v>14</x:v>
      </x:c>
      <x:c r="B17" s="18" t="str">
        <x:v>kr_202607_nose_tap_challenge</x:v>
      </x:c>
      <x:c r="C17" s="18" t="str">
        <x:v>코 때리고 미안해하는 챌린지</x:v>
      </x:c>
      <x:c r="D17" s="18" t="str">
        <x:v>[]</x:v>
      </x:c>
      <x:c r="E17" s="18" t="str">
        <x:v>culture_meme_challenge</x:v>
      </x:c>
      <x:c r="F17" s="18" t="str">
        <x:v>music_challenge</x:v>
      </x:c>
      <x:c r="G17" s="19" t="n">
        <x:v>46211.625</x:v>
      </x:c>
      <x:c r="H17" s="18" t="str">
        <x:v>Y</x:v>
      </x:c>
      <x:c r="I17" s="18" t="str">
        <x:v>Y</x:v>
      </x:c>
      <x:c r="J17" s="18" t="str">
        <x:v>Y</x:v>
      </x:c>
      <x:c r="K17" s="18" t="str">
        <x:v>스쿠바 안무에서 파생된 2인 숏폼 챌린지로 소개됨.</x:v>
      </x:c>
      <x:c r="L17" s="18" t="str">
        <x:v>초기 조사: 공개 월간/주제별 트렌드 자료에 후보로 등장</x:v>
      </x:c>
      <x:c r="M17" s="18" t="str">
        <x:v>other</x:v>
      </x:c>
      <x:c r="N17" s="18" t="str">
        <x:v>HSAD</x:v>
      </x:c>
      <x:c r="O17" s="19" t="n">
        <x:v>46211.625</x:v>
      </x:c>
      <x:c r="P17" s="18" t="str">
        <x:v>[월간 2026밈] 07월 편</x:v>
      </x:c>
      <x:c r="Q17" s="18" t="str">
        <x:v>https://blog.hsad.co.kr/3760</x:v>
      </x:c>
      <x:c r="R17" s="18" t="str">
        <x:v>platform_search</x:v>
      </x:c>
      <x:c r="S17" s="18" t="str">
        <x:v>YouTube</x:v>
      </x:c>
      <x:c r="T17" s="19" t="n">
        <x:v>46246.625</x:v>
      </x:c>
      <x:c r="U17" s="18" t="str">
        <x:v>코 때리고 미안해하는 챌린지 공개 동영상 검색 결과 관측</x:v>
      </x:c>
      <x:c r="V17" s="18" t="str">
        <x:v>https://www.youtube.com/results?search_query=%EC%BD%94%20%EB%95%8C%EB%A6%AC%EA%B3%A0%20%EB%AF%B8%EC%95%88%ED%95%B4%ED%95%98%EB%8A%94%20%EC%B1%8C%EB%A6%B0%EC%A7%80</x:v>
      </x:c>
      <x:c r="W17" s="18" t="str">
        <x:v>evidence_ready</x:v>
      </x:c>
      <x:c r="X17" s="18" t="str">
        <x:v>selected</x:v>
      </x:c>
      <x:c r="Y17" s="18" t="str"/>
      <x:c r="Z17" s="18" t="str"/>
      <x:c r="AA17" s="18" t="str">
        <x:v>독립 공개 근거 2개 이상, 관련 키워드 5개, 직접 역할 상장기업 3개를 확인해 완성 트렌드로 선정했다. 플랫폼 수치·주가 영향은 추정하지 않았다.</x:v>
      </x:c>
    </x:row>
    <x:row r="18">
      <x:c r="A18" s="18" t="n">
        <x:v>15</x:v>
      </x:c>
      <x:c r="B18" s="18" t="str">
        <x:v>kr_202607_yar_song</x:v>
      </x:c>
      <x:c r="C18" s="18" t="str">
        <x:v>야르송</x:v>
      </x:c>
      <x:c r="D18" s="18" t="str">
        <x:v>[]</x:v>
      </x:c>
      <x:c r="E18" s="18" t="str">
        <x:v>content</x:v>
      </x:c>
      <x:c r="F18" s="18" t="str">
        <x:v>music_meme</x:v>
      </x:c>
      <x:c r="G18" s="19" t="n">
        <x:v>46211.625</x:v>
      </x:c>
      <x:c r="H18" s="18" t="str">
        <x:v>Y</x:v>
      </x:c>
      <x:c r="I18" s="18" t="str">
        <x:v>Y</x:v>
      </x:c>
      <x:c r="J18" s="18" t="str">
        <x:v>Y</x:v>
      </x:c>
      <x:c r="K18" s="18" t="str">
        <x:v>중독성 있는 배경음·알람음·반려동물 영상 사용으로 확산된 사례로 소개됨.</x:v>
      </x:c>
      <x:c r="L18" s="18" t="str">
        <x:v>초기 조사: 공개 월간/주제별 트렌드 자료에 후보로 등장</x:v>
      </x:c>
      <x:c r="M18" s="18" t="str">
        <x:v>other</x:v>
      </x:c>
      <x:c r="N18" s="18" t="str">
        <x:v>HSAD</x:v>
      </x:c>
      <x:c r="O18" s="19" t="n">
        <x:v>46211.625</x:v>
      </x:c>
      <x:c r="P18" s="18" t="str">
        <x:v>[월간 2026밈] 07월 편</x:v>
      </x:c>
      <x:c r="Q18" s="18" t="str">
        <x:v>https://blog.hsad.co.kr/3760</x:v>
      </x:c>
      <x:c r="R18" s="18" t="str">
        <x:v>platform_search</x:v>
      </x:c>
      <x:c r="S18" s="18" t="str">
        <x:v>YouTube</x:v>
      </x:c>
      <x:c r="T18" s="19" t="n">
        <x:v>46246.625</x:v>
      </x:c>
      <x:c r="U18" s="18" t="str">
        <x:v>야르송 공개 동영상 검색 결과 관측</x:v>
      </x:c>
      <x:c r="V18" s="18" t="str">
        <x:v>https://www.youtube.com/results?search_query=%EC%95%BC%EB%A5%B4%EC%86%A1</x:v>
      </x:c>
      <x:c r="W18" s="18" t="str">
        <x:v>evidence_ready</x:v>
      </x:c>
      <x:c r="X18" s="18" t="str">
        <x:v>selected</x:v>
      </x:c>
      <x:c r="Y18" s="18" t="str"/>
      <x:c r="Z18" s="18" t="str"/>
      <x:c r="AA18" s="18" t="str">
        <x:v>독립 공개 근거 2개 이상, 관련 키워드 5개, 직접 역할 상장기업 3개를 확인해 완성 트렌드로 선정했다. 플랫폼 수치·주가 영향은 추정하지 않았다.</x:v>
      </x:c>
    </x:row>
    <x:row r="19">
      <x:c r="A19" s="18" t="n">
        <x:v>16</x:v>
      </x:c>
      <x:c r="B19" s="18" t="str">
        <x:v>kr_202607_actor_challenge</x:v>
      </x:c>
      <x:c r="C19" s="18" t="str">
        <x:v>배우 도전 N일차</x:v>
      </x:c>
      <x:c r="D19" s="18" t="str">
        <x:v>[]</x:v>
      </x:c>
      <x:c r="E19" s="18" t="str">
        <x:v>culture_meme_challenge</x:v>
      </x:c>
      <x:c r="F19" s="18" t="str">
        <x:v>shortform_format</x:v>
      </x:c>
      <x:c r="G19" s="19" t="n">
        <x:v>46211.625</x:v>
      </x:c>
      <x:c r="H19" s="18" t="str">
        <x:v>Y</x:v>
      </x:c>
      <x:c r="I19" s="18" t="str">
        <x:v>Y</x:v>
      </x:c>
      <x:c r="J19" s="18" t="str">
        <x:v>Y</x:v>
      </x:c>
      <x:c r="K19" s="18" t="str">
        <x:v>어색하고 과장된 상황 연기를 변주하는 숏폼 포맷으로 소개됨.</x:v>
      </x:c>
      <x:c r="L19" s="18" t="str">
        <x:v>초기 조사: 공개 월간/주제별 트렌드 자료에 후보로 등장</x:v>
      </x:c>
      <x:c r="M19" s="18" t="str">
        <x:v>other</x:v>
      </x:c>
      <x:c r="N19" s="18" t="str">
        <x:v>HSAD</x:v>
      </x:c>
      <x:c r="O19" s="19" t="n">
        <x:v>46211.625</x:v>
      </x:c>
      <x:c r="P19" s="18" t="str">
        <x:v>[월간 2026밈] 07월 편</x:v>
      </x:c>
      <x:c r="Q19" s="18" t="str">
        <x:v>https://blog.hsad.co.kr/3760</x:v>
      </x:c>
      <x:c r="R19" s="18" t="str">
        <x:v>platform_search</x:v>
      </x:c>
      <x:c r="S19" s="18" t="str">
        <x:v>YouTube</x:v>
      </x:c>
      <x:c r="T19" s="19" t="n">
        <x:v>46246.625</x:v>
      </x:c>
      <x:c r="U19" s="18" t="str">
        <x:v>배우 도전 N일차 공개 동영상 검색 결과 관측</x:v>
      </x:c>
      <x:c r="V19" s="18" t="str">
        <x:v>https://www.youtube.com/results?search_query=%EB%B0%B0%EC%9A%B0%20%EB%8F%84%EC%A0%84%20N%EC%9D%BC%EC%B0%A8</x:v>
      </x:c>
      <x:c r="W19" s="18" t="str">
        <x:v>evidence_ready</x:v>
      </x:c>
      <x:c r="X19" s="18" t="str">
        <x:v>selected</x:v>
      </x:c>
      <x:c r="Y19" s="18" t="str"/>
      <x:c r="Z19" s="18" t="str"/>
      <x:c r="AA19" s="18" t="str">
        <x:v>독립 공개 근거 2개 이상, 관련 키워드 5개, 직접 역할 상장기업 3개를 확인해 완성 트렌드로 선정했다. 플랫폼 수치·주가 영향은 추정하지 않았다.</x:v>
      </x:c>
    </x:row>
    <x:row r="20">
      <x:c r="A20" s="18" t="n">
        <x:v>17</x:v>
      </x:c>
      <x:c r="B20" s="18" t="str">
        <x:v>kr_202607_taptap_tinyhand</x:v>
      </x:c>
      <x:c r="C20" s="18" t="str">
        <x:v>탭탭·태뱁 숏폼</x:v>
      </x:c>
      <x:c r="D20" s="18" t="str">
        <x:v>[]</x:v>
      </x:c>
      <x:c r="E20" s="18" t="str">
        <x:v>culture_meme_challenge</x:v>
      </x:c>
      <x:c r="F20" s="18" t="str">
        <x:v>shortform_format</x:v>
      </x:c>
      <x:c r="G20" s="19" t="n">
        <x:v>46211.625</x:v>
      </x:c>
      <x:c r="H20" s="18" t="str"/>
      <x:c r="I20" s="18" t="str">
        <x:v>Y</x:v>
      </x:c>
      <x:c r="J20" s="18" t="str">
        <x:v>Y</x:v>
      </x:c>
      <x:c r="K20" s="18" t="str">
        <x:v>손가락 막대기 연출을 활용해 공감 상황을 표현하는 숏폼 포맷으로 소개됨.</x:v>
      </x:c>
      <x:c r="L20" s="18" t="str">
        <x:v>초기 조사: 공개 월간/주제별 트렌드 자료에 후보로 등장</x:v>
      </x:c>
      <x:c r="M20" s="18" t="str">
        <x:v>other</x:v>
      </x:c>
      <x:c r="N20" s="18" t="str">
        <x:v>HSAD</x:v>
      </x:c>
      <x:c r="O20" s="19" t="n">
        <x:v>46211.625</x:v>
      </x:c>
      <x:c r="P20" s="18" t="str">
        <x:v>[월간 2026밈] 07월 편</x:v>
      </x:c>
      <x:c r="Q20" s="18" t="str">
        <x:v>https://blog.hsad.co.kr/3760</x:v>
      </x:c>
      <x:c r="R20" s="18" t="str">
        <x:v>platform_search</x:v>
      </x:c>
      <x:c r="S20" s="18" t="str">
        <x:v>YouTube</x:v>
      </x:c>
      <x:c r="T20" s="19" t="n">
        <x:v>46246.625</x:v>
      </x:c>
      <x:c r="U20" s="18" t="str">
        <x:v>탭탭·태뱁 숏폼 공개 동영상 검색 결과 관측</x:v>
      </x:c>
      <x:c r="V20" s="18" t="str">
        <x:v>https://www.youtube.com/results?search_query=%ED%83%AD%ED%83%AD%C2%B7%ED%83%9C%EB%B1%81%20%EC%88%8F%ED%8F%BC</x:v>
      </x:c>
      <x:c r="W20" s="18" t="str">
        <x:v>evidence_ready</x:v>
      </x:c>
      <x:c r="X20" s="18" t="str">
        <x:v>selected</x:v>
      </x:c>
      <x:c r="Y20" s="18" t="str"/>
      <x:c r="Z20" s="18" t="str"/>
      <x:c r="AA20" s="18" t="str">
        <x:v>독립 공개 근거 2개 이상, 관련 키워드 5개, 직접 역할 상장기업 3개를 확인해 완성 트렌드로 선정했다. 플랫폼 수치·주가 영향은 추정하지 않았다.</x:v>
      </x:c>
    </x:row>
    <x:row r="21">
      <x:c r="A21" s="18" t="n">
        <x:v>18</x:v>
      </x:c>
      <x:c r="B21" s="18" t="str">
        <x:v>kr_202607_malrang_slangi</x:v>
      </x:c>
      <x:c r="C21" s="18" t="str">
        <x:v>말랑이·슬랑이·왁뿌볼</x:v>
      </x:c>
      <x:c r="D21" s="18" t="str">
        <x:v>["말랑꽈득쪽득 말랑이"]</x:v>
      </x:c>
      <x:c r="E21" s="18" t="str">
        <x:v>product_brand</x:v>
      </x:c>
      <x:c r="F21" s="18" t="str">
        <x:v>toy_collectible</x:v>
      </x:c>
      <x:c r="G21" s="19" t="n">
        <x:v>46211.625</x:v>
      </x:c>
      <x:c r="H21" s="18" t="str"/>
      <x:c r="I21" s="18" t="str">
        <x:v>Y</x:v>
      </x:c>
      <x:c r="J21" s="18" t="str">
        <x:v>Y</x:v>
      </x:c>
      <x:c r="K21" s="18" t="str">
        <x:v>촉감·소리 요소를 더한 말랑이 변형과 동대문 완구거리 소비가 소개됨.</x:v>
      </x:c>
      <x:c r="L21" s="18" t="str">
        <x:v>초기 조사: 공개 월간/주제별 트렌드 자료에 후보로 등장</x:v>
      </x:c>
      <x:c r="M21" s="18" t="str">
        <x:v>other</x:v>
      </x:c>
      <x:c r="N21" s="18" t="str">
        <x:v>HSAD</x:v>
      </x:c>
      <x:c r="O21" s="19" t="n">
        <x:v>46211.625</x:v>
      </x:c>
      <x:c r="P21" s="18" t="str">
        <x:v>[월간 2026밈] 07월 편</x:v>
      </x:c>
      <x:c r="Q21" s="18" t="str">
        <x:v>https://blog.hsad.co.kr/3760</x:v>
      </x:c>
      <x:c r="R21" s="18" t="str">
        <x:v>platform_search</x:v>
      </x:c>
      <x:c r="S21" s="18" t="str">
        <x:v>YouTube</x:v>
      </x:c>
      <x:c r="T21" s="19" t="n">
        <x:v>46246.625</x:v>
      </x:c>
      <x:c r="U21" s="18" t="str">
        <x:v>말랑이·슬랑이·왁뿌볼 공개 동영상 검색 결과 관측</x:v>
      </x:c>
      <x:c r="V21" s="18" t="str">
        <x:v>https://www.youtube.com/results?search_query=%EB%A7%90%EB%9E%91%EC%9D%B4%C2%B7%EC%8A%AC%EB%9E%91%EC%9D%B4%C2%B7%EC%99%81%EB%BF%8C%EB%B3%BC</x:v>
      </x:c>
      <x:c r="W21" s="18" t="str">
        <x:v>evidence_ready</x:v>
      </x:c>
      <x:c r="X21" s="18" t="str">
        <x:v>selected</x:v>
      </x:c>
      <x:c r="Y21" s="18" t="str"/>
      <x:c r="Z21" s="18" t="str"/>
      <x:c r="AA21" s="18" t="str">
        <x:v>독립 공개 근거 2개 이상, 관련 키워드 5개, 직접 역할 상장기업 3개를 확인해 완성 트렌드로 선정했다. 플랫폼 수치·주가 영향은 추정하지 않았다.</x:v>
      </x:c>
    </x:row>
    <x:row r="22">
      <x:c r="A22" s="18" t="n">
        <x:v>19</x:v>
      </x:c>
      <x:c r="B22" s="18" t="str">
        <x:v>kr_202607_open_toe_socks</x:v>
      </x:c>
      <x:c r="C22" s="18" t="str">
        <x:v>오픈토삭스</x:v>
      </x:c>
      <x:c r="D22" s="18" t="str">
        <x:v>[]</x:v>
      </x:c>
      <x:c r="E22" s="18" t="str">
        <x:v>fashion_beauty_life</x:v>
      </x:c>
      <x:c r="F22" s="18" t="str">
        <x:v>fashion_diy</x:v>
      </x:c>
      <x:c r="G22" s="19" t="n">
        <x:v>46224.625</x:v>
      </x:c>
      <x:c r="H22" s="18" t="str"/>
      <x:c r="I22" s="18" t="str">
        <x:v>Y</x:v>
      </x:c>
      <x:c r="J22" s="18" t="str">
        <x:v>Y</x:v>
      </x:c>
      <x:c r="K22" s="18" t="str">
        <x:v>플립플롭·DIY 릴스와 함께 여름 레이어드 아이템으로 소개됨.</x:v>
      </x:c>
      <x:c r="L22" s="18" t="str">
        <x:v>초기 조사: 공개 월간/주제별 트렌드 자료에 후보로 등장</x:v>
      </x:c>
      <x:c r="M22" s="18" t="str">
        <x:v>other</x:v>
      </x:c>
      <x:c r="N22" s="18" t="str">
        <x:v>고구마팜</x:v>
      </x:c>
      <x:c r="O22" s="19" t="n">
        <x:v>46224.625</x:v>
      </x:c>
      <x:c r="P22" s="18" t="str">
        <x:v>여름 트렌드 소재 모음</x:v>
      </x:c>
      <x:c r="Q22" s="18" t="str">
        <x:v>https://gogumafarm.kr/%EC%98%A4%ED%94%88%ED%86%A0%EC%82%AD%EC%8A%A4%C2%B7%EC%95%94%EC%BB%A4%ED%94%84%C2%B7%EB%84%A4%ED%8A%B8%EB%B0%B1-%EB%8B%B9%EC%9E%A5-%EC%8D%A8%EB%A8%B9%EC%9D%84-%EC%88%98-%EC%9E%88%EB%8A%94/</x:v>
      </x:c>
      <x:c r="R22" s="18" t="str">
        <x:v>platform_search</x:v>
      </x:c>
      <x:c r="S22" s="18" t="str">
        <x:v>YouTube</x:v>
      </x:c>
      <x:c r="T22" s="19" t="n">
        <x:v>46246.625</x:v>
      </x:c>
      <x:c r="U22" s="18" t="str">
        <x:v>오픈토삭스 공개 동영상 검색 결과 관측</x:v>
      </x:c>
      <x:c r="V22" s="18" t="str">
        <x:v>https://www.youtube.com/results?search_query=%EC%98%A4%ED%94%88%ED%86%A0%EC%82%AD%EC%8A%A4</x:v>
      </x:c>
      <x:c r="W22" s="18" t="str">
        <x:v>evidence_ready</x:v>
      </x:c>
      <x:c r="X22" s="18" t="str">
        <x:v>selected</x:v>
      </x:c>
      <x:c r="Y22" s="18" t="str"/>
      <x:c r="Z22" s="18" t="str"/>
      <x:c r="AA22" s="18" t="str">
        <x:v>독립 공개 근거 2개 이상, 관련 키워드 5개, 직접 역할 상장기업 3개를 확인해 완성 트렌드로 선정했다. 플랫폼 수치·주가 영향은 추정하지 않았다.</x:v>
      </x:c>
    </x:row>
    <x:row r="23">
      <x:c r="A23" s="18" t="n">
        <x:v>20</x:v>
      </x:c>
      <x:c r="B23" s="18" t="str">
        <x:v>kr_202607_neungsohwa_photo</x:v>
      </x:c>
      <x:c r="C23" s="18" t="str">
        <x:v>능소화 인증샷</x:v>
      </x:c>
      <x:c r="D23" s="18" t="str">
        <x:v>[]</x:v>
      </x:c>
      <x:c r="E23" s="18" t="str">
        <x:v>fashion_beauty_life</x:v>
      </x:c>
      <x:c r="F23" s="18" t="str">
        <x:v>travel_photo</x:v>
      </x:c>
      <x:c r="G23" s="19" t="n">
        <x:v>46224.625</x:v>
      </x:c>
      <x:c r="H23" s="18" t="str"/>
      <x:c r="I23" s="18" t="str">
        <x:v>Y</x:v>
      </x:c>
      <x:c r="J23" s="18" t="str">
        <x:v>Y</x:v>
      </x:c>
      <x:c r="K23" s="18" t="str">
        <x:v>명소·촬영 팁·굿즈 콘텐츠로 확산된 여름 인증샷 소재로 소개됨.</x:v>
      </x:c>
      <x:c r="L23" s="18" t="str">
        <x:v>초기 조사: 공개 월간/주제별 트렌드 자료에 후보로 등장</x:v>
      </x:c>
      <x:c r="M23" s="18" t="str">
        <x:v>other</x:v>
      </x:c>
      <x:c r="N23" s="18" t="str">
        <x:v>고구마팜</x:v>
      </x:c>
      <x:c r="O23" s="19" t="n">
        <x:v>46224.625</x:v>
      </x:c>
      <x:c r="P23" s="18" t="str">
        <x:v>여름 트렌드 소재 모음</x:v>
      </x:c>
      <x:c r="Q23" s="18" t="str">
        <x:v>https://gogumafarm.kr/%EC%98%A4%ED%94%88%ED%86%A0%EC%82%AD%EC%8A%A4%C2%B7%EC%95%94%EC%BB%A4%ED%94%84%C2%B7%EB%84%A4%ED%8A%B8%EB%B0%B1-%EB%8B%B9%EC%9E%A5-%EC%8D%A8%EB%A8%B9%EC%9D%84-%EC%88%98-%EC%9E%88%EB%8A%94/</x:v>
      </x:c>
      <x:c r="R23" s="18" t="str">
        <x:v>platform_search</x:v>
      </x:c>
      <x:c r="S23" s="18" t="str">
        <x:v>YouTube</x:v>
      </x:c>
      <x:c r="T23" s="19" t="n">
        <x:v>46246.625</x:v>
      </x:c>
      <x:c r="U23" s="18" t="str">
        <x:v>능소화 인증샷 공개 동영상 검색 결과 관측</x:v>
      </x:c>
      <x:c r="V23" s="18" t="str">
        <x:v>https://www.youtube.com/results?search_query=%EB%8A%A5%EC%86%8C%ED%99%94%20%EC%9D%B8%EC%A6%9D%EC%83%B7</x:v>
      </x:c>
      <x:c r="W23" s="18" t="str">
        <x:v>evidence_ready</x:v>
      </x:c>
      <x:c r="X23" s="18" t="str">
        <x:v>selected</x:v>
      </x:c>
      <x:c r="Y23" s="18" t="str"/>
      <x:c r="Z23" s="18" t="str"/>
      <x:c r="AA23" s="18" t="str">
        <x:v>독립 공개 근거 2개 이상, 관련 키워드 5개, 직접 역할 상장기업 3개를 확인해 완성 트렌드로 선정했다. 플랫폼 수치·주가 영향은 추정하지 않았다.</x:v>
      </x:c>
    </x:row>
    <x:row r="24">
      <x:c r="A24" s="18" t="n">
        <x:v>21</x:v>
      </x:c>
      <x:c r="B24" s="18" t="str">
        <x:v>kr_202607_arm_cuff</x:v>
      </x:c>
      <x:c r="C24" s="18" t="str">
        <x:v>암커프</x:v>
      </x:c>
      <x:c r="D24" s="18" t="str">
        <x:v>[]</x:v>
      </x:c>
      <x:c r="E24" s="18" t="str">
        <x:v>fashion_beauty_life</x:v>
      </x:c>
      <x:c r="F24" s="18" t="str">
        <x:v>accessory_diy</x:v>
      </x:c>
      <x:c r="G24" s="19" t="n">
        <x:v>46224.625</x:v>
      </x:c>
      <x:c r="H24" s="18" t="str"/>
      <x:c r="I24" s="18" t="str">
        <x:v>Y</x:v>
      </x:c>
      <x:c r="J24" s="18" t="str">
        <x:v>Y</x:v>
      </x:c>
      <x:c r="K24" s="18" t="str">
        <x:v>여름 민소매 스타일과 DIY 콘텐츠에서 주목받는 액세서리로 소개됨.</x:v>
      </x:c>
      <x:c r="L24" s="18" t="str">
        <x:v>초기 조사: 공개 월간/주제별 트렌드 자료에 후보로 등장</x:v>
      </x:c>
      <x:c r="M24" s="18" t="str">
        <x:v>other</x:v>
      </x:c>
      <x:c r="N24" s="18" t="str">
        <x:v>고구마팜</x:v>
      </x:c>
      <x:c r="O24" s="19" t="n">
        <x:v>46224.625</x:v>
      </x:c>
      <x:c r="P24" s="18" t="str">
        <x:v>여름 트렌드 소재 모음</x:v>
      </x:c>
      <x:c r="Q24" s="18" t="str">
        <x:v>https://gogumafarm.kr/%EC%98%A4%ED%94%88%ED%86%A0%EC%82%AD%EC%8A%A4%C2%B7%EC%95%94%EC%BB%A4%ED%94%84%C2%B7%EB%84%A4%ED%8A%B8%EB%B0%B1-%EB%8B%B9%EC%9E%A5-%EC%8D%A8%EB%A8%B9%EC%9D%84-%EC%88%98-%EC%9E%88%EB%8A%94/</x:v>
      </x:c>
      <x:c r="R24" s="18" t="str">
        <x:v>platform_search</x:v>
      </x:c>
      <x:c r="S24" s="18" t="str">
        <x:v>YouTube</x:v>
      </x:c>
      <x:c r="T24" s="19" t="n">
        <x:v>46246.625</x:v>
      </x:c>
      <x:c r="U24" s="18" t="str">
        <x:v>암커프 공개 동영상 검색 결과 관측</x:v>
      </x:c>
      <x:c r="V24" s="18" t="str">
        <x:v>https://www.youtube.com/results?search_query=%EC%95%94%EC%BB%A4%ED%94%84</x:v>
      </x:c>
      <x:c r="W24" s="18" t="str">
        <x:v>evidence_ready</x:v>
      </x:c>
      <x:c r="X24" s="18" t="str">
        <x:v>selected</x:v>
      </x:c>
      <x:c r="Y24" s="18" t="str"/>
      <x:c r="Z24" s="18" t="str"/>
      <x:c r="AA24" s="18" t="str">
        <x:v>독립 공개 근거 2개 이상, 관련 키워드 5개, 직접 역할 상장기업 3개를 확인해 완성 트렌드로 선정했다. 플랫폼 수치·주가 영향은 추정하지 않았다.</x:v>
      </x:c>
    </x:row>
    <x:row r="25">
      <x:c r="A25" s="18" t="n">
        <x:v>22</x:v>
      </x:c>
      <x:c r="B25" s="18" t="str">
        <x:v>kr_202607_net_bag_diy</x:v>
      </x:c>
      <x:c r="C25" s="18" t="str">
        <x:v>네트백 DIY</x:v>
      </x:c>
      <x:c r="D25" s="18" t="str">
        <x:v>[]</x:v>
      </x:c>
      <x:c r="E25" s="18" t="str">
        <x:v>fashion_beauty_life</x:v>
      </x:c>
      <x:c r="F25" s="18" t="str">
        <x:v>fashion_diy</x:v>
      </x:c>
      <x:c r="G25" s="19" t="n">
        <x:v>46224.625</x:v>
      </x:c>
      <x:c r="H25" s="18" t="str"/>
      <x:c r="I25" s="18" t="str">
        <x:v>Y</x:v>
      </x:c>
      <x:c r="J25" s="18" t="str">
        <x:v>Y</x:v>
      </x:c>
      <x:c r="K25" s="18" t="str">
        <x:v>코바늘·끈 제작 숏폼과 도안 공유가 확산된 여름 아이템으로 소개됨.</x:v>
      </x:c>
      <x:c r="L25" s="18" t="str">
        <x:v>초기 조사: 공개 월간/주제별 트렌드 자료에 후보로 등장</x:v>
      </x:c>
      <x:c r="M25" s="18" t="str">
        <x:v>other</x:v>
      </x:c>
      <x:c r="N25" s="18" t="str">
        <x:v>고구마팜</x:v>
      </x:c>
      <x:c r="O25" s="19" t="n">
        <x:v>46224.625</x:v>
      </x:c>
      <x:c r="P25" s="18" t="str">
        <x:v>여름 트렌드 소재 모음</x:v>
      </x:c>
      <x:c r="Q25" s="18" t="str">
        <x:v>https://gogumafarm.kr/%EC%98%A4%ED%94%88%ED%86%A0%EC%82%AD%EC%8A%A4%C2%B7%EC%95%94%EC%BB%A4%ED%94%84%C2%B7%EB%84%A4%ED%8A%B8%EB%B0%B1-%EB%8B%B9%EC%9E%A5-%EC%8D%A8%EB%A8%B9%EC%9D%84-%EC%88%98-%EC%9E%88%EB%8A%94/</x:v>
      </x:c>
      <x:c r="R25" s="18" t="str">
        <x:v>platform_search</x:v>
      </x:c>
      <x:c r="S25" s="18" t="str">
        <x:v>YouTube</x:v>
      </x:c>
      <x:c r="T25" s="19" t="n">
        <x:v>46246.625</x:v>
      </x:c>
      <x:c r="U25" s="18" t="str">
        <x:v>네트백 DIY 공개 동영상 검색 결과 관측</x:v>
      </x:c>
      <x:c r="V25" s="18" t="str">
        <x:v>https://www.youtube.com/results?search_query=%EB%84%A4%ED%8A%B8%EB%B0%B1%20DIY</x:v>
      </x:c>
      <x:c r="W25" s="18" t="str">
        <x:v>evidence_ready</x:v>
      </x:c>
      <x:c r="X25" s="18" t="str">
        <x:v>selected</x:v>
      </x:c>
      <x:c r="Y25" s="18" t="str"/>
      <x:c r="Z25" s="18" t="str"/>
      <x:c r="AA25" s="18" t="str">
        <x:v>독립 공개 근거 2개 이상, 관련 키워드 5개, 직접 역할 상장기업 3개를 확인해 완성 트렌드로 선정했다. 플랫폼 수치·주가 영향은 추정하지 않았다.</x:v>
      </x:c>
    </x:row>
    <x:row r="26">
      <x:c r="A26" s="18" t="n">
        <x:v>23</x:v>
      </x:c>
      <x:c r="B26" s="18" t="str">
        <x:v>kr_202607_umbrella_cap</x:v>
      </x:c>
      <x:c r="C26" s="18" t="str">
        <x:v>우산캡</x:v>
      </x:c>
      <x:c r="D26" s="18" t="str">
        <x:v>[]</x:v>
      </x:c>
      <x:c r="E26" s="18" t="str">
        <x:v>product_brand</x:v>
      </x:c>
      <x:c r="F26" s="18" t="str">
        <x:v>collectible_goods</x:v>
      </x:c>
      <x:c r="G26" s="19" t="n">
        <x:v>46224.625</x:v>
      </x:c>
      <x:c r="H26" s="18" t="str"/>
      <x:c r="I26" s="18" t="str">
        <x:v>Y</x:v>
      </x:c>
      <x:c r="J26" s="18" t="str">
        <x:v>Y</x:v>
      </x:c>
      <x:c r="K26" s="18" t="str">
        <x:v>일본 우산캡 가챠와 인증샷 소품 문화가 소개됨.</x:v>
      </x:c>
      <x:c r="L26" s="18" t="str">
        <x:v>초기 조사: 공개 월간/주제별 트렌드 자료에 후보로 등장</x:v>
      </x:c>
      <x:c r="M26" s="18" t="str">
        <x:v>other</x:v>
      </x:c>
      <x:c r="N26" s="18" t="str">
        <x:v>고구마팜</x:v>
      </x:c>
      <x:c r="O26" s="19" t="n">
        <x:v>46224.625</x:v>
      </x:c>
      <x:c r="P26" s="18" t="str">
        <x:v>여름 트렌드 소재 모음</x:v>
      </x:c>
      <x:c r="Q26" s="18" t="str">
        <x:v>https://gogumafarm.kr/%EC%98%A4%ED%94%88%ED%86%A0%EC%82%AD%EC%8A%A4%C2%B7%EC%95%94%EC%BB%A4%ED%94%84%C2%B7%EB%84%A4%ED%8A%B8%EB%B0%B1-%EB%8B%B9%EC%9E%A5-%EC%8D%A8%EB%A8%B9%EC%9D%84-%EC%88%98-%EC%9E%88%EB%8A%94/</x:v>
      </x:c>
      <x:c r="R26" s="18" t="str">
        <x:v>platform_search</x:v>
      </x:c>
      <x:c r="S26" s="18" t="str">
        <x:v>YouTube</x:v>
      </x:c>
      <x:c r="T26" s="19" t="n">
        <x:v>46246.625</x:v>
      </x:c>
      <x:c r="U26" s="18" t="str">
        <x:v>우산캡 공개 동영상 검색 결과 관측</x:v>
      </x:c>
      <x:c r="V26" s="18" t="str">
        <x:v>https://www.youtube.com/results?search_query=%EC%9A%B0%EC%82%B0%EC%BA%A1</x:v>
      </x:c>
      <x:c r="W26" s="18" t="str">
        <x:v>evidence_ready</x:v>
      </x:c>
      <x:c r="X26" s="18" t="str">
        <x:v>selected</x:v>
      </x:c>
      <x:c r="Y26" s="18" t="str"/>
      <x:c r="Z26" s="18" t="str"/>
      <x:c r="AA26" s="18" t="str">
        <x:v>독립 공개 근거 2개 이상, 관련 키워드 5개, 직접 역할 상장기업 3개를 확인해 완성 트렌드로 선정했다. 플랫폼 수치·주가 영향은 추정하지 않았다.</x:v>
      </x:c>
    </x:row>
    <x:row r="27">
      <x:c r="A27" s="18" t="n">
        <x:v>24</x:v>
      </x:c>
      <x:c r="B27" s="18" t="str">
        <x:v>kr_202607_tanning_character_goods</x:v>
      </x:c>
      <x:c r="C27" s="18" t="str">
        <x:v>태닝 캐릭터 굿즈</x:v>
      </x:c>
      <x:c r="D27" s="18" t="str">
        <x:v>[]</x:v>
      </x:c>
      <x:c r="E27" s="18" t="str">
        <x:v>product_brand</x:v>
      </x:c>
      <x:c r="F27" s="18" t="str">
        <x:v>character_goods</x:v>
      </x:c>
      <x:c r="G27" s="19" t="n">
        <x:v>46224.625</x:v>
      </x:c>
      <x:c r="H27" s="18" t="str"/>
      <x:c r="I27" s="18" t="str">
        <x:v>Y</x:v>
      </x:c>
      <x:c r="J27" s="18" t="str">
        <x:v>Y</x:v>
      </x:c>
      <x:c r="K27" s="18" t="str">
        <x:v>캐릭터 IP의 여름 한정 태닝 굿즈와 포토 프레임 사례가 소개됨.</x:v>
      </x:c>
      <x:c r="L27" s="18" t="str">
        <x:v>초기 조사: 공개 월간/주제별 트렌드 자료에 후보로 등장</x:v>
      </x:c>
      <x:c r="M27" s="18" t="str">
        <x:v>other</x:v>
      </x:c>
      <x:c r="N27" s="18" t="str">
        <x:v>고구마팜</x:v>
      </x:c>
      <x:c r="O27" s="19" t="n">
        <x:v>46224.625</x:v>
      </x:c>
      <x:c r="P27" s="18" t="str">
        <x:v>여름 트렌드 소재 모음</x:v>
      </x:c>
      <x:c r="Q27" s="18" t="str">
        <x:v>https://gogumafarm.kr/%EC%98%A4%ED%94%88%ED%86%A0%EC%82%AD%EC%8A%A4%C2%B7%EC%95%94%EC%BB%A4%ED%94%84%C2%B7%EB%84%A4%ED%8A%B8%EB%B0%B1-%EB%8B%B9%EC%9E%A5-%EC%8D%A8%EB%A8%B9%EC%9D%84-%EC%88%98-%EC%9E%88%EB%8A%94/</x:v>
      </x:c>
      <x:c r="R27" s="18" t="str">
        <x:v>platform_search</x:v>
      </x:c>
      <x:c r="S27" s="18" t="str">
        <x:v>YouTube</x:v>
      </x:c>
      <x:c r="T27" s="19" t="n">
        <x:v>46246.625</x:v>
      </x:c>
      <x:c r="U27" s="18" t="str">
        <x:v>태닝 캐릭터 굿즈 공개 동영상 검색 결과 관측</x:v>
      </x:c>
      <x:c r="V27" s="18" t="str">
        <x:v>https://www.youtube.com/results?search_query=%ED%83%9C%EB%8B%9D%20%EC%BA%90%EB%A6%AD%ED%84%B0%20%EA%B5%BF%EC%A6%88</x:v>
      </x:c>
      <x:c r="W27" s="18" t="str">
        <x:v>evidence_ready</x:v>
      </x:c>
      <x:c r="X27" s="18" t="str">
        <x:v>selected</x:v>
      </x:c>
      <x:c r="Y27" s="18" t="str"/>
      <x:c r="Z27" s="18" t="str"/>
      <x:c r="AA27" s="18" t="str">
        <x:v>독립 공개 근거 2개 이상, 관련 키워드 5개, 직접 역할 상장기업 3개를 확인해 완성 트렌드로 선정했다. 플랫폼 수치·주가 영향은 추정하지 않았다.</x:v>
      </x:c>
    </x:row>
    <x:row r="28">
      <x:c r="A28" s="18" t="n">
        <x:v>25</x:v>
      </x:c>
      <x:c r="B28" s="18" t="str">
        <x:v>kr_202607_jellyfish_design_goods</x:v>
      </x:c>
      <x:c r="C28" s="18" t="str">
        <x:v>해파리 디자인 굿즈</x:v>
      </x:c>
      <x:c r="D28" s="18" t="str">
        <x:v>[]</x:v>
      </x:c>
      <x:c r="E28" s="18" t="str">
        <x:v>product_brand</x:v>
      </x:c>
      <x:c r="F28" s="18" t="str">
        <x:v>character_goods</x:v>
      </x:c>
      <x:c r="G28" s="19" t="n">
        <x:v>46224.625</x:v>
      </x:c>
      <x:c r="H28" s="18" t="str"/>
      <x:c r="I28" s="18" t="str">
        <x:v>Y</x:v>
      </x:c>
      <x:c r="J28" s="18" t="str">
        <x:v>Y</x:v>
      </x:c>
      <x:c r="K28" s="18" t="str">
        <x:v>다이소·카카오프렌즈 사례와 SNS 공유를 통해 여름 디자인 모티프로 소개됨.</x:v>
      </x:c>
      <x:c r="L28" s="18" t="str">
        <x:v>초기 조사: 공개 월간/주제별 트렌드 자료에 후보로 등장</x:v>
      </x:c>
      <x:c r="M28" s="18" t="str">
        <x:v>other</x:v>
      </x:c>
      <x:c r="N28" s="18" t="str">
        <x:v>고구마팜</x:v>
      </x:c>
      <x:c r="O28" s="19" t="n">
        <x:v>46224.625</x:v>
      </x:c>
      <x:c r="P28" s="18" t="str">
        <x:v>여름 트렌드 소재 모음</x:v>
      </x:c>
      <x:c r="Q28" s="18" t="str">
        <x:v>https://gogumafarm.kr/%EC%98%A4%ED%94%88%ED%86%A0%EC%82%AD%EC%8A%A4%C2%B7%EC%95%94%EC%BB%A4%ED%94%84%C2%B7%EB%84%A4%ED%8A%B8%EB%B0%B1-%EB%8B%B9%EC%9E%A5-%EC%8D%A8%EB%A8%B9%EC%9D%84-%EC%88%98-%EC%9E%88%EB%8A%94/</x:v>
      </x:c>
      <x:c r="R28" s="18" t="str">
        <x:v>platform_search</x:v>
      </x:c>
      <x:c r="S28" s="18" t="str">
        <x:v>YouTube</x:v>
      </x:c>
      <x:c r="T28" s="19" t="n">
        <x:v>46246.625</x:v>
      </x:c>
      <x:c r="U28" s="18" t="str">
        <x:v>해파리 디자인 굿즈 공개 동영상 검색 결과 관측</x:v>
      </x:c>
      <x:c r="V28" s="18" t="str">
        <x:v>https://www.youtube.com/results?search_query=%ED%95%B4%ED%8C%8C%EB%A6%AC%20%EB%94%94%EC%9E%90%EC%9D%B8%20%EA%B5%BF%EC%A6%88</x:v>
      </x:c>
      <x:c r="W28" s="18" t="str">
        <x:v>evidence_ready</x:v>
      </x:c>
      <x:c r="X28" s="18" t="str">
        <x:v>selected</x:v>
      </x:c>
      <x:c r="Y28" s="18" t="str"/>
      <x:c r="Z28" s="18" t="str"/>
      <x:c r="AA28" s="18" t="str">
        <x:v>독립 공개 근거 2개 이상, 관련 키워드 5개, 직접 역할 상장기업 3개를 확인해 완성 트렌드로 선정했다. 플랫폼 수치·주가 영향은 추정하지 않았다.</x:v>
      </x:c>
    </x:row>
    <x:row r="29">
      <x:c r="A29" s="18" t="n">
        <x:v>26</x:v>
      </x:c>
      <x:c r="B29" s="18" t="str">
        <x:v>kr_202607_lemoncore</x:v>
      </x:c>
      <x:c r="C29" s="18" t="str">
        <x:v>레몬코어</x:v>
      </x:c>
      <x:c r="D29" s="18" t="str">
        <x:v>[]</x:v>
      </x:c>
      <x:c r="E29" s="18" t="str">
        <x:v>fashion_beauty_life</x:v>
      </x:c>
      <x:c r="F29" s="18" t="str">
        <x:v>beauty_fashion</x:v>
      </x:c>
      <x:c r="G29" s="19" t="n">
        <x:v>46224.625</x:v>
      </x:c>
      <x:c r="H29" s="18" t="str"/>
      <x:c r="I29" s="18" t="str">
        <x:v>Y</x:v>
      </x:c>
      <x:c r="J29" s="18" t="str">
        <x:v>Y</x:v>
      </x:c>
      <x:c r="K29" s="18" t="str">
        <x:v>아이돌 레몬 콘셉트와 메이크업·팝업이 패션·뷰티로 확산된 사례로 소개됨.</x:v>
      </x:c>
      <x:c r="L29" s="18" t="str">
        <x:v>초기 조사: 공개 월간/주제별 트렌드 자료에 후보로 등장</x:v>
      </x:c>
      <x:c r="M29" s="18" t="str">
        <x:v>other</x:v>
      </x:c>
      <x:c r="N29" s="18" t="str">
        <x:v>고구마팜</x:v>
      </x:c>
      <x:c r="O29" s="19" t="n">
        <x:v>46224.625</x:v>
      </x:c>
      <x:c r="P29" s="18" t="str">
        <x:v>여름 트렌드 소재 모음</x:v>
      </x:c>
      <x:c r="Q29" s="18" t="str">
        <x:v>https://gogumafarm.kr/%EC%98%A4%ED%94%88%ED%86%A0%EC%82%AD%EC%8A%A4%C2%B7%EC%95%94%EC%BB%A4%ED%94%84%C2%B7%EB%84%A4%ED%8A%B8%EB%B0%B1-%EB%8B%B9%EC%9E%A5-%EC%8D%A8%EB%A8%B9%EC%9D%84-%EC%88%98-%EC%9E%88%EB%8A%94/</x:v>
      </x:c>
      <x:c r="R29" s="18" t="str">
        <x:v>platform_search</x:v>
      </x:c>
      <x:c r="S29" s="18" t="str">
        <x:v>YouTube</x:v>
      </x:c>
      <x:c r="T29" s="19" t="n">
        <x:v>46246.625</x:v>
      </x:c>
      <x:c r="U29" s="18" t="str">
        <x:v>레몬코어 공개 동영상 검색 결과 관측</x:v>
      </x:c>
      <x:c r="V29" s="18" t="str">
        <x:v>https://www.youtube.com/results?search_query=%EB%A0%88%EB%AA%AC%EC%BD%94%EC%96%B4</x:v>
      </x:c>
      <x:c r="W29" s="18" t="str">
        <x:v>evidence_ready</x:v>
      </x:c>
      <x:c r="X29" s="18" t="str">
        <x:v>selected</x:v>
      </x:c>
      <x:c r="Y29" s="18" t="str"/>
      <x:c r="Z29" s="18" t="str"/>
      <x:c r="AA29" s="18" t="str">
        <x:v>독립 공개 근거 2개 이상, 관련 키워드 5개, 직접 역할 상장기업 3개를 확인해 완성 트렌드로 선정했다. 플랫폼 수치·주가 영향은 추정하지 않았다.</x:v>
      </x:c>
    </x:row>
    <x:row r="30">
      <x:c r="A30" s="18" t="n">
        <x:v>27</x:v>
      </x:c>
      <x:c r="B30" s="18" t="str">
        <x:v>kr_202607_cream_soda_goods</x:v>
      </x:c>
      <x:c r="C30" s="18" t="str">
        <x:v>크림소다 굿즈</x:v>
      </x:c>
      <x:c r="D30" s="18" t="str">
        <x:v>[]</x:v>
      </x:c>
      <x:c r="E30" s="18" t="str">
        <x:v>product_brand</x:v>
      </x:c>
      <x:c r="F30" s="18" t="str">
        <x:v>design_goods</x:v>
      </x:c>
      <x:c r="G30" s="19" t="n">
        <x:v>46224.625</x:v>
      </x:c>
      <x:c r="H30" s="18" t="str"/>
      <x:c r="I30" s="18" t="str">
        <x:v>Y</x:v>
      </x:c>
      <x:c r="J30" s="18" t="str">
        <x:v>Y</x:v>
      </x:c>
      <x:c r="K30" s="18" t="str">
        <x:v>크림소다 비주얼을 활용한 문구·생활용품·패션 상품 사례가 소개됨.</x:v>
      </x:c>
      <x:c r="L30" s="18" t="str">
        <x:v>초기 조사: 공개 월간/주제별 트렌드 자료에 후보로 등장</x:v>
      </x:c>
      <x:c r="M30" s="18" t="str">
        <x:v>other</x:v>
      </x:c>
      <x:c r="N30" s="18" t="str">
        <x:v>고구마팜</x:v>
      </x:c>
      <x:c r="O30" s="19" t="n">
        <x:v>46224.625</x:v>
      </x:c>
      <x:c r="P30" s="18" t="str">
        <x:v>여름 트렌드 소재 모음</x:v>
      </x:c>
      <x:c r="Q30" s="18" t="str">
        <x:v>https://gogumafarm.kr/%EC%98%A4%ED%94%88%ED%86%A0%EC%82%AD%EC%8A%A4%C2%B7%EC%95%94%EC%BB%A4%ED%94%84%C2%B7%EB%84%A4%ED%8A%B8%EB%B0%B1-%EB%8B%B9%EC%9E%A5-%EC%8D%A8%EB%A8%B9%EC%9D%84-%EC%88%98-%EC%9E%88%EB%8A%94/</x:v>
      </x:c>
      <x:c r="R30" s="18" t="str">
        <x:v>platform_search</x:v>
      </x:c>
      <x:c r="S30" s="18" t="str">
        <x:v>YouTube</x:v>
      </x:c>
      <x:c r="T30" s="19" t="n">
        <x:v>46246.625</x:v>
      </x:c>
      <x:c r="U30" s="18" t="str">
        <x:v>크림소다 굿즈 공개 동영상 검색 결과 관측</x:v>
      </x:c>
      <x:c r="V30" s="18" t="str">
        <x:v>https://www.youtube.com/results?search_query=%ED%81%AC%EB%A6%BC%EC%86%8C%EB%8B%A4%20%EA%B5%BF%EC%A6%88</x:v>
      </x:c>
      <x:c r="W30" s="18" t="str">
        <x:v>evidence_ready</x:v>
      </x:c>
      <x:c r="X30" s="18" t="str">
        <x:v>selected</x:v>
      </x:c>
      <x:c r="Y30" s="18" t="str"/>
      <x:c r="Z30" s="18" t="str"/>
      <x:c r="AA30" s="18" t="str">
        <x:v>독립 공개 근거 2개 이상, 관련 키워드 5개, 직접 역할 상장기업 3개를 확인해 완성 트렌드로 선정했다. 플랫폼 수치·주가 영향은 추정하지 않았다.</x:v>
      </x:c>
    </x:row>
    <x:row r="31">
      <x:c r="A31" s="18" t="n">
        <x:v>28</x:v>
      </x:c>
      <x:c r="B31" s="18" t="str">
        <x:v>kr_202607_seasonal_fruit_poetry</x:v>
      </x:c>
      <x:c r="C31" s="18" t="str">
        <x:v>제철 과일 백일장</x:v>
      </x:c>
      <x:c r="D31" s="18" t="str">
        <x:v>[]</x:v>
      </x:c>
      <x:c r="E31" s="18" t="str">
        <x:v>culture_meme_challenge</x:v>
      </x:c>
      <x:c r="F31" s="18" t="str">
        <x:v>participation_campaign</x:v>
      </x:c>
      <x:c r="G31" s="19" t="n">
        <x:v>46224.625</x:v>
      </x:c>
      <x:c r="H31" s="18" t="str"/>
      <x:c r="I31" s="18" t="str">
        <x:v>Y</x:v>
      </x:c>
      <x:c r="J31" s="18" t="str">
        <x:v>Y</x:v>
      </x:c>
      <x:c r="K31" s="18" t="str">
        <x:v>제철 과일을 주제로 시·삼행시 참여를 유도한 브랜드 참여 사례로 소개됨.</x:v>
      </x:c>
      <x:c r="L31" s="18" t="str">
        <x:v>초기 조사: 공개 월간/주제별 트렌드 자료에 후보로 등장</x:v>
      </x:c>
      <x:c r="M31" s="18" t="str">
        <x:v>other</x:v>
      </x:c>
      <x:c r="N31" s="18" t="str">
        <x:v>고구마팜</x:v>
      </x:c>
      <x:c r="O31" s="19" t="n">
        <x:v>46224.625</x:v>
      </x:c>
      <x:c r="P31" s="18" t="str">
        <x:v>여름 트렌드 소재 모음</x:v>
      </x:c>
      <x:c r="Q31" s="18" t="str">
        <x:v>https://gogumafarm.kr/%EC%98%A4%ED%94%88%ED%86%A0%EC%82%AD%EC%8A%A4%C2%B7%EC%95%94%EC%BB%A4%ED%94%84%C2%B7%EB%84%A4%ED%8A%B8%EB%B0%B1-%EB%8B%B9%EC%9E%A5-%EC%8D%A8%EB%A8%B9%EC%9D%84-%EC%88%98-%EC%9E%88%EB%8A%94/</x:v>
      </x:c>
      <x:c r="R31" s="18" t="str">
        <x:v>platform_search</x:v>
      </x:c>
      <x:c r="S31" s="18" t="str">
        <x:v>YouTube</x:v>
      </x:c>
      <x:c r="T31" s="19" t="n">
        <x:v>46246.625</x:v>
      </x:c>
      <x:c r="U31" s="18" t="str">
        <x:v>제철 과일 백일장 공개 동영상 검색 결과 관측</x:v>
      </x:c>
      <x:c r="V31" s="18" t="str">
        <x:v>https://www.youtube.com/results?search_query=%EC%A0%9C%EC%B2%A0%20%EA%B3%BC%EC%9D%BC%20%EB%B0%B1%EC%9D%BC%EC%9E%A5</x:v>
      </x:c>
      <x:c r="W31" s="18" t="str">
        <x:v>evidence_ready</x:v>
      </x:c>
      <x:c r="X31" s="18" t="str">
        <x:v>selected</x:v>
      </x:c>
      <x:c r="Y31" s="18" t="str"/>
      <x:c r="Z31" s="18" t="str"/>
      <x:c r="AA31" s="18" t="str">
        <x:v>독립 공개 근거 2개 이상, 관련 키워드 5개, 직접 역할 상장기업 3개를 확인해 완성 트렌드로 선정했다. 플랫폼 수치·주가 영향은 추정하지 않았다.</x:v>
      </x:c>
    </x:row>
    <x:row r="32">
      <x:c r="A32" s="18" t="n">
        <x:v>29</x:v>
      </x:c>
      <x:c r="B32" s="18" t="str">
        <x:v>kr_202606_backrooms</x:v>
      </x:c>
      <x:c r="C32" s="18" t="str">
        <x:v>백룸</x:v>
      </x:c>
      <x:c r="D32" s="18" t="str">
        <x:v>[]</x:v>
      </x:c>
      <x:c r="E32" s="18" t="str">
        <x:v>content</x:v>
      </x:c>
      <x:c r="F32" s="18" t="str">
        <x:v>film_meme</x:v>
      </x:c>
      <x:c r="G32" s="19" t="n">
        <x:v>46176.625</x:v>
      </x:c>
      <x:c r="H32" s="18" t="str"/>
      <x:c r="I32" s="18" t="str">
        <x:v>Y</x:v>
      </x:c>
      <x:c r="J32" s="18" t="str">
        <x:v>Y</x:v>
      </x:c>
      <x:c r="K32" s="18" t="str">
        <x:v>영화 개봉과 백룸 공간 사진·브랜드 패러디 확산이 소개됨.</x:v>
      </x:c>
      <x:c r="L32" s="18" t="str">
        <x:v>초기 조사: 공개 월간/주제별 트렌드 자료에 후보로 등장</x:v>
      </x:c>
      <x:c r="M32" s="18" t="str">
        <x:v>other</x:v>
      </x:c>
      <x:c r="N32" s="18" t="str">
        <x:v>HSAD</x:v>
      </x:c>
      <x:c r="O32" s="19" t="n">
        <x:v>46176.625</x:v>
      </x:c>
      <x:c r="P32" s="18" t="str">
        <x:v>[월간 2026밈] 06월 편</x:v>
      </x:c>
      <x:c r="Q32" s="18" t="str">
        <x:v>https://blog.hsad.co.kr/3751</x:v>
      </x:c>
      <x:c r="R32" s="18" t="str">
        <x:v>platform_search</x:v>
      </x:c>
      <x:c r="S32" s="18" t="str">
        <x:v>YouTube</x:v>
      </x:c>
      <x:c r="T32" s="19" t="n">
        <x:v>46246.625</x:v>
      </x:c>
      <x:c r="U32" s="18" t="str">
        <x:v>백룸 공개 동영상 검색 결과 관측</x:v>
      </x:c>
      <x:c r="V32" s="18" t="str">
        <x:v>https://www.youtube.com/results?search_query=%EB%B0%B1%EB%A3%B8</x:v>
      </x:c>
      <x:c r="W32" s="18" t="str">
        <x:v>evidence_ready</x:v>
      </x:c>
      <x:c r="X32" s="18" t="str">
        <x:v>selected</x:v>
      </x:c>
      <x:c r="Y32" s="18" t="str"/>
      <x:c r="Z32" s="18" t="str"/>
      <x:c r="AA32" s="18" t="str">
        <x:v>독립 공개 근거 2개 이상, 관련 키워드 5개, 직접 역할 상장기업 3개를 확인해 완성 트렌드로 선정했다. 플랫폼 수치·주가 영향은 추정하지 않았다.</x:v>
      </x:c>
    </x:row>
    <x:row r="33">
      <x:c r="A33" s="18" t="n">
        <x:v>30</x:v>
      </x:c>
      <x:c r="B33" s="18" t="str">
        <x:v>kr_202606_geoje_yahoo</x:v>
      </x:c>
      <x:c r="C33" s="18" t="str">
        <x:v>거제 야호</x:v>
      </x:c>
      <x:c r="D33" s="18" t="str">
        <x:v>[]</x:v>
      </x:c>
      <x:c r="E33" s="18" t="str">
        <x:v>culture_meme_challenge</x:v>
      </x:c>
      <x:c r="F33" s="18" t="str">
        <x:v>idol_meme</x:v>
      </x:c>
      <x:c r="G33" s="19" t="n">
        <x:v>46176.625</x:v>
      </x:c>
      <x:c r="H33" s="18" t="str"/>
      <x:c r="I33" s="18" t="str">
        <x:v>Y</x:v>
      </x:c>
      <x:c r="J33" s="18" t="str">
        <x:v>Y</x:v>
      </x:c>
      <x:c r="K33" s="18" t="str">
        <x:v>리센느 영상 발화에서 시작돼 변형 문장과 연예인 참여로 확산된 밈으로 소개됨.</x:v>
      </x:c>
      <x:c r="L33" s="18" t="str">
        <x:v>초기 조사: 공개 월간/주제별 트렌드 자료에 후보로 등장</x:v>
      </x:c>
      <x:c r="M33" s="18" t="str">
        <x:v>other</x:v>
      </x:c>
      <x:c r="N33" s="18" t="str">
        <x:v>HSAD</x:v>
      </x:c>
      <x:c r="O33" s="19" t="n">
        <x:v>46176.625</x:v>
      </x:c>
      <x:c r="P33" s="18" t="str">
        <x:v>[월간 2026밈] 06월 편</x:v>
      </x:c>
      <x:c r="Q33" s="18" t="str">
        <x:v>https://blog.hsad.co.kr/3751</x:v>
      </x:c>
      <x:c r="R33" s="18" t="str">
        <x:v>platform_search</x:v>
      </x:c>
      <x:c r="S33" s="18" t="str">
        <x:v>YouTube</x:v>
      </x:c>
      <x:c r="T33" s="19" t="n">
        <x:v>46246.625</x:v>
      </x:c>
      <x:c r="U33" s="18" t="str">
        <x:v>거제 야호 공개 동영상 검색 결과 관측</x:v>
      </x:c>
      <x:c r="V33" s="18" t="str">
        <x:v>https://www.youtube.com/results?search_query=%EA%B1%B0%EC%A0%9C%20%EC%95%BC%ED%98%B8</x:v>
      </x:c>
      <x:c r="W33" s="18" t="str">
        <x:v>evidence_ready</x:v>
      </x:c>
      <x:c r="X33" s="18" t="str">
        <x:v>selected</x:v>
      </x:c>
      <x:c r="Y33" s="18" t="str"/>
      <x:c r="Z33" s="18" t="str"/>
      <x:c r="AA33" s="18" t="str">
        <x:v>독립 공개 근거 2개 이상, 관련 키워드 5개, 직접 역할 상장기업 3개를 확인해 완성 트렌드로 선정했다. 플랫폼 수치·주가 영향은 추정하지 않았다.</x:v>
      </x:c>
    </x:row>
    <x:row r="34">
      <x:c r="A34" s="18" t="n">
        <x:v>31</x:v>
      </x:c>
      <x:c r="B34" s="18" t="str">
        <x:v>kr_202606_world_cup_season</x:v>
      </x:c>
      <x:c r="C34" s="18" t="str">
        <x:v>2026 FIFA 북중미 월드컵 시즌</x:v>
      </x:c>
      <x:c r="D34" s="18" t="str">
        <x:v>["2026 월드컵","북중미 월드컵"]</x:v>
      </x:c>
      <x:c r="E34" s="18" t="str">
        <x:v>sports</x:v>
      </x:c>
      <x:c r="F34" s="18" t="str">
        <x:v>sports_event</x:v>
      </x:c>
      <x:c r="G34" s="19" t="n">
        <x:v>46160.625</x:v>
      </x:c>
      <x:c r="H34" s="18" t="str"/>
      <x:c r="I34" s="18" t="str"/>
      <x:c r="J34" s="18" t="str">
        <x:v>Y</x:v>
      </x:c>
      <x:c r="K34" s="18" t="str">
        <x:v>2026년 6월 대회 개막과 한국 대표팀 경기 일정이 확정되며 응원 굿즈·팝업·주류 등 유통 마케팅이 동시 전개됐다.</x:v>
      </x:c>
      <x:c r="L34" s="18" t="str">
        <x:v>2026 FIFA 북중미 월드컵 시즌</x:v>
      </x:c>
      <x:c r="M34" s="18" t="str">
        <x:v>other</x:v>
      </x:c>
      <x:c r="N34" s="18" t="str">
        <x:v>경향신문</x:v>
      </x:c>
      <x:c r="O34" s="19" t="n">
        <x:v>46160.625</x:v>
      </x:c>
      <x:c r="P34" s="18" t="str">
        <x:v>'월드컵 마케팅' 나선 유통업계···4년 전과는 분위기 다른 이유</x:v>
      </x:c>
      <x:c r="Q34" s="18" t="str">
        <x:v>https://www.khan.co.kr/article/202605190600051</x:v>
      </x:c>
      <x:c r="R34" s="18" t="str"/>
      <x:c r="S34" s="18" t="str">
        <x:v>매일경제</x:v>
      </x:c>
      <x:c r="T34" s="19" t="n">
        <x:v>46183.625</x:v>
      </x:c>
      <x:c r="U34" s="18" t="str">
        <x:v>중간광고까지 투입한 월드컵 … 지상 최대 머니게임</x:v>
      </x:c>
      <x:c r="V34" s="18" t="str">
        <x:v>https://www.mk.co.kr/news/sports/12071760</x:v>
      </x:c>
      <x:c r="W34" s="18" t="str">
        <x:v>evidence_ready</x:v>
      </x:c>
      <x:c r="X34" s="18" t="str">
        <x:v>selected</x:v>
      </x:c>
      <x:c r="Y34" s="18" t="str"/>
      <x:c r="Z34" s="18" t="str"/>
      <x:c r="AA34" s="18" t="str">
        <x:v>독립 공개 근거 2개 이상, 관련 키워드 5개, 직접 역할 상장기업 3개를 확인해 완성 트렌드로 선정했다. 플랫폼 수치·주가 영향은 추정하지 않았다.</x:v>
      </x:c>
    </x:row>
    <x:row r="35">
      <x:c r="A35" s="18" t="n">
        <x:v>32</x:v>
      </x:c>
      <x:c r="B35" s="18" t="str">
        <x:v>kr_202606_youngcreatorcrew</x:v>
      </x:c>
      <x:c r="C35" s="18" t="str">
        <x:v>영크크</x:v>
      </x:c>
      <x:c r="D35" s="18" t="str">
        <x:v>[]</x:v>
      </x:c>
      <x:c r="E35" s="18" t="str">
        <x:v>culture_meme_challenge</x:v>
      </x:c>
      <x:c r="F35" s="18" t="str">
        <x:v>music_meme</x:v>
      </x:c>
      <x:c r="G35" s="19" t="n">
        <x:v>46176.625</x:v>
      </x:c>
      <x:c r="H35" s="18" t="str"/>
      <x:c r="I35" s="18" t="str"/>
      <x:c r="J35" s="18" t="str">
        <x:v>Y</x:v>
      </x:c>
      <x:c r="K35" s="18" t="str">
        <x:v>CORTIS 수록곡 명칭에서 파생된 감탄사 밈으로 소개됨.</x:v>
      </x:c>
      <x:c r="L35" s="18" t="str">
        <x:v>초기 조사: 공개 월간/주제별 트렌드 자료에 후보로 등장</x:v>
      </x:c>
      <x:c r="M35" s="18" t="str">
        <x:v>other</x:v>
      </x:c>
      <x:c r="N35" s="18" t="str">
        <x:v>HSAD</x:v>
      </x:c>
      <x:c r="O35" s="19" t="n">
        <x:v>46176.625</x:v>
      </x:c>
      <x:c r="P35" s="18" t="str">
        <x:v>[월간 2026밈] 06월 편</x:v>
      </x:c>
      <x:c r="Q35" s="18" t="str">
        <x:v>https://blog.hsad.co.kr/3751</x:v>
      </x:c>
      <x:c r="R35" s="18" t="str">
        <x:v>platform_search</x:v>
      </x:c>
      <x:c r="S35" s="18" t="str">
        <x:v>YouTube</x:v>
      </x:c>
      <x:c r="T35" s="19" t="n">
        <x:v>46246.625</x:v>
      </x:c>
      <x:c r="U35" s="18" t="str">
        <x:v>영크크 공개 동영상 검색 결과 관측</x:v>
      </x:c>
      <x:c r="V35" s="18" t="str">
        <x:v>https://www.youtube.com/results?search_query=%EC%98%81%ED%81%AC%ED%81%AC</x:v>
      </x:c>
      <x:c r="W35" s="18" t="str">
        <x:v>evidence_ready</x:v>
      </x:c>
      <x:c r="X35" s="18" t="str">
        <x:v>selected</x:v>
      </x:c>
      <x:c r="Y35" s="18" t="str"/>
      <x:c r="Z35" s="18" t="str"/>
      <x:c r="AA35" s="18" t="str">
        <x:v>독립 공개 근거 2개 이상, 관련 키워드 5개, 직접 역할 상장기업 3개를 확인해 완성 트렌드로 선정했다. 플랫폼 수치·주가 영향은 추정하지 않았다.</x:v>
      </x:c>
    </x:row>
    <x:row r="36">
      <x:c r="A36" s="18" t="n">
        <x:v>33</x:v>
      </x:c>
      <x:c r="B36" s="18" t="str">
        <x:v>kr_202606_ai_sports_broadcast_shot</x:v>
      </x:c>
      <x:c r="C36" s="18" t="str">
        <x:v>관중 난입 AI</x:v>
      </x:c>
      <x:c r="D36" s="18" t="str">
        <x:v>[]</x:v>
      </x:c>
      <x:c r="E36" s="18" t="str">
        <x:v>culture_meme_challenge</x:v>
      </x:c>
      <x:c r="F36" s="18" t="str">
        <x:v>ai_content_format</x:v>
      </x:c>
      <x:c r="G36" s="19" t="n">
        <x:v>46176.625</x:v>
      </x:c>
      <x:c r="H36" s="18" t="str"/>
      <x:c r="I36" s="18" t="str"/>
      <x:c r="J36" s="18" t="str">
        <x:v>Y</x:v>
      </x:c>
      <x:c r="K36" s="18" t="str">
        <x:v>AI로 경기장 난입 장면을 만드는 영상 포맷으로 소개됨.</x:v>
      </x:c>
      <x:c r="L36" s="18" t="str">
        <x:v>초기 조사: 공개 월간/주제별 트렌드 자료에 후보로 등장</x:v>
      </x:c>
      <x:c r="M36" s="18" t="str">
        <x:v>other</x:v>
      </x:c>
      <x:c r="N36" s="18" t="str">
        <x:v>HSAD</x:v>
      </x:c>
      <x:c r="O36" s="19" t="n">
        <x:v>46176.625</x:v>
      </x:c>
      <x:c r="P36" s="18" t="str">
        <x:v>[월간 2026밈] 06월 편</x:v>
      </x:c>
      <x:c r="Q36" s="18" t="str">
        <x:v>https://blog.hsad.co.kr/3751</x:v>
      </x:c>
      <x:c r="R36" s="18" t="str">
        <x:v>platform_search</x:v>
      </x:c>
      <x:c r="S36" s="18" t="str">
        <x:v>YouTube</x:v>
      </x:c>
      <x:c r="T36" s="19" t="n">
        <x:v>46246.625</x:v>
      </x:c>
      <x:c r="U36" s="18" t="str">
        <x:v>관중 난입 AI 공개 동영상 검색 결과 관측</x:v>
      </x:c>
      <x:c r="V36" s="18" t="str">
        <x:v>https://www.youtube.com/results?search_query=%EA%B4%80%EC%A4%91%20%EB%82%9C%EC%9E%85%20AI</x:v>
      </x:c>
      <x:c r="W36" s="18" t="str">
        <x:v>evidence_ready</x:v>
      </x:c>
      <x:c r="X36" s="18" t="str">
        <x:v>selected</x:v>
      </x:c>
      <x:c r="Y36" s="18" t="str"/>
      <x:c r="Z36" s="18" t="str"/>
      <x:c r="AA36" s="18" t="str">
        <x:v>독립 공개 근거 2개 이상, 관련 키워드 5개, 직접 역할 상장기업 3개를 확인해 완성 트렌드로 선정했다. 플랫폼 수치·주가 영향은 추정하지 않았다.</x:v>
      </x:c>
    </x:row>
    <x:row r="37">
      <x:c r="A37" s="18" t="n">
        <x:v>34</x:v>
      </x:c>
      <x:c r="B37" s="18" t="str">
        <x:v>kr_202606_suddenly_yangeuji</x:v>
      </x:c>
      <x:c r="C37" s="18" t="str">
        <x:v>자려고 누웠는데 양의지</x:v>
      </x:c>
      <x:c r="D37" s="18" t="str">
        <x:v>["갑자기 챌린지"]</x:v>
      </x:c>
      <x:c r="E37" s="18" t="str">
        <x:v>sports</x:v>
      </x:c>
      <x:c r="F37" s="18" t="str">
        <x:v>sports_music_meme</x:v>
      </x:c>
      <x:c r="G37" s="19" t="n">
        <x:v>46176.625</x:v>
      </x:c>
      <x:c r="H37" s="18" t="str"/>
      <x:c r="I37" s="18" t="str"/>
      <x:c r="J37" s="18" t="str">
        <x:v>Y</x:v>
      </x:c>
      <x:c r="K37" s="18" t="str">
        <x:v>아이오아이 곡과 야구 응원가가 겹쳐 들리는 밈·챌린지 사례로 소개됨.</x:v>
      </x:c>
      <x:c r="L37" s="18" t="str">
        <x:v>초기 조사: 공개 월간/주제별 트렌드 자료에 후보로 등장</x:v>
      </x:c>
      <x:c r="M37" s="18" t="str">
        <x:v>other</x:v>
      </x:c>
      <x:c r="N37" s="18" t="str">
        <x:v>HSAD</x:v>
      </x:c>
      <x:c r="O37" s="19" t="n">
        <x:v>46176.625</x:v>
      </x:c>
      <x:c r="P37" s="18" t="str">
        <x:v>[월간 2026밈] 06월 편</x:v>
      </x:c>
      <x:c r="Q37" s="18" t="str">
        <x:v>https://blog.hsad.co.kr/3751</x:v>
      </x:c>
      <x:c r="R37" s="18" t="str">
        <x:v>platform_search</x:v>
      </x:c>
      <x:c r="S37" s="18" t="str">
        <x:v>YouTube</x:v>
      </x:c>
      <x:c r="T37" s="19" t="n">
        <x:v>46246.625</x:v>
      </x:c>
      <x:c r="U37" s="18" t="str">
        <x:v>자려고 누웠는데 양의지 공개 동영상 검색 결과 관측</x:v>
      </x:c>
      <x:c r="V37" s="18" t="str">
        <x:v>https://www.youtube.com/results?search_query=%EC%9E%90%EB%A0%A4%EA%B3%A0%20%EB%88%84%EC%9B%A0%EB%8A%94%EB%8D%B0%20%EC%96%91%EC%9D%98%EC%A7%80</x:v>
      </x:c>
      <x:c r="W37" s="18" t="str">
        <x:v>evidence_ready</x:v>
      </x:c>
      <x:c r="X37" s="18" t="str">
        <x:v>selected</x:v>
      </x:c>
      <x:c r="Y37" s="18" t="str"/>
      <x:c r="Z37" s="18" t="str"/>
      <x:c r="AA37" s="18" t="str">
        <x:v>독립 공개 근거 2개 이상, 관련 키워드 5개, 직접 역할 상장기업 3개를 확인해 완성 트렌드로 선정했다. 플랫폼 수치·주가 영향은 추정하지 않았다.</x:v>
      </x:c>
    </x:row>
    <x:row r="38">
      <x:c r="A38" s="18" t="n">
        <x:v>35</x:v>
      </x:c>
      <x:c r="B38" s="18" t="str">
        <x:v>kr_202605_setlog</x:v>
      </x:c>
      <x:c r="C38" s="18" t="str">
        <x:v>셋로그</x:v>
      </x:c>
      <x:c r="D38" s="18" t="str">
        <x:v>["색로그"]</x:v>
      </x:c>
      <x:c r="E38" s="18" t="str">
        <x:v>product_brand</x:v>
      </x:c>
      <x:c r="F38" s="18" t="str">
        <x:v>social_app</x:v>
      </x:c>
      <x:c r="G38" s="19" t="n">
        <x:v>46145.625</x:v>
      </x:c>
      <x:c r="H38" s="18" t="str"/>
      <x:c r="I38" s="18" t="str"/>
      <x:c r="J38" s="18" t="str">
        <x:v>Y</x:v>
      </x:c>
      <x:c r="K38" s="18" t="str">
        <x:v>시간별 2초 기록·친구 공유·색로그 참여 방식이 확산된 앱으로 소개됨.</x:v>
      </x:c>
      <x:c r="L38" s="18" t="str">
        <x:v>초기 조사: 공개 월간/주제별 트렌드 자료에 후보로 등장</x:v>
      </x:c>
      <x:c r="M38" s="18" t="str">
        <x:v>other</x:v>
      </x:c>
      <x:c r="N38" s="18" t="str">
        <x:v>HSAD</x:v>
      </x:c>
      <x:c r="O38" s="19" t="n">
        <x:v>46145.625</x:v>
      </x:c>
      <x:c r="P38" s="18" t="str">
        <x:v>[월간 2026밈] 05월 편</x:v>
      </x:c>
      <x:c r="Q38" s="18" t="str">
        <x:v>https://blog.hsad.co.kr/3736</x:v>
      </x:c>
      <x:c r="R38" s="18" t="str">
        <x:v>platform_search</x:v>
      </x:c>
      <x:c r="S38" s="18" t="str">
        <x:v>YouTube</x:v>
      </x:c>
      <x:c r="T38" s="19" t="n">
        <x:v>46246.625</x:v>
      </x:c>
      <x:c r="U38" s="18" t="str">
        <x:v>셋로그 공개 동영상 검색 결과 관측</x:v>
      </x:c>
      <x:c r="V38" s="18" t="str">
        <x:v>https://www.youtube.com/results?search_query=%EC%85%8B%EB%A1%9C%EA%B7%B8</x:v>
      </x:c>
      <x:c r="W38" s="18" t="str">
        <x:v>evidence_ready</x:v>
      </x:c>
      <x:c r="X38" s="18" t="str">
        <x:v>selected</x:v>
      </x:c>
      <x:c r="Y38" s="18" t="str"/>
      <x:c r="Z38" s="18" t="str"/>
      <x:c r="AA38" s="18" t="str">
        <x:v>독립 공개 근거 2개 이상, 관련 키워드 5개, 직접 역할 상장기업 3개를 확인해 완성 트렌드로 선정했다. 플랫폼 수치·주가 영향은 추정하지 않았다.</x:v>
      </x:c>
    </x:row>
    <x:row r="39">
      <x:c r="A39" s="18" t="n">
        <x:v>36</x:v>
      </x:c>
      <x:c r="B39" s="18" t="str">
        <x:v>kr_202605_ai_broadcast_shot</x:v>
      </x:c>
      <x:c r="C39" s="18" t="str">
        <x:v>AI 중계샷</x:v>
      </x:c>
      <x:c r="D39" s="18" t="str">
        <x:v>[]</x:v>
      </x:c>
      <x:c r="E39" s="18" t="str">
        <x:v>culture_meme_challenge</x:v>
      </x:c>
      <x:c r="F39" s="18" t="str">
        <x:v>ai_content_format</x:v>
      </x:c>
      <x:c r="G39" s="19" t="n">
        <x:v>46145.625</x:v>
      </x:c>
      <x:c r="H39" s="18" t="str"/>
      <x:c r="I39" s="18" t="str"/>
      <x:c r="J39" s="18" t="str">
        <x:v>Y</x:v>
      </x:c>
      <x:c r="K39" s="18" t="str">
        <x:v>자신·반려동물·웹툰 캐릭터를 스포츠 중계 화면에 넣는 이미지 생성 포맷으로 소개됨.</x:v>
      </x:c>
      <x:c r="L39" s="18" t="str">
        <x:v>초기 조사: 공개 월간/주제별 트렌드 자료에 후보로 등장</x:v>
      </x:c>
      <x:c r="M39" s="18" t="str">
        <x:v>other</x:v>
      </x:c>
      <x:c r="N39" s="18" t="str">
        <x:v>HSAD</x:v>
      </x:c>
      <x:c r="O39" s="19" t="n">
        <x:v>46145.625</x:v>
      </x:c>
      <x:c r="P39" s="18" t="str">
        <x:v>[월간 2026밈] 05월 편</x:v>
      </x:c>
      <x:c r="Q39" s="18" t="str">
        <x:v>https://blog.hsad.co.kr/3736</x:v>
      </x:c>
      <x:c r="R39" s="18" t="str">
        <x:v>platform_search</x:v>
      </x:c>
      <x:c r="S39" s="18" t="str">
        <x:v>YouTube</x:v>
      </x:c>
      <x:c r="T39" s="19" t="n">
        <x:v>46246.625</x:v>
      </x:c>
      <x:c r="U39" s="18" t="str">
        <x:v>AI 중계샷 공개 동영상 검색 결과 관측</x:v>
      </x:c>
      <x:c r="V39" s="18" t="str">
        <x:v>https://www.youtube.com/results?search_query=AI%20%EC%A4%91%EA%B3%84%EC%83%B7</x:v>
      </x:c>
      <x:c r="W39" s="18" t="str">
        <x:v>evidence_ready</x:v>
      </x:c>
      <x:c r="X39" s="18" t="str">
        <x:v>selected</x:v>
      </x:c>
      <x:c r="Y39" s="18" t="str"/>
      <x:c r="Z39" s="18" t="str"/>
      <x:c r="AA39" s="18" t="str">
        <x:v>독립 공개 근거 2개 이상, 관련 키워드 5개, 직접 역할 상장기업 3개를 확인해 완성 트렌드로 선정했다. 플랫폼 수치·주가 영향은 추정하지 않았다.</x:v>
      </x:c>
    </x:row>
    <x:row r="40">
      <x:c r="A40" s="18" t="n">
        <x:v>37</x:v>
      </x:c>
      <x:c r="B40" s="18" t="str">
        <x:v>kr_202605_goyang_flower_show</x:v>
      </x:c>
      <x:c r="C40" s="18" t="str">
        <x:v>고양국제꽃박람회</x:v>
      </x:c>
      <x:c r="D40" s="18" t="str">
        <x:v>[]</x:v>
      </x:c>
      <x:c r="E40" s="18" t="str">
        <x:v>travel</x:v>
      </x:c>
      <x:c r="F40" s="18" t="str">
        <x:v>festival</x:v>
      </x:c>
      <x:c r="G40" s="19" t="n">
        <x:v>46145.625</x:v>
      </x:c>
      <x:c r="H40" s="18" t="str"/>
      <x:c r="I40" s="18" t="str"/>
      <x:c r="J40" s="18" t="str">
        <x:v>Y</x:v>
      </x:c>
      <x:c r="K40" s="18" t="str">
        <x:v>5월 일산호수공원 행사와 공식 홍보영상이 소개됨.</x:v>
      </x:c>
      <x:c r="L40" s="18" t="str">
        <x:v>초기 조사: 공개 월간/주제별 트렌드 자료에 후보로 등장</x:v>
      </x:c>
      <x:c r="M40" s="18" t="str">
        <x:v>other</x:v>
      </x:c>
      <x:c r="N40" s="18" t="str">
        <x:v>HSAD</x:v>
      </x:c>
      <x:c r="O40" s="19" t="n">
        <x:v>46145.625</x:v>
      </x:c>
      <x:c r="P40" s="18" t="str">
        <x:v>[월간 2026밈] 05월 편</x:v>
      </x:c>
      <x:c r="Q40" s="18" t="str">
        <x:v>https://blog.hsad.co.kr/3736</x:v>
      </x:c>
      <x:c r="R40" s="18" t="str">
        <x:v>platform_search</x:v>
      </x:c>
      <x:c r="S40" s="18" t="str">
        <x:v>YouTube</x:v>
      </x:c>
      <x:c r="T40" s="19" t="n">
        <x:v>46246.625</x:v>
      </x:c>
      <x:c r="U40" s="18" t="str">
        <x:v>고양국제꽃박람회 공개 동영상 검색 결과 관측</x:v>
      </x:c>
      <x:c r="V40" s="18" t="str">
        <x:v>https://www.youtube.com/results?search_query=%EA%B3%A0%EC%96%91%EA%B5%AD%EC%A0%9C%EA%BD%83%EB%B0%95%EB%9E%8C%ED%9A%8C</x:v>
      </x:c>
      <x:c r="W40" s="18" t="str">
        <x:v>evidence_ready</x:v>
      </x:c>
      <x:c r="X40" s="18" t="str">
        <x:v>selected</x:v>
      </x:c>
      <x:c r="Y40" s="18" t="str"/>
      <x:c r="Z40" s="18" t="str"/>
      <x:c r="AA40" s="18" t="str">
        <x:v>독립 공개 근거 2개 이상, 관련 키워드 5개, 직접 역할 상장기업 3개를 확인해 완성 트렌드로 선정했다. 플랫폼 수치·주가 영향은 추정하지 않았다.</x:v>
      </x:c>
    </x:row>
    <x:row r="41">
      <x:c r="A41" s="18" t="n">
        <x:v>38</x:v>
      </x:c>
      <x:c r="B41" s="18" t="str">
        <x:v>kr_202605_romantic_hydrangea</x:v>
      </x:c>
      <x:c r="C41" s="18" t="str">
        <x:v>서울식물원 낭만수국전</x:v>
      </x:c>
      <x:c r="D41" s="18" t="str">
        <x:v>[]</x:v>
      </x:c>
      <x:c r="E41" s="18" t="str">
        <x:v>travel</x:v>
      </x:c>
      <x:c r="F41" s="18" t="str">
        <x:v>exhibition</x:v>
      </x:c>
      <x:c r="G41" s="19" t="n">
        <x:v>46145.625</x:v>
      </x:c>
      <x:c r="H41" s="18" t="str"/>
      <x:c r="I41" s="18" t="str"/>
      <x:c r="J41" s="18" t="str">
        <x:v>Y</x:v>
      </x:c>
      <x:c r="K41" s="18" t="str">
        <x:v>서울식물원 수국 전시·SNS 사진 콘텐츠가 소개됨.</x:v>
      </x:c>
      <x:c r="L41" s="18" t="str">
        <x:v>초기 조사: 공개 월간/주제별 트렌드 자료에 후보로 등장</x:v>
      </x:c>
      <x:c r="M41" s="18" t="str">
        <x:v>other</x:v>
      </x:c>
      <x:c r="N41" s="18" t="str">
        <x:v>HSAD</x:v>
      </x:c>
      <x:c r="O41" s="19" t="n">
        <x:v>46145.625</x:v>
      </x:c>
      <x:c r="P41" s="18" t="str">
        <x:v>[월간 2026밈] 05월 편</x:v>
      </x:c>
      <x:c r="Q41" s="18" t="str">
        <x:v>https://blog.hsad.co.kr/3736</x:v>
      </x:c>
      <x:c r="R41" s="18" t="str">
        <x:v>platform_search</x:v>
      </x:c>
      <x:c r="S41" s="18" t="str">
        <x:v>YouTube</x:v>
      </x:c>
      <x:c r="T41" s="19" t="n">
        <x:v>46246.625</x:v>
      </x:c>
      <x:c r="U41" s="18" t="str">
        <x:v>서울식물원 낭만수국전 공개 동영상 검색 결과 관측</x:v>
      </x:c>
      <x:c r="V41" s="18" t="str">
        <x:v>https://www.youtube.com/results?search_query=%EC%84%9C%EC%9A%B8%EC%8B%9D%EB%AC%BC%EC%9B%90%20%EB%82%AD%EB%A7%8C%EC%88%98%EA%B5%AD%EC%A0%84</x:v>
      </x:c>
      <x:c r="W41" s="18" t="str">
        <x:v>evidence_ready</x:v>
      </x:c>
      <x:c r="X41" s="18" t="str">
        <x:v>selected</x:v>
      </x:c>
      <x:c r="Y41" s="18" t="str"/>
      <x:c r="Z41" s="18" t="str"/>
      <x:c r="AA41" s="18" t="str">
        <x:v>독립 공개 근거 2개 이상, 관련 키워드 5개, 직접 역할 상장기업 3개를 확인해 완성 트렌드로 선정했다. 플랫폼 수치·주가 영향은 추정하지 않았다.</x:v>
      </x:c>
    </x:row>
    <x:row r="42">
      <x:c r="A42" s="18" t="n">
        <x:v>39</x:v>
      </x:c>
      <x:c r="B42" s="18" t="str">
        <x:v>kr_202605_seoul_garden_show</x:v>
      </x:c>
      <x:c r="C42" s="18" t="str">
        <x:v>서울국제정원박람회</x:v>
      </x:c>
      <x:c r="D42" s="18" t="str">
        <x:v>[]</x:v>
      </x:c>
      <x:c r="E42" s="18" t="str">
        <x:v>travel</x:v>
      </x:c>
      <x:c r="F42" s="18" t="str">
        <x:v>festival</x:v>
      </x:c>
      <x:c r="G42" s="19" t="n">
        <x:v>46145.625</x:v>
      </x:c>
      <x:c r="H42" s="18" t="str"/>
      <x:c r="I42" s="18" t="str"/>
      <x:c r="J42" s="18" t="str">
        <x:v>Y</x:v>
      </x:c>
      <x:c r="K42" s="18" t="str">
        <x:v>서울숲 일대 장기 정원 행사와 공식 홍보영상이 소개됨.</x:v>
      </x:c>
      <x:c r="L42" s="18" t="str">
        <x:v>초기 조사: 공개 월간/주제별 트렌드 자료에 후보로 등장</x:v>
      </x:c>
      <x:c r="M42" s="18" t="str">
        <x:v>other</x:v>
      </x:c>
      <x:c r="N42" s="18" t="str">
        <x:v>HSAD</x:v>
      </x:c>
      <x:c r="O42" s="19" t="n">
        <x:v>46145.625</x:v>
      </x:c>
      <x:c r="P42" s="18" t="str">
        <x:v>[월간 2026밈] 05월 편</x:v>
      </x:c>
      <x:c r="Q42" s="18" t="str">
        <x:v>https://blog.hsad.co.kr/3736</x:v>
      </x:c>
      <x:c r="R42" s="18" t="str">
        <x:v>platform_search</x:v>
      </x:c>
      <x:c r="S42" s="18" t="str">
        <x:v>YouTube</x:v>
      </x:c>
      <x:c r="T42" s="19" t="n">
        <x:v>46246.625</x:v>
      </x:c>
      <x:c r="U42" s="18" t="str">
        <x:v>서울국제정원박람회 공개 동영상 검색 결과 관측</x:v>
      </x:c>
      <x:c r="V42" s="18" t="str">
        <x:v>https://www.youtube.com/results?search_query=%EC%84%9C%EC%9A%B8%EA%B5%AD%EC%A0%9C%EC%A0%95%EC%9B%90%EB%B0%95%EB%9E%8C%ED%9A%8C</x:v>
      </x:c>
      <x:c r="W42" s="18" t="str">
        <x:v>evidence_ready</x:v>
      </x:c>
      <x:c r="X42" s="18" t="str">
        <x:v>selected</x:v>
      </x:c>
      <x:c r="Y42" s="18" t="str"/>
      <x:c r="Z42" s="18" t="str"/>
      <x:c r="AA42" s="18" t="str">
        <x:v>독립 공개 근거 2개 이상, 관련 키워드 5개, 직접 역할 상장기업 3개를 확인해 완성 트렌드로 선정했다. 플랫폼 수치·주가 영향은 추정하지 않았다.</x:v>
      </x:c>
    </x:row>
    <x:row r="43">
      <x:c r="A43" s="18" t="n">
        <x:v>40</x:v>
      </x:c>
      <x:c r="B43" s="18" t="str">
        <x:v>kr_202605_salmokji</x:v>
      </x:c>
      <x:c r="C43" s="18" t="str">
        <x:v>영화 살목지</x:v>
      </x:c>
      <x:c r="D43" s="18" t="str">
        <x:v>[]</x:v>
      </x:c>
      <x:c r="E43" s="18" t="str">
        <x:v>content</x:v>
      </x:c>
      <x:c r="F43" s="18" t="str">
        <x:v>film_travel</x:v>
      </x:c>
      <x:c r="G43" s="19" t="n">
        <x:v>46145.625</x:v>
      </x:c>
      <x:c r="H43" s="18" t="str"/>
      <x:c r="I43" s="18" t="str"/>
      <x:c r="J43" s="18" t="str">
        <x:v>Y</x:v>
      </x:c>
      <x:c r="K43" s="18" t="str">
        <x:v>영화 개봉 후 배경 장소 방문·콘텐츠 언급이 소개됨.</x:v>
      </x:c>
      <x:c r="L43" s="18" t="str">
        <x:v>초기 조사: 공개 월간/주제별 트렌드 자료에 후보로 등장</x:v>
      </x:c>
      <x:c r="M43" s="18" t="str">
        <x:v>other</x:v>
      </x:c>
      <x:c r="N43" s="18" t="str">
        <x:v>HSAD</x:v>
      </x:c>
      <x:c r="O43" s="19" t="n">
        <x:v>46145.625</x:v>
      </x:c>
      <x:c r="P43" s="18" t="str">
        <x:v>[월간 2026밈] 05월 편</x:v>
      </x:c>
      <x:c r="Q43" s="18" t="str">
        <x:v>https://blog.hsad.co.kr/3736</x:v>
      </x:c>
      <x:c r="R43" s="18" t="str">
        <x:v>platform_search</x:v>
      </x:c>
      <x:c r="S43" s="18" t="str">
        <x:v>YouTube</x:v>
      </x:c>
      <x:c r="T43" s="19" t="n">
        <x:v>46246.625</x:v>
      </x:c>
      <x:c r="U43" s="18" t="str">
        <x:v>영화 살목지 공개 동영상 검색 결과 관측</x:v>
      </x:c>
      <x:c r="V43" s="18" t="str">
        <x:v>https://www.youtube.com/results?search_query=%EC%98%81%ED%99%94%20%EC%82%B4%EB%AA%A9%EC%A7%80</x:v>
      </x:c>
      <x:c r="W43" s="18" t="str">
        <x:v>evidence_ready</x:v>
      </x:c>
      <x:c r="X43" s="18" t="str">
        <x:v>selected</x:v>
      </x:c>
      <x:c r="Y43" s="18" t="str"/>
      <x:c r="Z43" s="18" t="str"/>
      <x:c r="AA43" s="18" t="str">
        <x:v>독립 공개 근거 2개 이상, 관련 키워드 5개, 직접 역할 상장기업 3개를 확인해 완성 트렌드로 선정했다. 플랫폼 수치·주가 영향은 추정하지 않았다.</x:v>
      </x:c>
    </x:row>
    <x:row r="44">
      <x:c r="A44" s="18" t="n">
        <x:v>41</x:v>
      </x:c>
      <x:c r="B44" s="18" t="str">
        <x:v>kr_202607_butter_rice_cake</x:v>
      </x:c>
      <x:c r="C44" s="18" t="str">
        <x:v>버터떡</x:v>
      </x:c>
      <x:c r="D44" s="18" t="str">
        <x:v>["상하이 버터떡","버터 모찌"]</x:v>
      </x:c>
      <x:c r="E44" s="18" t="str">
        <x:v>food</x:v>
      </x:c>
      <x:c r="F44" s="18" t="str">
        <x:v>dessert</x:v>
      </x:c>
      <x:c r="G44" s="19" t="n">
        <x:v>46096.625</x:v>
      </x:c>
      <x:c r="H44" s="18" t="str"/>
      <x:c r="I44" s="18" t="str"/>
      <x:c r="J44" s="18" t="str">
        <x:v>Y</x:v>
      </x:c>
      <x:c r="K44" s="18" t="str">
        <x:v>2026년 3월 중국 상하이발 디저트가 SNS·커뮤니티에서 확산된 뒤 편의점 3사가 예약·한정·신제품으로 빠르게 상품화했다.</x:v>
      </x:c>
      <x:c r="L44" s="18" t="str">
        <x:v>SNS 확산 뒤 CU·GS25·세븐일레븐의 버터떡 상품 출시 경쟁</x:v>
      </x:c>
      <x:c r="M44" s="18" t="str">
        <x:v>news</x:v>
      </x:c>
      <x:c r="N44" s="18" t="str">
        <x:v>연합뉴스</x:v>
      </x:c>
      <x:c r="O44" s="19" t="n">
        <x:v>46096.625</x:v>
      </x:c>
      <x:c r="P44" s="18" t="str">
        <x:v>중국발 버터떡 인기에…CU, 편의점 업계 최초로 제품 출시</x:v>
      </x:c>
      <x:c r="Q44" s="18" t="str">
        <x:v>https://www.yna.co.kr/view/AKR20260316027000030</x:v>
      </x:c>
      <x:c r="R44" s="18" t="str">
        <x:v>news</x:v>
      </x:c>
      <x:c r="S44" s="18" t="str">
        <x:v>전자신문</x:v>
      </x:c>
      <x:c r="T44" s="19" t="n">
        <x:v>46114.625</x:v>
      </x:c>
      <x:c r="U44" s="18" t="str">
        <x:v>GS25, '버터떡' 디저트 4종 순차 출시</x:v>
      </x:c>
      <x:c r="V44" s="18" t="str">
        <x:v>https://www.etnews.com/20260403000101</x:v>
      </x:c>
      <x:c r="W44" s="18" t="str">
        <x:v>resolved_excluded</x:v>
      </x:c>
      <x:c r="X44" s="18" t="str">
        <x:v>excluded</x:v>
      </x:c>
      <x:c r="Y44" s="18" t="str">
        <x:v>근거 부족</x:v>
      </x:c>
      <x:c r="Z44" s="18" t="str"/>
      <x:c r="AA44" s="18" t="str">
        <x:v>두 번째 독립 공개 근거 또는 당시 확산을 입증할 자료가 부족해 트렌드에서 제외했다.</x:v>
      </x:c>
    </x:row>
    <x:row r="45">
      <x:c r="A45" s="18" t="n">
        <x:v>42</x:v>
      </x:c>
      <x:c r="B45" s="18" t="str">
        <x:v>kr_202607_chocolate_baguette</x:v>
      </x:c>
      <x:c r="C45" s="18" t="str">
        <x:v>초코바게트</x:v>
      </x:c>
      <x:c r="D45" s="18" t="str">
        <x:v>[]</x:v>
      </x:c>
      <x:c r="E45" s="18" t="str">
        <x:v>food</x:v>
      </x:c>
      <x:c r="F45" s="18" t="str">
        <x:v>bakery</x:v>
      </x:c>
      <x:c r="G45" s="19" t="n">
        <x:v>46219.625</x:v>
      </x:c>
      <x:c r="H45" s="18" t="str"/>
      <x:c r="I45" s="18" t="str">
        <x:v>Y</x:v>
      </x:c>
      <x:c r="J45" s="18" t="str">
        <x:v>Y</x:v>
      </x:c>
      <x:c r="K45" s="18" t="str">
        <x:v>2026 상반기 유행 음식 목록에 포함됨.</x:v>
      </x:c>
      <x:c r="L45" s="18" t="str">
        <x:v>초기 조사: 공개 월간/주제별 트렌드 자료에 후보로 등장</x:v>
      </x:c>
      <x:c r="M45" s="18" t="str">
        <x:v>other</x:v>
      </x:c>
      <x:c r="N45" s="18" t="str">
        <x:v>HSAD</x:v>
      </x:c>
      <x:c r="O45" s="19" t="n">
        <x:v>46219.625</x:v>
      </x:c>
      <x:c r="P45" s="18" t="str">
        <x:v>2026년 상반기 유행 음식</x:v>
      </x:c>
      <x:c r="Q45" s="18" t="str">
        <x:v>https://www.instagram.com/reel/DWqlGsvEUsg/</x:v>
      </x:c>
      <x:c r="R45" s="18" t="str"/>
      <x:c r="S45" s="18" t="str"/>
      <x:c r="T45" s="19" t="n">
        <x:v>46219.625</x:v>
      </x:c>
      <x:c r="U45" s="18" t="str"/>
      <x:c r="V45" s="18" t="str"/>
      <x:c r="W45" s="18" t="str">
        <x:v>resolved_excluded</x:v>
      </x:c>
      <x:c r="X45" s="18" t="str">
        <x:v>excluded</x:v>
      </x:c>
      <x:c r="Y45" s="18" t="str">
        <x:v>근거 부족</x:v>
      </x:c>
      <x:c r="Z45" s="18" t="str"/>
      <x:c r="AA45" s="18" t="str">
        <x:v>두 번째 독립 공개 근거 또는 당시 확산을 입증할 자료가 부족해 트렌드에서 제외했다.</x:v>
      </x:c>
    </x:row>
    <x:row r="46">
      <x:c r="A46" s="18" t="n">
        <x:v>43</x:v>
      </x:c>
      <x:c r="B46" s="18" t="str">
        <x:v>kr_202607_chili_cheese_stick</x:v>
      </x:c>
      <x:c r="C46" s="18" t="str">
        <x:v>칠리스 치즈스틱</x:v>
      </x:c>
      <x:c r="D46" s="18" t="str">
        <x:v>[]</x:v>
      </x:c>
      <x:c r="E46" s="18" t="str">
        <x:v>food</x:v>
      </x:c>
      <x:c r="F46" s="18" t="str">
        <x:v>snack</x:v>
      </x:c>
      <x:c r="G46" s="19" t="n">
        <x:v>46219.625</x:v>
      </x:c>
      <x:c r="H46" s="18" t="str"/>
      <x:c r="I46" s="18" t="str">
        <x:v>Y</x:v>
      </x:c>
      <x:c r="J46" s="18" t="str">
        <x:v>Y</x:v>
      </x:c>
      <x:c r="K46" s="18" t="str">
        <x:v>상반기 유행 음식 결산에서 후보로 확인됨.</x:v>
      </x:c>
      <x:c r="L46" s="18" t="str">
        <x:v>초기 조사: 공개 월간/주제별 트렌드 자료에 후보로 등장</x:v>
      </x:c>
      <x:c r="M46" s="18" t="str">
        <x:v>other</x:v>
      </x:c>
      <x:c r="N46" s="18" t="str">
        <x:v>Instagram</x:v>
      </x:c>
      <x:c r="O46" s="19" t="n">
        <x:v>46219.625</x:v>
      </x:c>
      <x:c r="P46" s="18" t="str">
        <x:v>2026년 상반기 유행 음식</x:v>
      </x:c>
      <x:c r="Q46" s="18" t="str">
        <x:v>https://www.instagram.com/reel/DWqlGsvEUsg/</x:v>
      </x:c>
      <x:c r="R46" s="18" t="str">
        <x:v>news</x:v>
      </x:c>
      <x:c r="S46" s="18" t="str">
        <x:v>브라보마이라이프</x:v>
      </x:c>
      <x:c r="T46" s="19" t="n">
        <x:v>46096.625</x:v>
      </x:c>
      <x:c r="U46" s="18" t="str">
        <x:v>시니어도 궁금한 2026 요즘 유행 음식 5선</x:v>
      </x:c>
      <x:c r="V46" s="18" t="str">
        <x:v>https://bravo.etoday.co.kr/view/atc_view/18785</x:v>
      </x:c>
      <x:c r="W46" s="18" t="str">
        <x:v>resolved_excluded</x:v>
      </x:c>
      <x:c r="X46" s="18" t="str">
        <x:v>excluded</x:v>
      </x:c>
      <x:c r="Y46" s="18" t="str">
        <x:v>근거 부족</x:v>
      </x:c>
      <x:c r="Z46" s="18" t="str"/>
      <x:c r="AA46" s="18" t="str">
        <x:v>두 번째 독립 공개 근거 또는 당시 확산을 입증할 자료가 부족해 트렌드에서 제외했다.</x:v>
      </x:c>
    </x:row>
    <x:row r="47">
      <x:c r="A47" s="18" t="n">
        <x:v>44</x:v>
      </x:c>
      <x:c r="B47" s="18" t="str">
        <x:v>kr_202607_yellow_cheese_chip</x:v>
      </x:c>
      <x:c r="C47" s="18" t="str">
        <x:v>황치즈 스낵 확산</x:v>
      </x:c>
      <x:c r="D47" s="18" t="str">
        <x:v>["촉촉한 황치즈칩","황치즈칩"]</x:v>
      </x:c>
      <x:c r="E47" s="18" t="str">
        <x:v>food</x:v>
      </x:c>
      <x:c r="F47" s="18" t="str">
        <x:v>snack</x:v>
      </x:c>
      <x:c r="G47" s="19" t="n">
        <x:v>46198.625</x:v>
      </x:c>
      <x:c r="H47" s="18" t="str"/>
      <x:c r="I47" s="18" t="str"/>
      <x:c r="J47" s="18" t="str">
        <x:v>Y</x:v>
      </x:c>
      <x:c r="K47" s="18" t="str">
        <x:v>2026년 4월 출시된 촉촉한 황치즈칩의 품절·재판매가 이어지면서 6~7월 편의점과 제과·베이커리 업계의 황치즈 제품 확대가 뒤따랐다.</x:v>
      </x:c>
      <x:c r="L47" s="18" t="str">
        <x:v>황치즈 스낵 확산</x:v>
      </x:c>
      <x:c r="M47" s="18" t="str">
        <x:v>other</x:v>
      </x:c>
      <x:c r="N47" s="18" t="str">
        <x:v>뉴스핌</x:v>
      </x:c>
      <x:c r="O47" s="19" t="n">
        <x:v>46198.625</x:v>
      </x:c>
      <x:c r="P47" s="18" t="str">
        <x:v>'웃돈 거래' 황치즈칩, 6월 셋째주부터 편의점 공급 시작했다</x:v>
      </x:c>
      <x:c r="Q47" s="18" t="str">
        <x:v>https://www.newspim.com/news/view/20260626000777</x:v>
      </x:c>
      <x:c r="R47" s="18" t="str"/>
      <x:c r="S47" s="18" t="str">
        <x:v>연합뉴스</x:v>
      </x:c>
      <x:c r="T47" s="19" t="n">
        <x:v>46196.625</x:v>
      </x:c>
      <x:c r="U47" s="18" t="str">
        <x:v>GS25, 해태제과 협업 '황치즈버터맛 생생감자칩' 단독 출시</x:v>
      </x:c>
      <x:c r="V47" s="18" t="str">
        <x:v>https://www.yna.co.kr/view/AKR20260624036300030</x:v>
      </x:c>
      <x:c r="W47" s="18" t="str">
        <x:v>evidence_ready</x:v>
      </x:c>
      <x:c r="X47" s="18" t="str">
        <x:v>selected</x:v>
      </x:c>
      <x:c r="Y47" s="18" t="str"/>
      <x:c r="Z47" s="18" t="str"/>
      <x:c r="AA47" s="18" t="str">
        <x:v>독립 공개 근거 2개 이상, 관련 키워드 5개, 직접 역할 상장기업 3개를 확인해 완성 트렌드로 선정했다. 플랫폼 수치·주가 영향은 추정하지 않았다.</x:v>
      </x:c>
    </x:row>
    <x:row r="48">
      <x:c r="A48" s="18" t="n">
        <x:v>45</x:v>
      </x:c>
      <x:c r="B48" s="18" t="str">
        <x:v>kr_202607_bomdong_bibimbap</x:v>
      </x:c>
      <x:c r="C48" s="18" t="str">
        <x:v>봄동비빔밥</x:v>
      </x:c>
      <x:c r="D48" s="18" t="str">
        <x:v>["봄동 비빔밥","봄동겉절이비빔밥"]</x:v>
      </x:c>
      <x:c r="E48" s="18" t="str">
        <x:v>food</x:v>
      </x:c>
      <x:c r="F48" s="18" t="str">
        <x:v>home_meal</x:v>
      </x:c>
      <x:c r="G48" s="19" t="n">
        <x:v>46091.625</x:v>
      </x:c>
      <x:c r="H48" s="18" t="str"/>
      <x:c r="I48" s="18" t="str"/>
      <x:c r="J48" s="18" t="str">
        <x:v>Y</x:v>
      </x:c>
      <x:c r="K48" s="18" t="str">
        <x:v>2026년 3월 제철 채소를 활용한 간단 레시피가 SNS에서 확산된 뒤, 김치·편의점·대형마트 상품으로 빠르게 전환됐다.</x:v>
      </x:c>
      <x:c r="L48" s="18" t="str">
        <x:v>SNS 레시피 확산과 GS25·이마트의 간편식 출시</x:v>
      </x:c>
      <x:c r="M48" s="18" t="str">
        <x:v>news</x:v>
      </x:c>
      <x:c r="N48" s="18" t="str">
        <x:v>뉴스1</x:v>
      </x:c>
      <x:c r="O48" s="19" t="n">
        <x:v>46091.625</x:v>
      </x:c>
      <x:c r="P48" s="18" t="str">
        <x:v>SNS발 봄동비빔밥 유행에 편의점도 '들썩'…신상품 속속 출시</x:v>
      </x:c>
      <x:c r="Q48" s="18" t="str">
        <x:v>https://news.nate.com/view/20260311n02880</x:v>
      </x:c>
      <x:c r="R48" s="18" t="str">
        <x:v>news</x:v>
      </x:c>
      <x:c r="S48" s="18" t="str">
        <x:v>전자신문</x:v>
      </x:c>
      <x:c r="T48" s="19" t="n">
        <x:v>46092.625</x:v>
      </x:c>
      <x:c r="U48" s="18" t="str">
        <x:v>[마켓 트렌드] SNS는 지금 '봄동' 앓이 중…두쫀쿠 열풍 밀어</x:v>
      </x:c>
      <x:c r="V48" s="18" t="str">
        <x:v>https://www.etnews.com/20260312000079</x:v>
      </x:c>
      <x:c r="W48" s="18" t="str">
        <x:v>resolved_excluded</x:v>
      </x:c>
      <x:c r="X48" s="18" t="str">
        <x:v>excluded</x:v>
      </x:c>
      <x:c r="Y48" s="18" t="str">
        <x:v>근거 부족</x:v>
      </x:c>
      <x:c r="Z48" s="18" t="str"/>
      <x:c r="AA48" s="18" t="str">
        <x:v>두 번째 독립 공개 근거 또는 당시 확산을 입증할 자료가 부족해 트렌드에서 제외했다.</x:v>
      </x:c>
    </x:row>
    <x:row r="49">
      <x:c r="A49" s="18" t="n">
        <x:v>46</x:v>
      </x:c>
      <x:c r="B49" s="18" t="str">
        <x:v>kr_202607_dubai_chewy_cookie</x:v>
      </x:c>
      <x:c r="C49" s="18" t="str">
        <x:v>두바이 쫀득 쿠키</x:v>
      </x:c>
      <x:c r="D49" s="18" t="str">
        <x:v>["두쫀쿠","두바이 초콜릿 쿠키"]</x:v>
      </x:c>
      <x:c r="E49" s="18" t="str">
        <x:v>food</x:v>
      </x:c>
      <x:c r="F49" s="18" t="str">
        <x:v>dessert</x:v>
      </x:c>
      <x:c r="G49" s="19" t="n">
        <x:v>46029.625</x:v>
      </x:c>
      <x:c r="H49" s="18" t="str"/>
      <x:c r="I49" s="18" t="str"/>
      <x:c r="J49" s="18" t="str">
        <x:v>Y</x:v>
      </x:c>
      <x:c r="K49" s="18" t="str">
        <x:v>2025년 말~2026년 1월 두바이 초콜릿을 변주한 쫀득 쿠키가 편의점·전문점에서 품절과 연계 상품 출시로 확산됐다.</x:v>
      </x:c>
      <x:c r="L49" s="18" t="str">
        <x:v>편의점 유통망의 두쫀쿠 연계 상품 확대와 품절·검색 관심</x:v>
      </x:c>
      <x:c r="M49" s="18" t="str">
        <x:v>news</x:v>
      </x:c>
      <x:c r="N49" s="18" t="str">
        <x:v>뉴시스</x:v>
      </x:c>
      <x:c r="O49" s="19" t="n">
        <x:v>46029.625</x:v>
      </x:c>
      <x:c r="P49" s="18" t="str">
        <x:v>"없어서 못 산다" 편의점 휩쓰는 '두쫀쿠' 광풍 계속</x:v>
      </x:c>
      <x:c r="Q49" s="18" t="str">
        <x:v>https://www.newsis.com/view/NISX20260108_0003469759</x:v>
      </x:c>
      <x:c r="R49" s="18" t="str">
        <x:v>other</x:v>
      </x:c>
      <x:c r="S49" s="18" t="str">
        <x:v>하퍼스 바자</x:v>
      </x:c>
      <x:c r="T49" s="19" t="n">
        <x:v>46026.625</x:v>
      </x:c>
      <x:c r="U49" s="18" t="str">
        <x:v>왜 모두가 두쫀쿠에 열광할까? 두바이 쫀득 쿠키 신드롬</x:v>
      </x:c>
      <x:c r="V49" s="18" t="str">
        <x:v>https://www.harpersbazaar.co.kr/article/1894649</x:v>
      </x:c>
      <x:c r="W49" s="18" t="str">
        <x:v>resolved_excluded</x:v>
      </x:c>
      <x:c r="X49" s="18" t="str">
        <x:v>excluded</x:v>
      </x:c>
      <x:c r="Y49" s="18" t="str">
        <x:v>근거 부족</x:v>
      </x:c>
      <x:c r="Z49" s="18" t="str"/>
      <x:c r="AA49" s="18" t="str">
        <x:v>두 번째 독립 공개 근거 또는 당시 확산을 입증할 자료가 부족해 트렌드에서 제외했다.</x:v>
      </x:c>
    </x:row>
    <x:row r="50">
      <x:c r="A50" s="18" t="n">
        <x:v>47</x:v>
      </x:c>
      <x:c r="B50" s="18" t="str">
        <x:v>kr_202607_frozen_jelly</x:v>
      </x:c>
      <x:c r="C50" s="18" t="str">
        <x:v>얼먹젤리</x:v>
      </x:c>
      <x:c r="D50" s="18" t="str">
        <x:v>["젤리 얼먹"]</x:v>
      </x:c>
      <x:c r="E50" s="18" t="str">
        <x:v>food</x:v>
      </x:c>
      <x:c r="F50" s="18" t="str">
        <x:v>snack</x:v>
      </x:c>
      <x:c r="G50" s="19" t="n">
        <x:v>46219.625</x:v>
      </x:c>
      <x:c r="H50" s="18" t="str"/>
      <x:c r="I50" s="18" t="str">
        <x:v>Y</x:v>
      </x:c>
      <x:c r="J50" s="18" t="str">
        <x:v>Y</x:v>
      </x:c>
      <x:c r="K50" s="18" t="str">
        <x:v>상반기 유행 음식 결산에서 식감 디저트 후보로 확인됨.</x:v>
      </x:c>
      <x:c r="L50" s="18" t="str">
        <x:v>초기 조사: 공개 월간/주제별 트렌드 자료에 후보로 등장</x:v>
      </x:c>
      <x:c r="M50" s="18" t="str">
        <x:v>other</x:v>
      </x:c>
      <x:c r="N50" s="18" t="str">
        <x:v>Instagram</x:v>
      </x:c>
      <x:c r="O50" s="19" t="n">
        <x:v>46219.625</x:v>
      </x:c>
      <x:c r="P50" s="18" t="str">
        <x:v>2026년 상반기 유행 음식</x:v>
      </x:c>
      <x:c r="Q50" s="18" t="str">
        <x:v>https://www.instagram.com/reel/DWqlGsvEUsg/</x:v>
      </x:c>
      <x:c r="R50" s="18" t="str"/>
      <x:c r="S50" s="18" t="str"/>
      <x:c r="T50" s="19" t="n">
        <x:v>46219.625</x:v>
      </x:c>
      <x:c r="U50" s="18" t="str"/>
      <x:c r="V50" s="18" t="str"/>
      <x:c r="W50" s="18" t="str">
        <x:v>resolved_excluded</x:v>
      </x:c>
      <x:c r="X50" s="18" t="str">
        <x:v>excluded</x:v>
      </x:c>
      <x:c r="Y50" s="18" t="str">
        <x:v>근거 부족</x:v>
      </x:c>
      <x:c r="Z50" s="18" t="str"/>
      <x:c r="AA50" s="18" t="str">
        <x:v>두 번째 독립 공개 근거 또는 당시 확산을 입증할 자료가 부족해 트렌드에서 제외했다.</x:v>
      </x:c>
    </x:row>
    <x:row r="51">
      <x:c r="A51" s="18" t="n">
        <x:v>48</x:v>
      </x:c>
      <x:c r="B51" s="18" t="str">
        <x:v>kr_202607_changuk_rice_cake</x:v>
      </x:c>
      <x:c r="C51" s="18" t="str">
        <x:v>창억떡</x:v>
      </x:c>
      <x:c r="D51" s="18" t="str">
        <x:v>[]</x:v>
      </x:c>
      <x:c r="E51" s="18" t="str">
        <x:v>food</x:v>
      </x:c>
      <x:c r="F51" s="18" t="str">
        <x:v>rice_cake</x:v>
      </x:c>
      <x:c r="G51" s="19" t="n">
        <x:v>46219.625</x:v>
      </x:c>
      <x:c r="H51" s="18" t="str"/>
      <x:c r="I51" s="18" t="str">
        <x:v>Y</x:v>
      </x:c>
      <x:c r="J51" s="18" t="str">
        <x:v>Y</x:v>
      </x:c>
      <x:c r="K51" s="18" t="str">
        <x:v>상반기 유행 음식 결산 목록에서 후보로 확인됨.</x:v>
      </x:c>
      <x:c r="L51" s="18" t="str">
        <x:v>초기 조사: 공개 월간/주제별 트렌드 자료에 후보로 등장</x:v>
      </x:c>
      <x:c r="M51" s="18" t="str">
        <x:v>other</x:v>
      </x:c>
      <x:c r="N51" s="18" t="str">
        <x:v>Instagram</x:v>
      </x:c>
      <x:c r="O51" s="19" t="n">
        <x:v>46219.625</x:v>
      </x:c>
      <x:c r="P51" s="18" t="str">
        <x:v>2026년 상반기 유행 음식</x:v>
      </x:c>
      <x:c r="Q51" s="18" t="str">
        <x:v>https://www.instagram.com/reel/DWqlGsvEUsg/</x:v>
      </x:c>
      <x:c r="R51" s="18" t="str"/>
      <x:c r="S51" s="18" t="str"/>
      <x:c r="T51" s="19" t="n">
        <x:v>46219.625</x:v>
      </x:c>
      <x:c r="U51" s="18" t="str"/>
      <x:c r="V51" s="18" t="str"/>
      <x:c r="W51" s="18" t="str">
        <x:v>resolved_excluded</x:v>
      </x:c>
      <x:c r="X51" s="18" t="str">
        <x:v>excluded</x:v>
      </x:c>
      <x:c r="Y51" s="18" t="str">
        <x:v>근거 부족</x:v>
      </x:c>
      <x:c r="Z51" s="18" t="str"/>
      <x:c r="AA51" s="18" t="str">
        <x:v>두 번째 독립 공개 근거 또는 당시 확산을 입증할 자료가 부족해 트렌드에서 제외했다.</x:v>
      </x:c>
    </x:row>
    <x:row r="52">
      <x:c r="A52" s="18" t="n">
        <x:v>49</x:v>
      </x:c>
      <x:c r="B52" s="18" t="str">
        <x:v>kr_202607_ube_dessert</x:v>
      </x:c>
      <x:c r="C52" s="18" t="str">
        <x:v>우베 디저트</x:v>
      </x:c>
      <x:c r="D52" s="18" t="str">
        <x:v>["우베","보라색 디저트"]</x:v>
      </x:c>
      <x:c r="E52" s="18" t="str">
        <x:v>food</x:v>
      </x:c>
      <x:c r="F52" s="18" t="str">
        <x:v>dessert</x:v>
      </x:c>
      <x:c r="G52" s="19" t="n">
        <x:v>46140.625</x:v>
      </x:c>
      <x:c r="H52" s="18" t="str"/>
      <x:c r="I52" s="18" t="str"/>
      <x:c r="J52" s="18" t="str">
        <x:v>Y</x:v>
      </x:c>
      <x:c r="K52" s="18" t="str">
        <x:v>2026년 3월 말부터 검색·숏폼 관심이 올라간 우베가 선명한 보라색 비주얼을 앞세워 카페·편의점·제과 신제품으로 확대됐다.</x:v>
      </x:c>
      <x:c r="L52" s="18" t="str">
        <x:v>우베 디저트</x:v>
      </x:c>
      <x:c r="M52" s="18" t="str">
        <x:v>other</x:v>
      </x:c>
      <x:c r="N52" s="18" t="str">
        <x:v>나스미디어</x:v>
      </x:c>
      <x:c r="O52" s="19" t="n">
        <x:v>46140.625</x:v>
      </x:c>
      <x:c r="P52" s="18" t="str">
        <x:v>요즘 떠오르는 보랏빛 디저트의 정체는?</x:v>
      </x:c>
      <x:c r="Q52" s="18" t="str">
        <x:v>https://blog.nasmedia.co.kr/entry/2606-lifestyletrend-eat</x:v>
      </x:c>
      <x:c r="R52" s="18" t="str"/>
      <x:c r="S52" s="18" t="str">
        <x:v>동아일보</x:v>
      </x:c>
      <x:c r="T52" s="19" t="n">
        <x:v>46141.625</x:v>
      </x:c>
      <x:c r="U52" s="18" t="str">
        <x:v>보랏빛 '우베' 국내 상륙…'말차'를 이을 카페업계 새 트렌드로</x:v>
      </x:c>
      <x:c r="V52" s="18" t="str">
        <x:v>https://www.donga.com/news/Economy/article/all/20260430/133842845/1</x:v>
      </x:c>
      <x:c r="W52" s="18" t="str">
        <x:v>evidence_ready</x:v>
      </x:c>
      <x:c r="X52" s="18" t="str">
        <x:v>selected</x:v>
      </x:c>
      <x:c r="Y52" s="18" t="str"/>
      <x:c r="Z52" s="18" t="str"/>
      <x:c r="AA52" s="18" t="str">
        <x:v>독립 공개 근거 2개 이상, 관련 키워드 5개, 직접 역할 상장기업 3개를 확인해 완성 트렌드로 선정했다. 플랫폼 수치·주가 영향은 추정하지 않았다.</x:v>
      </x:c>
    </x:row>
    <x:row r="53">
      <x:c r="A53" s="18" t="n">
        <x:v>50</x:v>
      </x:c>
      <x:c r="B53" s="18" t="str">
        <x:v>kr_202607_night_tea_malbang</x:v>
      </x:c>
      <x:c r="C53" s="18" t="str">
        <x:v>밤티말빵</x:v>
      </x:c>
      <x:c r="D53" s="18" t="str">
        <x:v>[]</x:v>
      </x:c>
      <x:c r="E53" s="18" t="str">
        <x:v>food</x:v>
      </x:c>
      <x:c r="F53" s="18" t="str">
        <x:v>bakery</x:v>
      </x:c>
      <x:c r="G53" s="19" t="n">
        <x:v>46219.625</x:v>
      </x:c>
      <x:c r="H53" s="18" t="str"/>
      <x:c r="I53" s="18" t="str">
        <x:v>Y</x:v>
      </x:c>
      <x:c r="J53" s="18" t="str">
        <x:v>Y</x:v>
      </x:c>
      <x:c r="K53" s="18" t="str">
        <x:v>상반기 유행 음식 목록에 포함된 베이커리 후보.</x:v>
      </x:c>
      <x:c r="L53" s="18" t="str">
        <x:v>초기 조사: 공개 월간/주제별 트렌드 자료에 후보로 등장</x:v>
      </x:c>
      <x:c r="M53" s="18" t="str">
        <x:v>other</x:v>
      </x:c>
      <x:c r="N53" s="18" t="str">
        <x:v>Instagram</x:v>
      </x:c>
      <x:c r="O53" s="19" t="n">
        <x:v>46219.625</x:v>
      </x:c>
      <x:c r="P53" s="18" t="str">
        <x:v>2026년 상반기 유행 음식</x:v>
      </x:c>
      <x:c r="Q53" s="18" t="str">
        <x:v>https://www.instagram.com/reel/DWqlGsvEUsg/</x:v>
      </x:c>
      <x:c r="R53" s="18" t="str"/>
      <x:c r="S53" s="18" t="str"/>
      <x:c r="T53" s="19" t="n">
        <x:v>46219.625</x:v>
      </x:c>
      <x:c r="U53" s="18" t="str"/>
      <x:c r="V53" s="18" t="str"/>
      <x:c r="W53" s="18" t="str">
        <x:v>resolved_excluded</x:v>
      </x:c>
      <x:c r="X53" s="18" t="str">
        <x:v>excluded</x:v>
      </x:c>
      <x:c r="Y53" s="18" t="str">
        <x:v>근거 부족</x:v>
      </x:c>
      <x:c r="Z53" s="18" t="str"/>
      <x:c r="AA53" s="18" t="str">
        <x:v>두 번째 독립 공개 근거 또는 당시 확산을 입증할 자료가 부족해 트렌드에서 제외했다.</x:v>
      </x:c>
    </x:row>
    <x:row r="54">
      <x:c r="A54" s="18" t="n">
        <x:v>51</x:v>
      </x:c>
      <x:c r="B54" s="18" t="str">
        <x:v>kr_202607_peiwang_chahee</x:v>
      </x:c>
      <x:c r="C54" s="18" t="str">
        <x:v>패왕차희</x:v>
      </x:c>
      <x:c r="D54" s="18" t="str">
        <x:v>[]</x:v>
      </x:c>
      <x:c r="E54" s="18" t="str">
        <x:v>food</x:v>
      </x:c>
      <x:c r="F54" s="18" t="str">
        <x:v>beverage</x:v>
      </x:c>
      <x:c r="G54" s="19" t="n">
        <x:v>46219.625</x:v>
      </x:c>
      <x:c r="H54" s="18" t="str"/>
      <x:c r="I54" s="18" t="str">
        <x:v>Y</x:v>
      </x:c>
      <x:c r="J54" s="18" t="str">
        <x:v>Y</x:v>
      </x:c>
      <x:c r="K54" s="18" t="str">
        <x:v>상반기 유행 음식 목록에 포함된 음료 후보.</x:v>
      </x:c>
      <x:c r="L54" s="18" t="str">
        <x:v>초기 조사: 공개 월간/주제별 트렌드 자료에 후보로 등장</x:v>
      </x:c>
      <x:c r="M54" s="18" t="str">
        <x:v>other</x:v>
      </x:c>
      <x:c r="N54" s="18" t="str">
        <x:v>Instagram</x:v>
      </x:c>
      <x:c r="O54" s="19" t="n">
        <x:v>46219.625</x:v>
      </x:c>
      <x:c r="P54" s="18" t="str">
        <x:v>2026년 상반기 유행 음식</x:v>
      </x:c>
      <x:c r="Q54" s="18" t="str">
        <x:v>https://www.instagram.com/reel/DWqlGsvEUsg/</x:v>
      </x:c>
      <x:c r="R54" s="18" t="str"/>
      <x:c r="S54" s="18" t="str"/>
      <x:c r="T54" s="19" t="n">
        <x:v>46219.625</x:v>
      </x:c>
      <x:c r="U54" s="18" t="str"/>
      <x:c r="V54" s="18" t="str"/>
      <x:c r="W54" s="18" t="str">
        <x:v>resolved_excluded</x:v>
      </x:c>
      <x:c r="X54" s="18" t="str">
        <x:v>excluded</x:v>
      </x:c>
      <x:c r="Y54" s="18" t="str">
        <x:v>근거 부족</x:v>
      </x:c>
      <x:c r="Z54" s="18" t="str"/>
      <x:c r="AA54" s="18" t="str">
        <x:v>두 번째 독립 공개 근거 또는 당시 확산을 입증할 자료가 부족해 트렌드에서 제외했다.</x:v>
      </x:c>
    </x:row>
    <x:row r="55">
      <x:c r="A55" s="18" t="n">
        <x:v>52</x:v>
      </x:c>
      <x:c r="B55" s="18" t="str">
        <x:v>kr_202607_chocolate_block</x:v>
      </x:c>
      <x:c r="C55" s="18" t="str">
        <x:v>초코블럭</x:v>
      </x:c>
      <x:c r="D55" s="18" t="str">
        <x:v>[]</x:v>
      </x:c>
      <x:c r="E55" s="18" t="str">
        <x:v>food</x:v>
      </x:c>
      <x:c r="F55" s="18" t="str">
        <x:v>dessert</x:v>
      </x:c>
      <x:c r="G55" s="19" t="n">
        <x:v>46219.625</x:v>
      </x:c>
      <x:c r="H55" s="18" t="str"/>
      <x:c r="I55" s="18" t="str">
        <x:v>Y</x:v>
      </x:c>
      <x:c r="J55" s="18" t="str">
        <x:v>Y</x:v>
      </x:c>
      <x:c r="K55" s="18" t="str">
        <x:v>상반기 유행 음식 목록에 포함된 디저트 후보.</x:v>
      </x:c>
      <x:c r="L55" s="18" t="str">
        <x:v>초기 조사: 공개 월간/주제별 트렌드 자료에 후보로 등장</x:v>
      </x:c>
      <x:c r="M55" s="18" t="str">
        <x:v>other</x:v>
      </x:c>
      <x:c r="N55" s="18" t="str">
        <x:v>Instagram</x:v>
      </x:c>
      <x:c r="O55" s="19" t="n">
        <x:v>46219.625</x:v>
      </x:c>
      <x:c r="P55" s="18" t="str">
        <x:v>2026년 상반기 유행 음식</x:v>
      </x:c>
      <x:c r="Q55" s="18" t="str">
        <x:v>https://www.instagram.com/reel/DWqlGsvEUsg/</x:v>
      </x:c>
      <x:c r="R55" s="18" t="str"/>
      <x:c r="S55" s="18" t="str"/>
      <x:c r="T55" s="19" t="n">
        <x:v>46219.625</x:v>
      </x:c>
      <x:c r="U55" s="18" t="str"/>
      <x:c r="V55" s="18" t="str"/>
      <x:c r="W55" s="18" t="str">
        <x:v>resolved_excluded</x:v>
      </x:c>
      <x:c r="X55" s="18" t="str">
        <x:v>excluded</x:v>
      </x:c>
      <x:c r="Y55" s="18" t="str">
        <x:v>근거 부족</x:v>
      </x:c>
      <x:c r="Z55" s="18" t="str"/>
      <x:c r="AA55" s="18" t="str">
        <x:v>두 번째 독립 공개 근거 또는 당시 확산을 입증할 자료가 부족해 트렌드에서 제외했다.</x:v>
      </x:c>
    </x:row>
    <x:row r="56">
      <x:c r="A56" s="18" t="n">
        <x:v>53</x:v>
      </x:c>
      <x:c r="B56" s="18" t="str">
        <x:v>kr_202605_namja_eopnya</x:v>
      </x:c>
      <x:c r="C56" s="18" t="str">
        <x:v>남쟈 없냐 남쟈</x:v>
      </x:c>
      <x:c r="D56" s="18" t="str">
        <x:v>[]</x:v>
      </x:c>
      <x:c r="E56" s="18" t="str">
        <x:v>culture_meme_challenge</x:v>
      </x:c>
      <x:c r="F56" s="18" t="str">
        <x:v>meme</x:v>
      </x:c>
      <x:c r="G56" s="19" t="n">
        <x:v>46159.625</x:v>
      </x:c>
      <x:c r="H56" s="18" t="str"/>
      <x:c r="I56" s="18" t="str"/>
      <x:c r="J56" s="18" t="str">
        <x:v>Y</x:v>
      </x:c>
      <x:c r="K56" s="18" t="str">
        <x:v>대화 말투를 변주해 쓰는 방식이 X와 유튜브·브랜드 콘텐츠로 확산된 사례다.</x:v>
      </x:c>
      <x:c r="L56" s="18" t="str">
        <x:v>초기 조사: 공개 트렌드 원문에서 확산·참여 또는 콘텐츠 생성 맥락 확인</x:v>
      </x:c>
      <x:c r="M56" s="18" t="str">
        <x:v>other</x:v>
      </x:c>
      <x:c r="N56" s="18" t="str">
        <x:v>고구마팜</x:v>
      </x:c>
      <x:c r="O56" s="19" t="n">
        <x:v>46159.625</x:v>
      </x:c>
      <x:c r="P56" s="18" t="str">
        <x:v>2026년 5월 최신 밈 모음</x:v>
      </x:c>
      <x:c r="Q56" s="18" t="str">
        <x:v>https://gogumafarm.kr/%EC%9A%94%EC%A6%98-%EC%9C%A0%ED%96%89%ED%95%98%EB%8A%94-%EB%B0%88-%EB%AA%A8%EC%9D%8C-green-green-2026%EB%85%84-5%EC%9B%94-%EC%B5%9C%EC%8B%A0-%EB%B0%88-%EB%AA%A8%EC%9D%8C/</x:v>
      </x:c>
      <x:c r="R56" s="18" t="str">
        <x:v>platform_search</x:v>
      </x:c>
      <x:c r="S56" s="18" t="str">
        <x:v>YouTube</x:v>
      </x:c>
      <x:c r="T56" s="19" t="n">
        <x:v>46246.625</x:v>
      </x:c>
      <x:c r="U56" s="18" t="str">
        <x:v>남쟈 없냐 남쟈 공개 동영상 검색 결과 관측</x:v>
      </x:c>
      <x:c r="V56" s="18" t="str">
        <x:v>https://www.youtube.com/results?search_query=%EB%82%A8%EC%9F%88%20%EC%97%86%EB%83%90%20%EB%82%A8%EC%9F%88</x:v>
      </x:c>
      <x:c r="W56" s="18" t="str">
        <x:v>evidence_ready</x:v>
      </x:c>
      <x:c r="X56" s="18" t="str">
        <x:v>selected</x:v>
      </x:c>
      <x:c r="Y56" s="18" t="str"/>
      <x:c r="Z56" s="18" t="str"/>
      <x:c r="AA56" s="18" t="str">
        <x:v>독립 공개 근거 2개 이상, 관련 키워드 5개, 직접 역할 상장기업 3개를 확인해 완성 트렌드로 선정했다. 플랫폼 수치·주가 영향은 추정하지 않았다.</x:v>
      </x:c>
    </x:row>
    <x:row r="57">
      <x:c r="A57" s="18" t="n">
        <x:v>54</x:v>
      </x:c>
      <x:c r="B57" s="18" t="str">
        <x:v>kr_202605_green_green_red_red</x:v>
      </x:c>
      <x:c r="C57" s="18" t="str">
        <x:v>그린그린·레드레드</x:v>
      </x:c>
      <x:c r="D57" s="18" t="str">
        <x:v>[]</x:v>
      </x:c>
      <x:c r="E57" s="18" t="str">
        <x:v>culture_meme_challenge</x:v>
      </x:c>
      <x:c r="F57" s="18" t="str">
        <x:v>music_meme</x:v>
      </x:c>
      <x:c r="G57" s="19" t="n">
        <x:v>46159.625</x:v>
      </x:c>
      <x:c r="H57" s="18" t="str"/>
      <x:c r="I57" s="18" t="str"/>
      <x:c r="J57" s="18" t="str">
        <x:v>Y</x:v>
      </x:c>
      <x:c r="K57" s="18" t="str">
        <x:v>CORTIS의 곡 가사에서 파생된 긍·부정 표현 문법이 SNS 게시물에 확산된 사례다.</x:v>
      </x:c>
      <x:c r="L57" s="18" t="str">
        <x:v>초기 조사: 공개 트렌드 원문에서 확산·참여 또는 콘텐츠 생성 맥락 확인</x:v>
      </x:c>
      <x:c r="M57" s="18" t="str">
        <x:v>other</x:v>
      </x:c>
      <x:c r="N57" s="18" t="str">
        <x:v>고구마팜</x:v>
      </x:c>
      <x:c r="O57" s="19" t="n">
        <x:v>46159.625</x:v>
      </x:c>
      <x:c r="P57" s="18" t="str">
        <x:v>2026년 5월 최신 밈 모음</x:v>
      </x:c>
      <x:c r="Q57" s="18" t="str">
        <x:v>https://gogumafarm.kr/%EC%9A%94%EC%A6%98-%EC%9C%A0%ED%96%89%ED%95%98%EB%8A%94-%EB%B0%88-%EB%AA%A8%EC%9D%8C-green-green-2026%EB%85%84-5%EC%9B%94-%EC%B5%9C%EC%8B%A0-%EB%B0%88-%EB%AA%A8%EC%9D%8C/</x:v>
      </x:c>
      <x:c r="R57" s="18" t="str">
        <x:v>platform_search</x:v>
      </x:c>
      <x:c r="S57" s="18" t="str">
        <x:v>YouTube</x:v>
      </x:c>
      <x:c r="T57" s="19" t="n">
        <x:v>46246.625</x:v>
      </x:c>
      <x:c r="U57" s="18" t="str">
        <x:v>그린그린·레드레드 공개 동영상 검색 결과 관측</x:v>
      </x:c>
      <x:c r="V57" s="18" t="str">
        <x:v>https://www.youtube.com/results?search_query=%EA%B7%B8%EB%A6%B0%EA%B7%B8%EB%A6%B0%C2%B7%EB%A0%88%EB%93%9C%EB%A0%88%EB%93%9C</x:v>
      </x:c>
      <x:c r="W57" s="18" t="str">
        <x:v>evidence_ready</x:v>
      </x:c>
      <x:c r="X57" s="18" t="str">
        <x:v>selected</x:v>
      </x:c>
      <x:c r="Y57" s="18" t="str"/>
      <x:c r="Z57" s="18" t="str"/>
      <x:c r="AA57" s="18" t="str">
        <x:v>독립 공개 근거 2개 이상, 관련 키워드 5개, 직접 역할 상장기업 3개를 확인해 완성 트렌드로 선정했다. 플랫폼 수치·주가 영향은 추정하지 않았다.</x:v>
      </x:c>
    </x:row>
    <x:row r="58">
      <x:c r="A58" s="18" t="n">
        <x:v>55</x:v>
      </x:c>
      <x:c r="B58" s="18" t="str">
        <x:v>kr_202605_gangnamstyle_remix_meme</x:v>
      </x:c>
      <x:c r="C58" s="18" t="str">
        <x:v>강남스타일 리믹스 밈</x:v>
      </x:c>
      <x:c r="D58" s="18" t="str">
        <x:v>[]</x:v>
      </x:c>
      <x:c r="E58" s="18" t="str">
        <x:v>culture_meme_challenge</x:v>
      </x:c>
      <x:c r="F58" s="18" t="str">
        <x:v>music_meme</x:v>
      </x:c>
      <x:c r="G58" s="19" t="n">
        <x:v>46159.625</x:v>
      </x:c>
      <x:c r="H58" s="18" t="str"/>
      <x:c r="I58" s="18" t="str"/>
      <x:c r="J58" s="18" t="str">
        <x:v>Y</x:v>
      </x:c>
      <x:c r="K58" s="18" t="str">
        <x:v>강남스타일의 특정 가사를 여러 곡에 섞어 쓰는 리믹스 영상이 화제가 된 사례다.</x:v>
      </x:c>
      <x:c r="L58" s="18" t="str">
        <x:v>초기 조사: 공개 트렌드 원문에서 확산·참여 또는 콘텐츠 생성 맥락 확인</x:v>
      </x:c>
      <x:c r="M58" s="18" t="str">
        <x:v>other</x:v>
      </x:c>
      <x:c r="N58" s="18" t="str">
        <x:v>고구마팜</x:v>
      </x:c>
      <x:c r="O58" s="19" t="n">
        <x:v>46159.625</x:v>
      </x:c>
      <x:c r="P58" s="18" t="str">
        <x:v>2026년 5월 최신 밈 모음</x:v>
      </x:c>
      <x:c r="Q58" s="18" t="str">
        <x:v>https://gogumafarm.kr/%EC%9A%94%EC%A6%98-%EC%9C%A0%ED%96%89%ED%95%98%EB%8A%94-%EB%B0%88-%EB%AA%A8%EC%9D%8C-green-green-2026%EB%85%84-5%EC%9B%94-%EC%B5%9C%EC%8B%A0-%EB%B0%88-%EB%AA%A8%EC%9D%8C/</x:v>
      </x:c>
      <x:c r="R58" s="18" t="str">
        <x:v>platform_search</x:v>
      </x:c>
      <x:c r="S58" s="18" t="str">
        <x:v>YouTube</x:v>
      </x:c>
      <x:c r="T58" s="19" t="n">
        <x:v>46246.625</x:v>
      </x:c>
      <x:c r="U58" s="18" t="str">
        <x:v>강남스타일 리믹스 밈 공개 동영상 검색 결과 관측</x:v>
      </x:c>
      <x:c r="V58" s="18" t="str">
        <x:v>https://www.youtube.com/results?search_query=%EA%B0%95%EB%82%A8%EC%8A%A4%ED%83%80%EC%9D%BC%20%EB%A6%AC%EB%AF%B9%EC%8A%A4%20%EB%B0%88</x:v>
      </x:c>
      <x:c r="W58" s="18" t="str">
        <x:v>evidence_ready</x:v>
      </x:c>
      <x:c r="X58" s="18" t="str">
        <x:v>selected</x:v>
      </x:c>
      <x:c r="Y58" s="18" t="str"/>
      <x:c r="Z58" s="18" t="str"/>
      <x:c r="AA58" s="18" t="str">
        <x:v>독립 공개 근거 2개 이상, 관련 키워드 5개, 직접 역할 상장기업 3개를 확인해 완성 트렌드로 선정했다. 플랫폼 수치·주가 영향은 추정하지 않았다.</x:v>
      </x:c>
    </x:row>
    <x:row r="59">
      <x:c r="A59" s="18" t="n">
        <x:v>56</x:v>
      </x:c>
      <x:c r="B59" s="18" t="str">
        <x:v>kr_202605_golden_iyora</x:v>
      </x:c>
      <x:c r="C59" s="18" t="str">
        <x:v>골든이여라</x:v>
      </x:c>
      <x:c r="D59" s="18" t="str">
        <x:v>[]</x:v>
      </x:c>
      <x:c r="E59" s="18" t="str">
        <x:v>culture_meme_challenge</x:v>
      </x:c>
      <x:c r="F59" s="18" t="str">
        <x:v>music_meme</x:v>
      </x:c>
      <x:c r="G59" s="19" t="n">
        <x:v>46159.625</x:v>
      </x:c>
      <x:c r="H59" s="18" t="str"/>
      <x:c r="I59" s="18" t="str"/>
      <x:c r="J59" s="18" t="str">
        <x:v>Y</x:v>
      </x:c>
      <x:c r="K59" s="18" t="str">
        <x:v>케이팝 데몬 헌터스 OST를 트로트식으로 부른 영상에서 파생된 환호형 밈이다.</x:v>
      </x:c>
      <x:c r="L59" s="18" t="str">
        <x:v>초기 조사: 공개 트렌드 원문에서 확산·참여 또는 콘텐츠 생성 맥락 확인</x:v>
      </x:c>
      <x:c r="M59" s="18" t="str">
        <x:v>other</x:v>
      </x:c>
      <x:c r="N59" s="18" t="str">
        <x:v>고구마팜</x:v>
      </x:c>
      <x:c r="O59" s="19" t="n">
        <x:v>46159.625</x:v>
      </x:c>
      <x:c r="P59" s="18" t="str">
        <x:v>2026년 5월 최신 밈 모음</x:v>
      </x:c>
      <x:c r="Q59" s="18" t="str">
        <x:v>https://gogumafarm.kr/%EC%9A%94%EC%A6%98-%EC%9C%A0%ED%96%89%ED%95%98%EB%8A%94-%EB%B0%88-%EB%AA%A8%EC%9D%8C-green-green-2026%EB%85%84-5%EC%9B%94-%EC%B5%9C%EC%8B%A0-%EB%B0%88-%EB%AA%A8%EC%9D%8C/</x:v>
      </x:c>
      <x:c r="R59" s="18" t="str">
        <x:v>platform_search</x:v>
      </x:c>
      <x:c r="S59" s="18" t="str">
        <x:v>YouTube</x:v>
      </x:c>
      <x:c r="T59" s="19" t="n">
        <x:v>46246.625</x:v>
      </x:c>
      <x:c r="U59" s="18" t="str">
        <x:v>골든이여라 공개 동영상 검색 결과 관측</x:v>
      </x:c>
      <x:c r="V59" s="18" t="str">
        <x:v>https://www.youtube.com/results?search_query=%EA%B3%A8%EB%93%A0%EC%9D%B4%EC%97%AC%EB%9D%BC</x:v>
      </x:c>
      <x:c r="W59" s="18" t="str">
        <x:v>evidence_ready</x:v>
      </x:c>
      <x:c r="X59" s="18" t="str">
        <x:v>selected</x:v>
      </x:c>
      <x:c r="Y59" s="18" t="str"/>
      <x:c r="Z59" s="18" t="str"/>
      <x:c r="AA59" s="18" t="str">
        <x:v>독립 공개 근거 2개 이상, 관련 키워드 5개, 직접 역할 상장기업 3개를 확인해 완성 트렌드로 선정했다. 플랫폼 수치·주가 영향은 추정하지 않았다.</x:v>
      </x:c>
    </x:row>
    <x:row r="60">
      <x:c r="A60" s="18" t="n">
        <x:v>57</x:v>
      </x:c>
      <x:c r="B60" s="18" t="str">
        <x:v>kr_202605_snack_photo_decor</x:v>
      </x:c>
      <x:c r="C60" s="18" t="str">
        <x:v>과자 사진 꾸미기</x:v>
      </x:c>
      <x:c r="D60" s="18" t="str">
        <x:v>[]</x:v>
      </x:c>
      <x:c r="E60" s="18" t="str">
        <x:v>food</x:v>
      </x:c>
      <x:c r="F60" s="18" t="str">
        <x:v>participation_food</x:v>
      </x:c>
      <x:c r="G60" s="19" t="n">
        <x:v>46159.625</x:v>
      </x:c>
      <x:c r="H60" s="18" t="str"/>
      <x:c r="I60" s="18" t="str"/>
      <x:c r="J60" s="18" t="str">
        <x:v>Y</x:v>
      </x:c>
      <x:c r="K60" s="18" t="str">
        <x:v>과자 포장지 글자와 로고를 조합해 문장을 만드는 인증 놀이가 확산된 사례다.</x:v>
      </x:c>
      <x:c r="L60" s="18" t="str">
        <x:v>초기 조사: 공개 트렌드 원문에서 확산·참여 또는 콘텐츠 생성 맥락 확인</x:v>
      </x:c>
      <x:c r="M60" s="18" t="str">
        <x:v>other</x:v>
      </x:c>
      <x:c r="N60" s="18" t="str">
        <x:v>위픽레터</x:v>
      </x:c>
      <x:c r="O60" s="19" t="n">
        <x:v>46159.625</x:v>
      </x:c>
      <x:c r="P60" s="18" t="str">
        <x:v>2026 트렌디한 밈 아카이브.ZIP</x:v>
      </x:c>
      <x:c r="Q60" s="18" t="str">
        <x:v>https://letter.wepick.kr/post/23942</x:v>
      </x:c>
      <x:c r="R60" s="18" t="str">
        <x:v>platform_search</x:v>
      </x:c>
      <x:c r="S60" s="18" t="str">
        <x:v>YouTube</x:v>
      </x:c>
      <x:c r="T60" s="19" t="n">
        <x:v>46246.625</x:v>
      </x:c>
      <x:c r="U60" s="18" t="str">
        <x:v>과자 사진 꾸미기 공개 동영상 검색 결과 관측</x:v>
      </x:c>
      <x:c r="V60" s="18" t="str">
        <x:v>https://www.youtube.com/results?search_query=%EA%B3%BC%EC%9E%90%20%EC%82%AC%EC%A7%84%20%EA%BE%B8%EB%AF%B8%EA%B8%B0</x:v>
      </x:c>
      <x:c r="W60" s="18" t="str">
        <x:v>evidence_ready</x:v>
      </x:c>
      <x:c r="X60" s="18" t="str">
        <x:v>selected</x:v>
      </x:c>
      <x:c r="Y60" s="18" t="str"/>
      <x:c r="Z60" s="18" t="str"/>
      <x:c r="AA60" s="18" t="str">
        <x:v>독립 공개 근거 2개 이상, 관련 키워드 5개, 직접 역할 상장기업 3개를 확인해 완성 트렌드로 선정했다. 플랫폼 수치·주가 영향은 추정하지 않았다.</x:v>
      </x:c>
    </x:row>
    <x:row r="61">
      <x:c r="A61" s="18" t="n">
        <x:v>58</x:v>
      </x:c>
      <x:c r="B61" s="18" t="str">
        <x:v>kr_202606_born_year_dance</x:v>
      </x:c>
      <x:c r="C61" s="18" t="str">
        <x:v>나 ○○년생 ○○○인데</x:v>
      </x:c>
      <x:c r="D61" s="18" t="str">
        <x:v>[]</x:v>
      </x:c>
      <x:c r="E61" s="18" t="str">
        <x:v>culture_meme_challenge</x:v>
      </x:c>
      <x:c r="F61" s="18" t="str">
        <x:v>shortform_format</x:v>
      </x:c>
      <x:c r="G61" s="19" t="n">
        <x:v>46182.625</x:v>
      </x:c>
      <x:c r="H61" s="18" t="str"/>
      <x:c r="I61" s="18" t="str"/>
      <x:c r="J61" s="18" t="str">
        <x:v>Y</x:v>
      </x:c>
      <x:c r="K61" s="18" t="str">
        <x:v>출생연도·직업·상황을 넣고 춤추는 짧은 숏폼 포맷이 다양한 계정에서 변주된 사례다.</x:v>
      </x:c>
      <x:c r="L61" s="18" t="str">
        <x:v>초기 조사: 공개 트렌드 원문에서 확산·참여 또는 콘텐츠 생성 맥락 확인</x:v>
      </x:c>
      <x:c r="M61" s="18" t="str">
        <x:v>other</x:v>
      </x:c>
      <x:c r="N61" s="18" t="str">
        <x:v>고구마팜</x:v>
      </x:c>
      <x:c r="O61" s="19" t="n">
        <x:v>46182.625</x:v>
      </x:c>
      <x:c r="P61" s="18" t="str">
        <x:v>2026년 6월 최신 밈 모음</x:v>
      </x:c>
      <x:c r="Q61" s="18" t="str">
        <x:v>https://gogumafarm.kr/%EB%82%98-%EA%B3%A0%EA%B5%AC%EB%A7%88%ED%8C%9C%EC%9D%B8%EB%8D%B0-%EC%9A%94%EC%A6%98-%EB%9C%A8%EB%8A%94-%EB%B0%88-%EA%B0%80%EC%A0%B8%EC%99%94%EB%8B%A4-2026%EB%85%84-6%EC%9B%94-%EC%B5%9C%EC%8B%A0/</x:v>
      </x:c>
      <x:c r="R61" s="18" t="str">
        <x:v>platform_search</x:v>
      </x:c>
      <x:c r="S61" s="18" t="str">
        <x:v>YouTube</x:v>
      </x:c>
      <x:c r="T61" s="19" t="n">
        <x:v>46246.625</x:v>
      </x:c>
      <x:c r="U61" s="18" t="str">
        <x:v>나 ○○년생 ○○○인데 공개 동영상 검색 결과 관측</x:v>
      </x:c>
      <x:c r="V61" s="18" t="str">
        <x:v>https://www.youtube.com/results?search_query=%EB%82%98%20%E2%97%8B%E2%97%8B%EB%85%84%EC%83%9D%20%E2%97%8B%E2%97%8B%E2%97%8B%EC%9D%B8%EB%8D%B0</x:v>
      </x:c>
      <x:c r="W61" s="18" t="str">
        <x:v>evidence_ready</x:v>
      </x:c>
      <x:c r="X61" s="18" t="str">
        <x:v>selected</x:v>
      </x:c>
      <x:c r="Y61" s="18" t="str"/>
      <x:c r="Z61" s="18" t="str"/>
      <x:c r="AA61" s="18" t="str">
        <x:v>독립 공개 근거 2개 이상, 관련 키워드 5개, 직접 역할 상장기업 3개를 확인해 완성 트렌드로 선정했다. 플랫폼 수치·주가 영향은 추정하지 않았다.</x:v>
      </x:c>
    </x:row>
    <x:row r="62">
      <x:c r="A62" s="18" t="n">
        <x:v>59</x:v>
      </x:c>
      <x:c r="B62" s="18" t="str">
        <x:v>kr_202606_millennial_genz_compare</x:v>
      </x:c>
      <x:c r="C62" s="18" t="str">
        <x:v>밀레니얼 vs 젠지 담당자 비교</x:v>
      </x:c>
      <x:c r="D62" s="18" t="str">
        <x:v>[]</x:v>
      </x:c>
      <x:c r="E62" s="18" t="str">
        <x:v>culture_meme_challenge</x:v>
      </x:c>
      <x:c r="F62" s="18" t="str">
        <x:v>shortform_format</x:v>
      </x:c>
      <x:c r="G62" s="19" t="n">
        <x:v>46182.625</x:v>
      </x:c>
      <x:c r="H62" s="18" t="str"/>
      <x:c r="I62" s="18" t="str"/>
      <x:c r="J62" s="18" t="str">
        <x:v>Y</x:v>
      </x:c>
      <x:c r="K62" s="18" t="str">
        <x:v>동일 제품·상황을 세대별 표현 방식으로 대비하는 짧은 영상 포맷이 확산된 사례다.</x:v>
      </x:c>
      <x:c r="L62" s="18" t="str">
        <x:v>초기 조사: 공개 트렌드 원문에서 확산·참여 또는 콘텐츠 생성 맥락 확인</x:v>
      </x:c>
      <x:c r="M62" s="18" t="str">
        <x:v>other</x:v>
      </x:c>
      <x:c r="N62" s="18" t="str">
        <x:v>고구마팜</x:v>
      </x:c>
      <x:c r="O62" s="19" t="n">
        <x:v>46182.625</x:v>
      </x:c>
      <x:c r="P62" s="18" t="str">
        <x:v>2026년 6월 최신 밈 모음</x:v>
      </x:c>
      <x:c r="Q62" s="18" t="str">
        <x:v>https://gogumafarm.kr/%EB%82%98-%EA%B3%A0%EA%B5%AC%EB%A7%88%ED%8C%9C%EC%9D%B8%EB%8D%B0-%EC%9A%94%EC%A6%98-%EB%9C%A8%EB%8A%94-%EB%B0%88-%EA%B0%80%EC%A0%B8%EC%99%94%EB%8B%A4-2026%EB%85%84-6%EC%9B%94-%EC%B5%9C%EC%8B%A0/</x:v>
      </x:c>
      <x:c r="R62" s="18" t="str">
        <x:v>platform_search</x:v>
      </x:c>
      <x:c r="S62" s="18" t="str">
        <x:v>YouTube</x:v>
      </x:c>
      <x:c r="T62" s="19" t="n">
        <x:v>46246.625</x:v>
      </x:c>
      <x:c r="U62" s="18" t="str">
        <x:v>밀레니얼 vs 젠지 담당자 비교 공개 동영상 검색 결과 관측</x:v>
      </x:c>
      <x:c r="V62" s="18" t="str">
        <x:v>https://www.youtube.com/results?search_query=%EB%B0%80%EB%A0%88%EB%8B%88%EC%96%BC%20vs%20%EC%A0%A0%EC%A7%80%20%EB%8B%B4%EB%8B%B9%EC%9E%90%20%EB%B9%84%EA%B5%90</x:v>
      </x:c>
      <x:c r="W62" s="18" t="str">
        <x:v>evidence_ready</x:v>
      </x:c>
      <x:c r="X62" s="18" t="str">
        <x:v>selected</x:v>
      </x:c>
      <x:c r="Y62" s="18" t="str"/>
      <x:c r="Z62" s="18" t="str"/>
      <x:c r="AA62" s="18" t="str">
        <x:v>독립 공개 근거 2개 이상, 관련 키워드 5개, 직접 역할 상장기업 3개를 확인해 완성 트렌드로 선정했다. 플랫폼 수치·주가 영향은 추정하지 않았다.</x:v>
      </x:c>
    </x:row>
    <x:row r="63">
      <x:c r="A63" s="18" t="n">
        <x:v>60</x:v>
      </x:c>
      <x:c r="B63" s="18" t="str">
        <x:v>kr_202606_acting_challenge</x:v>
      </x:c>
      <x:c r="C63" s="18" t="str">
        <x:v>연기 챌린지</x:v>
      </x:c>
      <x:c r="D63" s="18" t="str">
        <x:v>[]</x:v>
      </x:c>
      <x:c r="E63" s="18" t="str">
        <x:v>culture_meme_challenge</x:v>
      </x:c>
      <x:c r="F63" s="18" t="str">
        <x:v>shortform_format</x:v>
      </x:c>
      <x:c r="G63" s="19" t="n">
        <x:v>46174.625</x:v>
      </x:c>
      <x:c r="H63" s="18" t="str"/>
      <x:c r="I63" s="18" t="str"/>
      <x:c r="J63" s="18" t="str">
        <x:v>Y</x:v>
      </x:c>
      <x:c r="K63" s="18" t="str">
        <x:v>같은 문장을 서로 다른 감정으로 연기하는 참여형 숏폼 포맷이다.</x:v>
      </x:c>
      <x:c r="L63" s="18" t="str">
        <x:v>초기 조사: 공개 트렌드 원문에서 확산·참여 또는 콘텐츠 생성 맥락 확인</x:v>
      </x:c>
      <x:c r="M63" s="18" t="str">
        <x:v>other</x:v>
      </x:c>
      <x:c r="N63" s="18" t="str">
        <x:v>고구마팜</x:v>
      </x:c>
      <x:c r="O63" s="19" t="n">
        <x:v>46174.625</x:v>
      </x:c>
      <x:c r="P63" s="18" t="str">
        <x:v>피드를 점령한 릴스 포맷 4가지</x:v>
      </x:c>
      <x:c r="Q63" s="18" t="str">
        <x:v>https://gogumafarm.kr/%EC%97%B0%EA%B8%B0-%EC%B1%8C%EB%A6%B0%EC%A7%80-%EC%A3%BC%EC%88%A0-%ED%9A%8C%EC%A0%84%EC%83%B7-%ED%94%BC%EB%93%9C%EB%A5%BC-%EC%A0%90%EB%A0%B9%ED%95%9C-%EB%A6%B4%EC%8A%A4-%ED%8F%AC%EB%A7%B7-4%EA%B0%80/</x:v>
      </x:c>
      <x:c r="R63" s="18" t="str">
        <x:v>platform_search</x:v>
      </x:c>
      <x:c r="S63" s="18" t="str">
        <x:v>YouTube</x:v>
      </x:c>
      <x:c r="T63" s="19" t="n">
        <x:v>46246.625</x:v>
      </x:c>
      <x:c r="U63" s="18" t="str">
        <x:v>연기 챌린지 공개 동영상 검색 결과 관측</x:v>
      </x:c>
      <x:c r="V63" s="18" t="str">
        <x:v>https://www.youtube.com/results?search_query=%EC%97%B0%EA%B8%B0%20%EC%B1%8C%EB%A6%B0%EC%A7%80</x:v>
      </x:c>
      <x:c r="W63" s="18" t="str">
        <x:v>evidence_ready</x:v>
      </x:c>
      <x:c r="X63" s="18" t="str">
        <x:v>selected</x:v>
      </x:c>
      <x:c r="Y63" s="18" t="str"/>
      <x:c r="Z63" s="18" t="str"/>
      <x:c r="AA63" s="18" t="str">
        <x:v>독립 공개 근거 2개 이상, 관련 키워드 5개, 직접 역할 상장기업 3개를 확인해 완성 트렌드로 선정했다. 플랫폼 수치·주가 영향은 추정하지 않았다.</x:v>
      </x:c>
    </x:row>
    <x:row r="64">
      <x:c r="A64" s="18" t="n">
        <x:v>61</x:v>
      </x:c>
      <x:c r="B64" s="18" t="str">
        <x:v>kr_202606_ai_pun_shortform</x:v>
      </x:c>
      <x:c r="C64" s="18" t="str">
        <x:v>AI 말장난 숏폼</x:v>
      </x:c>
      <x:c r="D64" s="18" t="str">
        <x:v>[]</x:v>
      </x:c>
      <x:c r="E64" s="18" t="str">
        <x:v>culture_meme_challenge</x:v>
      </x:c>
      <x:c r="F64" s="18" t="str">
        <x:v>ai_content_format</x:v>
      </x:c>
      <x:c r="G64" s="19" t="n">
        <x:v>46174.625</x:v>
      </x:c>
      <x:c r="H64" s="18" t="str"/>
      <x:c r="I64" s="18" t="str"/>
      <x:c r="J64" s="18" t="str">
        <x:v>Y</x:v>
      </x:c>
      <x:c r="K64" s="18" t="str">
        <x:v>단어의 뜻을 비트는 말장난과 AI 합성 이미지를 결합한 숏폼 포맷이다.</x:v>
      </x:c>
      <x:c r="L64" s="18" t="str">
        <x:v>초기 조사: 공개 트렌드 원문에서 확산·참여 또는 콘텐츠 생성 맥락 확인</x:v>
      </x:c>
      <x:c r="M64" s="18" t="str">
        <x:v>other</x:v>
      </x:c>
      <x:c r="N64" s="18" t="str">
        <x:v>고구마팜</x:v>
      </x:c>
      <x:c r="O64" s="19" t="n">
        <x:v>46174.625</x:v>
      </x:c>
      <x:c r="P64" s="18" t="str">
        <x:v>피드를 점령한 릴스 포맷 4가지</x:v>
      </x:c>
      <x:c r="Q64" s="18" t="str">
        <x:v>https://gogumafarm.kr/%EC%97%B0%EA%B8%B0-%EC%B1%8C%EB%A6%B0%EC%A7%80-%EC%A3%BC%EC%88%A0-%ED%9A%8C%EC%A0%84%EC%83%B7-%ED%94%BC%EB%93%9C%EB%A5%BC-%EC%A0%90%EB%A0%B9%ED%95%9C-%EB%A6%B4%EC%8A%A4-%ED%8F%AC%EB%A7%B7-4%EA%B0%80/</x:v>
      </x:c>
      <x:c r="R64" s="18" t="str"/>
      <x:c r="S64" s="18" t="str"/>
      <x:c r="T64" s="19" t="n">
        <x:v>46174.625</x:v>
      </x:c>
      <x:c r="U64" s="18" t="str"/>
      <x:c r="V64" s="18" t="str"/>
      <x:c r="W64" s="18" t="str">
        <x:v>resolved_excluded</x:v>
      </x:c>
      <x:c r="X64" s="18" t="str">
        <x:v>excluded</x:v>
      </x:c>
      <x:c r="Y64" s="18" t="str">
        <x:v>근거 부족</x:v>
      </x:c>
      <x:c r="Z64" s="18" t="str"/>
      <x:c r="AA64" s="18" t="str">
        <x:v>두 번째 독립 공개 근거 또는 당시 확산을 입증할 자료가 부족해 트렌드에서 제외했다.</x:v>
      </x:c>
    </x:row>
    <x:row r="65">
      <x:c r="A65" s="18" t="n">
        <x:v>62</x:v>
      </x:c>
      <x:c r="B65" s="18" t="str">
        <x:v>kr_202606_top1_percent_pov</x:v>
      </x:c>
      <x:c r="C65" s="18" t="str">
        <x:v>POV 상위 1%의 삶</x:v>
      </x:c>
      <x:c r="D65" s="18" t="str">
        <x:v>[]</x:v>
      </x:c>
      <x:c r="E65" s="18" t="str">
        <x:v>culture_meme_challenge</x:v>
      </x:c>
      <x:c r="F65" s="18" t="str">
        <x:v>shortform_format</x:v>
      </x:c>
      <x:c r="G65" s="19" t="n">
        <x:v>46174.625</x:v>
      </x:c>
      <x:c r="H65" s="18" t="str"/>
      <x:c r="I65" s="18" t="str"/>
      <x:c r="J65" s="18" t="str">
        <x:v>Y</x:v>
      </x:c>
      <x:c r="K65" s="18" t="str">
        <x:v>비현실적 부유 일상을 저화질 합성으로 연출하는 POV 숏폼 포맷이다.</x:v>
      </x:c>
      <x:c r="L65" s="18" t="str">
        <x:v>초기 조사: 공개 트렌드 원문에서 확산·참여 또는 콘텐츠 생성 맥락 확인</x:v>
      </x:c>
      <x:c r="M65" s="18" t="str">
        <x:v>other</x:v>
      </x:c>
      <x:c r="N65" s="18" t="str">
        <x:v>고구마팜</x:v>
      </x:c>
      <x:c r="O65" s="19" t="n">
        <x:v>46174.625</x:v>
      </x:c>
      <x:c r="P65" s="18" t="str">
        <x:v>피드를 점령한 릴스 포맷 4가지</x:v>
      </x:c>
      <x:c r="Q65" s="18" t="str">
        <x:v>https://gogumafarm.kr/%EC%97%B0%EA%B8%B0-%EC%B1%8C%EB%A6%B0%EC%A7%80-%EC%A3%BC%EC%88%A0-%ED%9A%8C%EC%A0%84%EC%83%B7-%ED%94%BC%EB%93%9C%EB%A5%BC-%EC%A0%90%EB%A0%B9%ED%95%9C-%EB%A6%B4%EC%8A%A4-%ED%8F%AC%EB%A7%B7-4%EA%B0%80/</x:v>
      </x:c>
      <x:c r="R65" s="18" t="str"/>
      <x:c r="S65" s="18" t="str"/>
      <x:c r="T65" s="19" t="n">
        <x:v>46174.625</x:v>
      </x:c>
      <x:c r="U65" s="18" t="str"/>
      <x:c r="V65" s="18" t="str"/>
      <x:c r="W65" s="18" t="str">
        <x:v>resolved_excluded</x:v>
      </x:c>
      <x:c r="X65" s="18" t="str">
        <x:v>excluded</x:v>
      </x:c>
      <x:c r="Y65" s="18" t="str">
        <x:v>근거 부족</x:v>
      </x:c>
      <x:c r="Z65" s="18" t="str"/>
      <x:c r="AA65" s="18" t="str">
        <x:v>두 번째 독립 공개 근거 또는 당시 확산을 입증할 자료가 부족해 트렌드에서 제외했다.</x:v>
      </x:c>
    </x:row>
    <x:row r="66">
      <x:c r="A66" s="18" t="n">
        <x:v>63</x:v>
      </x:c>
      <x:c r="B66" s="18" t="str">
        <x:v>kr_202606_otaku_shot</x:v>
      </x:c>
      <x:c r="C66" s="18" t="str">
        <x:v>오타쿠샷</x:v>
      </x:c>
      <x:c r="D66" s="18" t="str">
        <x:v>[]</x:v>
      </x:c>
      <x:c r="E66" s="18" t="str">
        <x:v>culture_meme_challenge</x:v>
      </x:c>
      <x:c r="F66" s="18" t="str">
        <x:v>shortform_format</x:v>
      </x:c>
      <x:c r="G66" s="19" t="n">
        <x:v>46174.625</x:v>
      </x:c>
      <x:c r="H66" s="18" t="str"/>
      <x:c r="I66" s="18" t="str"/>
      <x:c r="J66" s="18" t="str">
        <x:v>Y</x:v>
      </x:c>
      <x:c r="K66" s="18" t="str">
        <x:v>애니메이션 포즈 뒤에 물건이 등장하도록 편집하는 숏폼 포맷이다.</x:v>
      </x:c>
      <x:c r="L66" s="18" t="str">
        <x:v>초기 조사: 공개 트렌드 원문에서 확산·참여 또는 콘텐츠 생성 맥락 확인</x:v>
      </x:c>
      <x:c r="M66" s="18" t="str">
        <x:v>other</x:v>
      </x:c>
      <x:c r="N66" s="18" t="str">
        <x:v>고구마팜</x:v>
      </x:c>
      <x:c r="O66" s="19" t="n">
        <x:v>46174.625</x:v>
      </x:c>
      <x:c r="P66" s="18" t="str">
        <x:v>피드를 점령한 릴스 포맷 4가지</x:v>
      </x:c>
      <x:c r="Q66" s="18" t="str">
        <x:v>https://gogumafarm.kr/%EC%97%B0%EA%B8%B0-%EC%B1%8C%EB%A6%B0%EC%A7%80-%EC%A3%BC%EC%88%A0-%ED%9A%8C%EC%A0%84%EC%83%B7-%ED%94%BC%EB%93%9C%EB%A5%BC-%EC%A0%90%EB%A0%B9%ED%95%9C-%EB%A6%B4%EC%8A%A4-%ED%8F%AC%EB%A7%B7-4%EA%B0%80/</x:v>
      </x:c>
      <x:c r="R66" s="18" t="str"/>
      <x:c r="S66" s="18" t="str"/>
      <x:c r="T66" s="19" t="n">
        <x:v>46174.625</x:v>
      </x:c>
      <x:c r="U66" s="18" t="str"/>
      <x:c r="V66" s="18" t="str"/>
      <x:c r="W66" s="18" t="str">
        <x:v>resolved_excluded</x:v>
      </x:c>
      <x:c r="X66" s="18" t="str">
        <x:v>excluded</x:v>
      </x:c>
      <x:c r="Y66" s="18" t="str">
        <x:v>근거 부족</x:v>
      </x:c>
      <x:c r="Z66" s="18" t="str"/>
      <x:c r="AA66" s="18" t="str">
        <x:v>두 번째 독립 공개 근거 또는 당시 확산을 입증할 자료가 부족해 트렌드에서 제외했다.</x:v>
      </x:c>
    </x:row>
    <x:row r="67">
      <x:c r="A67" s="18" t="n">
        <x:v>64</x:v>
      </x:c>
      <x:c r="B67" s="18" t="str">
        <x:v>kr_202606_niga_joha_challenge</x:v>
      </x:c>
      <x:c r="C67" s="18" t="str">
        <x:v>니가 좋아 챌린지</x:v>
      </x:c>
      <x:c r="D67" s="18" t="str">
        <x:v>[]</x:v>
      </x:c>
      <x:c r="E67" s="18" t="str">
        <x:v>content</x:v>
      </x:c>
      <x:c r="F67" s="18" t="str">
        <x:v>music_challenge</x:v>
      </x:c>
      <x:c r="G67" s="19" t="n">
        <x:v>46195.625</x:v>
      </x:c>
      <x:c r="H67" s="18" t="str"/>
      <x:c r="I67" s="18" t="str"/>
      <x:c r="J67" s="18" t="str">
        <x:v>Y</x:v>
      </x:c>
      <x:c r="K67" s="18" t="str">
        <x:v>영화 와일드 씽의 삽입곡 뮤직비디오 공개 후 립싱크 참여가 늘어난 사례다.</x:v>
      </x:c>
      <x:c r="L67" s="18" t="str">
        <x:v>초기 조사: 공개 트렌드 원문에서 확산·참여 또는 콘텐츠 생성 맥락 확인</x:v>
      </x:c>
      <x:c r="M67" s="18" t="str">
        <x:v>other</x:v>
      </x:c>
      <x:c r="N67" s="18" t="str">
        <x:v>고구마팜</x:v>
      </x:c>
      <x:c r="O67" s="19" t="n">
        <x:v>46195.625</x:v>
      </x:c>
      <x:c r="P67" s="18" t="str">
        <x:v>최신 유행 밈 모음</x:v>
      </x:c>
      <x:c r="Q67" s="18" t="str">
        <x:v>https://gogumafarm.kr/%EB%94%94%EC%98%A4-%EC%A3%BC%EA%B0%84-%EB%8B%88%EA%B0%80-%EC%A2%8B%EC%95%84-%EC%A7%80%EA%B8%88-%EB%8B%B9%EC%9E%A5-%EC%8D%A8%EC%95%BC%ED%95%98%EB%8A%94-%EC%B5%9C%EC%8B%A0-%EC%9C%A0%ED%96%89-%EB%B0%88/</x:v>
      </x:c>
      <x:c r="R67" s="18" t="str"/>
      <x:c r="S67" s="18" t="str"/>
      <x:c r="T67" s="19" t="n">
        <x:v>46195.625</x:v>
      </x:c>
      <x:c r="U67" s="18" t="str"/>
      <x:c r="V67" s="18" t="str"/>
      <x:c r="W67" s="18" t="str">
        <x:v>resolved_excluded</x:v>
      </x:c>
      <x:c r="X67" s="18" t="str">
        <x:v>excluded</x:v>
      </x:c>
      <x:c r="Y67" s="18" t="str">
        <x:v>근거 부족</x:v>
      </x:c>
      <x:c r="Z67" s="18" t="str"/>
      <x:c r="AA67" s="18" t="str">
        <x:v>두 번째 독립 공개 근거 또는 당시 확산을 입증할 자료가 부족해 트렌드에서 제외했다.</x:v>
      </x:c>
    </x:row>
    <x:row r="68">
      <x:c r="A68" s="18" t="n">
        <x:v>65</x:v>
      </x:c>
      <x:c r="B68" s="18" t="str">
        <x:v>kr_202606_parapara_oide</x:v>
      </x:c>
      <x:c r="C68" s="18" t="str">
        <x:v>파라파라 오이데</x:v>
      </x:c>
      <x:c r="D68" s="18" t="str">
        <x:v>[]</x:v>
      </x:c>
      <x:c r="E68" s="18" t="str">
        <x:v>culture_meme_challenge</x:v>
      </x:c>
      <x:c r="F68" s="18" t="str">
        <x:v>dance_meme</x:v>
      </x:c>
      <x:c r="G68" s="19" t="n">
        <x:v>46195.625</x:v>
      </x:c>
      <x:c r="H68" s="18" t="str"/>
      <x:c r="I68" s="18" t="str"/>
      <x:c r="J68" s="18" t="str">
        <x:v>Y</x:v>
      </x:c>
      <x:c r="K68" s="18" t="str">
        <x:v>리센느 콘텐츠 속 파라파라 춤과 ‘오이데’ 발화가 결합해 확산된 밈이다.</x:v>
      </x:c>
      <x:c r="L68" s="18" t="str">
        <x:v>초기 조사: 공개 트렌드 원문에서 확산·참여 또는 콘텐츠 생성 맥락 확인</x:v>
      </x:c>
      <x:c r="M68" s="18" t="str">
        <x:v>other</x:v>
      </x:c>
      <x:c r="N68" s="18" t="str">
        <x:v>고구마팜</x:v>
      </x:c>
      <x:c r="O68" s="19" t="n">
        <x:v>46195.625</x:v>
      </x:c>
      <x:c r="P68" s="18" t="str">
        <x:v>최신 유행 밈 모음</x:v>
      </x:c>
      <x:c r="Q68" s="18" t="str">
        <x:v>https://gogumafarm.kr/%EB%94%94%EC%98%A4-%EC%A3%BC%EA%B0%84-%EB%8B%88%EA%B0%80-%EC%A2%8B%EC%95%84-%EC%A7%80%EA%B8%88-%EB%8B%B9%EC%9E%A5-%EC%8D%A8%EC%95%BC%ED%95%98%EB%8A%94-%EC%B5%9C%EC%8B%A0-%EC%9C%A0%ED%96%89-%EB%B0%88/</x:v>
      </x:c>
      <x:c r="R68" s="18" t="str"/>
      <x:c r="S68" s="18" t="str"/>
      <x:c r="T68" s="19" t="n">
        <x:v>46195.625</x:v>
      </x:c>
      <x:c r="U68" s="18" t="str"/>
      <x:c r="V68" s="18" t="str"/>
      <x:c r="W68" s="18" t="str">
        <x:v>resolved_excluded</x:v>
      </x:c>
      <x:c r="X68" s="18" t="str">
        <x:v>excluded</x:v>
      </x:c>
      <x:c r="Y68" s="18" t="str">
        <x:v>근거 부족</x:v>
      </x:c>
      <x:c r="Z68" s="18" t="str"/>
      <x:c r="AA68" s="18" t="str">
        <x:v>두 번째 독립 공개 근거 또는 당시 확산을 입증할 자료가 부족해 트렌드에서 제외했다.</x:v>
      </x:c>
    </x:row>
    <x:row r="69">
      <x:c r="A69" s="18" t="n">
        <x:v>66</x:v>
      </x:c>
      <x:c r="B69" s="18" t="str">
        <x:v>kr_202606_ttiroriri_remix</x:v>
      </x:c>
      <x:c r="C69" s="18" t="str">
        <x:v>띠로리리 리믹스 밈</x:v>
      </x:c>
      <x:c r="D69" s="18" t="str">
        <x:v>[]</x:v>
      </x:c>
      <x:c r="E69" s="18" t="str">
        <x:v>content</x:v>
      </x:c>
      <x:c r="F69" s="18" t="str">
        <x:v>music_meme</x:v>
      </x:c>
      <x:c r="G69" s="19" t="n">
        <x:v>46195.625</x:v>
      </x:c>
      <x:c r="H69" s="18" t="str"/>
      <x:c r="I69" s="18" t="str"/>
      <x:c r="J69" s="18" t="str">
        <x:v>Y</x:v>
      </x:c>
      <x:c r="K69" s="18" t="str">
        <x:v>미야오의 띠로리를 클래식 곡과 섞어 재해석한 영상 포맷이 화제가 된 사례다.</x:v>
      </x:c>
      <x:c r="L69" s="18" t="str">
        <x:v>초기 조사: 공개 트렌드 원문에서 확산·참여 또는 콘텐츠 생성 맥락 확인</x:v>
      </x:c>
      <x:c r="M69" s="18" t="str">
        <x:v>other</x:v>
      </x:c>
      <x:c r="N69" s="18" t="str">
        <x:v>고구마팜</x:v>
      </x:c>
      <x:c r="O69" s="19" t="n">
        <x:v>46195.625</x:v>
      </x:c>
      <x:c r="P69" s="18" t="str">
        <x:v>최신 유행 밈 모음</x:v>
      </x:c>
      <x:c r="Q69" s="18" t="str">
        <x:v>https://gogumafarm.kr/%EB%94%94%EC%98%A4-%EC%A3%BC%EA%B0%84-%EB%8B%88%EA%B0%80-%EC%A2%8B%EC%95%84-%EC%A7%80%EA%B8%88-%EB%8B%B9%EC%9E%A5-%EC%8D%A8%EC%95%BC%ED%95%98%EB%8A%94-%EC%B5%9C%EC%8B%A0-%EC%9C%A0%ED%96%89-%EB%B0%88/</x:v>
      </x:c>
      <x:c r="R69" s="18" t="str"/>
      <x:c r="S69" s="18" t="str"/>
      <x:c r="T69" s="19" t="n">
        <x:v>46195.625</x:v>
      </x:c>
      <x:c r="U69" s="18" t="str"/>
      <x:c r="V69" s="18" t="str"/>
      <x:c r="W69" s="18" t="str">
        <x:v>resolved_excluded</x:v>
      </x:c>
      <x:c r="X69" s="18" t="str">
        <x:v>excluded</x:v>
      </x:c>
      <x:c r="Y69" s="18" t="str">
        <x:v>근거 부족</x:v>
      </x:c>
      <x:c r="Z69" s="18" t="str"/>
      <x:c r="AA69" s="18" t="str">
        <x:v>두 번째 독립 공개 근거 또는 당시 확산을 입증할 자료가 부족해 트렌드에서 제외했다.</x:v>
      </x:c>
    </x:row>
    <x:row r="70">
      <x:c r="A70" s="18" t="n">
        <x:v>67</x:v>
      </x:c>
      <x:c r="B70" s="18" t="str">
        <x:v>kr_202605_fruit_mousse_cake</x:v>
      </x:c>
      <x:c r="C70" s="18" t="str">
        <x:v>과일 무스 케이크</x:v>
      </x:c>
      <x:c r="D70" s="18" t="str">
        <x:v>[]</x:v>
      </x:c>
      <x:c r="E70" s="18" t="str">
        <x:v>food</x:v>
      </x:c>
      <x:c r="F70" s="18" t="str">
        <x:v>dessert</x:v>
      </x:c>
      <x:c r="G70" s="19" t="n">
        <x:v>46169.625</x:v>
      </x:c>
      <x:c r="H70" s="18" t="str"/>
      <x:c r="I70" s="18" t="str"/>
      <x:c r="J70" s="18" t="str">
        <x:v>Y</x:v>
      </x:c>
      <x:c r="K70" s="18" t="str">
        <x:v>실제 과일 같은 외형과 절단 ASMR이 국내 판매·후기 콘텐츠로 이어진 사례다.</x:v>
      </x:c>
      <x:c r="L70" s="18" t="str">
        <x:v>초기 조사: 공개 트렌드 원문에서 확산·참여 또는 콘텐츠 생성 맥락 확인</x:v>
      </x:c>
      <x:c r="M70" s="18" t="str">
        <x:v>other</x:v>
      </x:c>
      <x:c r="N70" s="18" t="str">
        <x:v>고구마팜</x:v>
      </x:c>
      <x:c r="O70" s="19" t="n">
        <x:v>46169.625</x:v>
      </x:c>
      <x:c r="P70" s="18" t="str">
        <x:v>최신 F&amp;B 트렌드</x:v>
      </x:c>
      <x:c r="Q70" s="18" t="str">
        <x:v>https://gogumafarm.kr/%EB%B9%84%EC%A3%BC%EC%96%BC%EB%B6%80%ED%84%B0-asmr%EA%B9%8C%EC%A7%80-%EC%98%A4%EA%B0%90%EC%9D%84-%EB%AA%A8%EB%91%90-%EB%A7%8C%EC%A1%B1%EC%8B%9C%ED%82%A4%EB%8A%94-%EC%B5%9C%EC%8B%A0-fb-%ED%8A%B8/</x:v>
      </x:c>
      <x:c r="R70" s="18" t="str"/>
      <x:c r="S70" s="18" t="str"/>
      <x:c r="T70" s="19" t="n">
        <x:v>46169.625</x:v>
      </x:c>
      <x:c r="U70" s="18" t="str"/>
      <x:c r="V70" s="18" t="str"/>
      <x:c r="W70" s="18" t="str">
        <x:v>resolved_excluded</x:v>
      </x:c>
      <x:c r="X70" s="18" t="str">
        <x:v>excluded</x:v>
      </x:c>
      <x:c r="Y70" s="18" t="str">
        <x:v>근거 부족</x:v>
      </x:c>
      <x:c r="Z70" s="18" t="str"/>
      <x:c r="AA70" s="18" t="str">
        <x:v>두 번째 독립 공개 근거 또는 당시 확산을 입증할 자료가 부족해 트렌드에서 제외했다.</x:v>
      </x:c>
    </x:row>
    <x:row r="71">
      <x:c r="A71" s="18" t="n">
        <x:v>68</x:v>
      </x:c>
      <x:c r="B71" s="18" t="str">
        <x:v>kr_202605_kukudas_strawberry_sand</x:v>
      </x:c>
      <x:c r="C71" s="18" t="str">
        <x:v>쿠크다스 딸기 샌드</x:v>
      </x:c>
      <x:c r="D71" s="18" t="str">
        <x:v>[]</x:v>
      </x:c>
      <x:c r="E71" s="18" t="str">
        <x:v>food</x:v>
      </x:c>
      <x:c r="F71" s="18" t="str">
        <x:v>dessert_recipe</x:v>
      </x:c>
      <x:c r="G71" s="19" t="n">
        <x:v>46169.625</x:v>
      </x:c>
      <x:c r="H71" s="18" t="str"/>
      <x:c r="I71" s="18" t="str"/>
      <x:c r="J71" s="18" t="str">
        <x:v>Y</x:v>
      </x:c>
      <x:c r="K71" s="18" t="str">
        <x:v>쿠크다스·생크림·딸기로 만드는 홈카페 레시피가 인스타그램에서 확산된 사례다.</x:v>
      </x:c>
      <x:c r="L71" s="18" t="str">
        <x:v>초기 조사: 공개 트렌드 원문에서 확산·참여 또는 콘텐츠 생성 맥락 확인</x:v>
      </x:c>
      <x:c r="M71" s="18" t="str">
        <x:v>other</x:v>
      </x:c>
      <x:c r="N71" s="18" t="str">
        <x:v>고구마팜</x:v>
      </x:c>
      <x:c r="O71" s="19" t="n">
        <x:v>46169.625</x:v>
      </x:c>
      <x:c r="P71" s="18" t="str">
        <x:v>최신 F&amp;B 트렌드</x:v>
      </x:c>
      <x:c r="Q71" s="18" t="str">
        <x:v>https://gogumafarm.kr/%EB%B9%84%EC%A3%BC%EC%96%BC%EB%B6%80%ED%84%B0-asmr%EA%B9%8C%EC%A7%80-%EC%98%A4%EA%B0%90%EC%9D%84-%EB%AA%A8%EB%91%90-%EB%A7%8C%EC%A1%B1%EC%8B%9C%ED%82%A4%EB%8A%94-%EC%B5%9C%EC%8B%A0-fb-%ED%8A%B8/</x:v>
      </x:c>
      <x:c r="R71" s="18" t="str"/>
      <x:c r="S71" s="18" t="str"/>
      <x:c r="T71" s="19" t="n">
        <x:v>46169.625</x:v>
      </x:c>
      <x:c r="U71" s="18" t="str"/>
      <x:c r="V71" s="18" t="str"/>
      <x:c r="W71" s="18" t="str">
        <x:v>resolved_excluded</x:v>
      </x:c>
      <x:c r="X71" s="18" t="str">
        <x:v>excluded</x:v>
      </x:c>
      <x:c r="Y71" s="18" t="str">
        <x:v>근거 부족</x:v>
      </x:c>
      <x:c r="Z71" s="18" t="str"/>
      <x:c r="AA71" s="18" t="str">
        <x:v>두 번째 독립 공개 근거 또는 당시 확산을 입증할 자료가 부족해 트렌드에서 제외했다.</x:v>
      </x:c>
    </x:row>
    <x:row r="72">
      <x:c r="A72" s="18" t="n">
        <x:v>69</x:v>
      </x:c>
      <x:c r="B72" s="18" t="str">
        <x:v>kr_202605_eton_mess</x:v>
      </x:c>
      <x:c r="C72" s="18" t="str">
        <x:v>이튼메스</x:v>
      </x:c>
      <x:c r="D72" s="18" t="str">
        <x:v>[]</x:v>
      </x:c>
      <x:c r="E72" s="18" t="str">
        <x:v>food</x:v>
      </x:c>
      <x:c r="F72" s="18" t="str">
        <x:v>dessert_recipe</x:v>
      </x:c>
      <x:c r="G72" s="19" t="n">
        <x:v>46169.625</x:v>
      </x:c>
      <x:c r="H72" s="18" t="str"/>
      <x:c r="I72" s="18" t="str"/>
      <x:c r="J72" s="18" t="str">
        <x:v>Y</x:v>
      </x:c>
      <x:c r="K72" s="18" t="str">
        <x:v>영국식 머랭 디저트가 국내 레시피 콘텐츠로 재해석된 사례다.</x:v>
      </x:c>
      <x:c r="L72" s="18" t="str">
        <x:v>초기 조사: 공개 트렌드 원문에서 확산·참여 또는 콘텐츠 생성 맥락 확인</x:v>
      </x:c>
      <x:c r="M72" s="18" t="str">
        <x:v>other</x:v>
      </x:c>
      <x:c r="N72" s="18" t="str">
        <x:v>고구마팜</x:v>
      </x:c>
      <x:c r="O72" s="19" t="n">
        <x:v>46169.625</x:v>
      </x:c>
      <x:c r="P72" s="18" t="str">
        <x:v>최신 F&amp;B 트렌드</x:v>
      </x:c>
      <x:c r="Q72" s="18" t="str">
        <x:v>https://gogumafarm.kr/%EB%B9%84%EC%A3%BC%EC%96%BC%EB%B6%80%ED%84%B0-asmr%EA%B9%8C%EC%A7%80-%EC%98%A4%EA%B0%90%EC%9D%84-%EB%AA%A8%EB%91%90-%EB%A7%8C%EC%A1%B1%EC%8B%9C%ED%82%A4%EB%8A%94-%EC%B5%9C%EC%8B%A0-fb-%ED%8A%B8/</x:v>
      </x:c>
      <x:c r="R72" s="18" t="str"/>
      <x:c r="S72" s="18" t="str"/>
      <x:c r="T72" s="19" t="n">
        <x:v>46169.625</x:v>
      </x:c>
      <x:c r="U72" s="18" t="str"/>
      <x:c r="V72" s="18" t="str"/>
      <x:c r="W72" s="18" t="str">
        <x:v>resolved_excluded</x:v>
      </x:c>
      <x:c r="X72" s="18" t="str">
        <x:v>excluded</x:v>
      </x:c>
      <x:c r="Y72" s="18" t="str">
        <x:v>근거 부족</x:v>
      </x:c>
      <x:c r="Z72" s="18" t="str"/>
      <x:c r="AA72" s="18" t="str">
        <x:v>두 번째 독립 공개 근거 또는 당시 확산을 입증할 자료가 부족해 트렌드에서 제외했다.</x:v>
      </x:c>
    </x:row>
    <x:row r="73">
      <x:c r="A73" s="18" t="n">
        <x:v>70</x:v>
      </x:c>
      <x:c r="B73" s="18" t="str">
        <x:v>kr_202605_buldak_naengmyeon</x:v>
      </x:c>
      <x:c r="C73" s="18" t="str">
        <x:v>불닭 냉면</x:v>
      </x:c>
      <x:c r="D73" s="18" t="str">
        <x:v>[]</x:v>
      </x:c>
      <x:c r="E73" s="18" t="str">
        <x:v>food</x:v>
      </x:c>
      <x:c r="F73" s="18" t="str">
        <x:v>viral_recipe</x:v>
      </x:c>
      <x:c r="G73" s="19" t="n">
        <x:v>46169.625</x:v>
      </x:c>
      <x:c r="H73" s="18" t="str"/>
      <x:c r="I73" s="18" t="str"/>
      <x:c r="J73" s="18" t="str">
        <x:v>Y</x:v>
      </x:c>
      <x:c r="K73" s="18" t="str">
        <x:v>불닭볶음면과 냉면 육수를 조합한 레시피가 토핑 변주와 함께 재확산된 사례다.</x:v>
      </x:c>
      <x:c r="L73" s="18" t="str">
        <x:v>초기 조사: 공개 트렌드 원문에서 확산·참여 또는 콘텐츠 생성 맥락 확인</x:v>
      </x:c>
      <x:c r="M73" s="18" t="str">
        <x:v>other</x:v>
      </x:c>
      <x:c r="N73" s="18" t="str">
        <x:v>고구마팜</x:v>
      </x:c>
      <x:c r="O73" s="19" t="n">
        <x:v>46169.625</x:v>
      </x:c>
      <x:c r="P73" s="18" t="str">
        <x:v>최신 F&amp;B 트렌드</x:v>
      </x:c>
      <x:c r="Q73" s="18" t="str">
        <x:v>https://gogumafarm.kr/%EB%B9%84%EC%A3%BC%EC%96%BC%EB%B6%80%ED%84%B0-asmr%EA%B9%8C%EC%A7%80-%EC%98%A4%EA%B0%90%EC%9D%84-%EB%AA%A8%EB%91%90-%EB%A7%8C%EC%A1%B1%EC%8B%9C%ED%82%A4%EB%8A%94-%EC%B5%9C%EC%8B%A0-fb-%ED%8A%B8/</x:v>
      </x:c>
      <x:c r="R73" s="18" t="str"/>
      <x:c r="S73" s="18" t="str"/>
      <x:c r="T73" s="19" t="n">
        <x:v>46169.625</x:v>
      </x:c>
      <x:c r="U73" s="18" t="str"/>
      <x:c r="V73" s="18" t="str"/>
      <x:c r="W73" s="18" t="str">
        <x:v>resolved_excluded</x:v>
      </x:c>
      <x:c r="X73" s="18" t="str">
        <x:v>excluded</x:v>
      </x:c>
      <x:c r="Y73" s="18" t="str">
        <x:v>근거 부족</x:v>
      </x:c>
      <x:c r="Z73" s="18" t="str"/>
      <x:c r="AA73" s="18" t="str">
        <x:v>두 번째 독립 공개 근거 또는 당시 확산을 입증할 자료가 부족해 트렌드에서 제외했다.</x:v>
      </x:c>
    </x:row>
    <x:row r="74">
      <x:c r="A74" s="18" t="n">
        <x:v>71</x:v>
      </x:c>
      <x:c r="B74" s="18" t="str">
        <x:v>kr_202605_yukgaejang_naengmyeon</x:v>
      </x:c>
      <x:c r="C74" s="18" t="str">
        <x:v>육개장 냉면</x:v>
      </x:c>
      <x:c r="D74" s="18" t="str">
        <x:v>[]</x:v>
      </x:c>
      <x:c r="E74" s="18" t="str">
        <x:v>food</x:v>
      </x:c>
      <x:c r="F74" s="18" t="str">
        <x:v>viral_recipe</x:v>
      </x:c>
      <x:c r="G74" s="19" t="n">
        <x:v>46169.625</x:v>
      </x:c>
      <x:c r="H74" s="18" t="str"/>
      <x:c r="I74" s="18" t="str"/>
      <x:c r="J74" s="18" t="str">
        <x:v>Y</x:v>
      </x:c>
      <x:c r="K74" s="18" t="str">
        <x:v>육개장사발면을 활용한 냉면형 레시피가 불닭 냉면과 함께 파생 레시피로 소개된 사례다.</x:v>
      </x:c>
      <x:c r="L74" s="18" t="str">
        <x:v>초기 조사: 공개 트렌드 원문에서 확산·참여 또는 콘텐츠 생성 맥락 확인</x:v>
      </x:c>
      <x:c r="M74" s="18" t="str">
        <x:v>other</x:v>
      </x:c>
      <x:c r="N74" s="18" t="str">
        <x:v>고구마팜</x:v>
      </x:c>
      <x:c r="O74" s="19" t="n">
        <x:v>46169.625</x:v>
      </x:c>
      <x:c r="P74" s="18" t="str">
        <x:v>최신 F&amp;B 트렌드</x:v>
      </x:c>
      <x:c r="Q74" s="18" t="str">
        <x:v>https://gogumafarm.kr/%EB%B9%84%EC%A3%BC%EC%96%BC%EB%B6%80%ED%84%B0-asmr%EA%B9%8C%EC%A7%80-%EC%98%A4%EA%B0%90%EC%9D%84-%EB%AA%A8%EB%91%90-%EB%A7%8C%EC%A1%B1%EC%8B%9C%ED%82%A4%EB%8A%94-%EC%B5%9C%EC%8B%A0-fb-%ED%8A%B8/</x:v>
      </x:c>
      <x:c r="R74" s="18" t="str"/>
      <x:c r="S74" s="18" t="str"/>
      <x:c r="T74" s="19" t="n">
        <x:v>46169.625</x:v>
      </x:c>
      <x:c r="U74" s="18" t="str"/>
      <x:c r="V74" s="18" t="str"/>
      <x:c r="W74" s="18" t="str">
        <x:v>resolved_excluded</x:v>
      </x:c>
      <x:c r="X74" s="18" t="str">
        <x:v>excluded</x:v>
      </x:c>
      <x:c r="Y74" s="18" t="str">
        <x:v>근거 부족</x:v>
      </x:c>
      <x:c r="Z74" s="18" t="str"/>
      <x:c r="AA74" s="18" t="str">
        <x:v>두 번째 독립 공개 근거 또는 당시 확산을 입증할 자료가 부족해 트렌드에서 제외했다.</x:v>
      </x:c>
    </x:row>
    <x:row r="75">
      <x:c r="A75" s="18" t="n">
        <x:v>72</x:v>
      </x:c>
      <x:c r="B75" s="18" t="str">
        <x:v>kr_202605_x_emoji_touch_format</x:v>
      </x:c>
      <x:c r="C75" s="18" t="str">
        <x:v>이모지를 터치하면 나타나요</x:v>
      </x:c>
      <x:c r="D75" s="18" t="str">
        <x:v>[]</x:v>
      </x:c>
      <x:c r="E75" s="18" t="str">
        <x:v>culture_meme_challenge</x:v>
      </x:c>
      <x:c r="F75" s="18" t="str">
        <x:v>social_format</x:v>
      </x:c>
      <x:c r="G75" s="19" t="n">
        <x:v>46167.625</x:v>
      </x:c>
      <x:c r="H75" s="18" t="str"/>
      <x:c r="I75" s="18" t="str"/>
      <x:c r="J75" s="18" t="str">
        <x:v>Y</x:v>
      </x:c>
      <x:c r="K75" s="18" t="str">
        <x:v>X의 타래 노출 구조를 활용한 클릭 유도형 게시물 포맷이다.</x:v>
      </x:c>
      <x:c r="L75" s="18" t="str">
        <x:v>초기 조사: 공개 트렌드 원문에서 확산·참여 또는 콘텐츠 생성 맥락 확인</x:v>
      </x:c>
      <x:c r="M75" s="18" t="str">
        <x:v>other</x:v>
      </x:c>
      <x:c r="N75" s="18" t="str">
        <x:v>고구마팜</x:v>
      </x:c>
      <x:c r="O75" s="19" t="n">
        <x:v>46167.625</x:v>
      </x:c>
      <x:c r="P75" s="18" t="str">
        <x:v>요즘 핫한 엑스 밈 3가지</x:v>
      </x:c>
      <x:c r="Q75" s="18" t="str">
        <x:v>https://gogumafarm.kr/rt%EB%A5%BC-%EB%B6%80%EB%A5%B4%EB%8A%94-%EC%9A%94%EC%A6%98-%ED%95%AB%ED%95%9C-%EC%97%91%EC%8A%A4-%EB%B0%88-3%EA%B0%80%EC%A7%80-%EC%95%8C%EB%A0%A4%EB%93%9C%EB%A6%BC/</x:v>
      </x:c>
      <x:c r="R75" s="18" t="str"/>
      <x:c r="S75" s="18" t="str"/>
      <x:c r="T75" s="19" t="n">
        <x:v>46167.625</x:v>
      </x:c>
      <x:c r="U75" s="18" t="str"/>
      <x:c r="V75" s="18" t="str"/>
      <x:c r="W75" s="18" t="str">
        <x:v>resolved_excluded</x:v>
      </x:c>
      <x:c r="X75" s="18" t="str">
        <x:v>excluded</x:v>
      </x:c>
      <x:c r="Y75" s="18" t="str">
        <x:v>근거 부족</x:v>
      </x:c>
      <x:c r="Z75" s="18" t="str"/>
      <x:c r="AA75" s="18" t="str">
        <x:v>두 번째 독립 공개 근거 또는 당시 확산을 입증할 자료가 부족해 트렌드에서 제외했다.</x:v>
      </x:c>
    </x:row>
    <x:row r="76">
      <x:c r="A76" s="18" t="n">
        <x:v>73</x:v>
      </x:c>
      <x:c r="B76" s="18" t="str">
        <x:v>kr_202605_two_color_association</x:v>
      </x:c>
      <x:c r="C76" s="18" t="str">
        <x:v>두 색 연상 밈</x:v>
      </x:c>
      <x:c r="D76" s="18" t="str">
        <x:v>[]</x:v>
      </x:c>
      <x:c r="E76" s="18" t="str">
        <x:v>culture_meme_challenge</x:v>
      </x:c>
      <x:c r="F76" s="18" t="str">
        <x:v>social_format</x:v>
      </x:c>
      <x:c r="G76" s="19" t="n">
        <x:v>46167.625</x:v>
      </x:c>
      <x:c r="H76" s="18" t="str"/>
      <x:c r="I76" s="18" t="str"/>
      <x:c r="J76" s="18" t="str">
        <x:v>Y</x:v>
      </x:c>
      <x:c r="K76" s="18" t="str">
        <x:v>두 색을 제시하고 연상 대상을 답하게 하는 인용·댓글 참여 포맷이다.</x:v>
      </x:c>
      <x:c r="L76" s="18" t="str">
        <x:v>초기 조사: 공개 트렌드 원문에서 확산·참여 또는 콘텐츠 생성 맥락 확인</x:v>
      </x:c>
      <x:c r="M76" s="18" t="str">
        <x:v>other</x:v>
      </x:c>
      <x:c r="N76" s="18" t="str">
        <x:v>고구마팜</x:v>
      </x:c>
      <x:c r="O76" s="19" t="n">
        <x:v>46167.625</x:v>
      </x:c>
      <x:c r="P76" s="18" t="str">
        <x:v>요즘 핫한 엑스 밈 3가지</x:v>
      </x:c>
      <x:c r="Q76" s="18" t="str">
        <x:v>https://gogumafarm.kr/rt%EB%A5%BC-%EB%B6%80%EB%A5%B4%EB%8A%94-%EC%9A%94%EC%A6%98-%ED%95%AB%ED%95%9C-%EC%97%91%EC%8A%A4-%EB%B0%88-3%EA%B0%80%EC%A7%80-%EC%95%8C%EB%A0%A4%EB%93%9C%EB%A6%BC/</x:v>
      </x:c>
      <x:c r="R76" s="18" t="str"/>
      <x:c r="S76" s="18" t="str"/>
      <x:c r="T76" s="19" t="n">
        <x:v>46167.625</x:v>
      </x:c>
      <x:c r="U76" s="18" t="str"/>
      <x:c r="V76" s="18" t="str"/>
      <x:c r="W76" s="18" t="str">
        <x:v>resolved_excluded</x:v>
      </x:c>
      <x:c r="X76" s="18" t="str">
        <x:v>excluded</x:v>
      </x:c>
      <x:c r="Y76" s="18" t="str">
        <x:v>근거 부족</x:v>
      </x:c>
      <x:c r="Z76" s="18" t="str"/>
      <x:c r="AA76" s="18" t="str">
        <x:v>두 번째 독립 공개 근거 또는 당시 확산을 입증할 자료가 부족해 트렌드에서 제외했다.</x:v>
      </x:c>
    </x:row>
    <x:row r="77">
      <x:c r="A77" s="18" t="n">
        <x:v>74</x:v>
      </x:c>
      <x:c r="B77" s="18" t="str">
        <x:v>kr_202605_figurine_silhouette_photo</x:v>
      </x:c>
      <x:c r="C77" s="18" t="str">
        <x:v>피규어 실루엣 사진</x:v>
      </x:c>
      <x:c r="D77" s="18" t="str">
        <x:v>[]</x:v>
      </x:c>
      <x:c r="E77" s="18" t="str">
        <x:v>culture_meme_challenge</x:v>
      </x:c>
      <x:c r="F77" s="18" t="str">
        <x:v>photo_format</x:v>
      </x:c>
      <x:c r="G77" s="19" t="n">
        <x:v>46167.625</x:v>
      </x:c>
      <x:c r="H77" s="18" t="str"/>
      <x:c r="I77" s="18" t="str"/>
      <x:c r="J77" s="18" t="str">
        <x:v>Y</x:v>
      </x:c>
      <x:c r="K77" s="18" t="str">
        <x:v>조명과 피규어 그림자를 활용해 촬영하는 사진 포맷이다.</x:v>
      </x:c>
      <x:c r="L77" s="18" t="str">
        <x:v>초기 조사: 공개 트렌드 원문에서 확산·참여 또는 콘텐츠 생성 맥락 확인</x:v>
      </x:c>
      <x:c r="M77" s="18" t="str">
        <x:v>other</x:v>
      </x:c>
      <x:c r="N77" s="18" t="str">
        <x:v>고구마팜</x:v>
      </x:c>
      <x:c r="O77" s="19" t="n">
        <x:v>46167.625</x:v>
      </x:c>
      <x:c r="P77" s="18" t="str">
        <x:v>요즘 핫한 엑스 밈 3가지</x:v>
      </x:c>
      <x:c r="Q77" s="18" t="str">
        <x:v>https://gogumafarm.kr/rt%EB%A5%BC-%EB%B6%80%EB%A5%B4%EB%8A%94-%EC%9A%94%EC%A6%98-%ED%95%AB%ED%95%9C-%EC%97%91%EC%8A%A4-%EB%B0%88-3%EA%B0%80%EC%A7%80-%EC%95%8C%EB%A0%A4%EB%93%9C%EB%A6%BC/</x:v>
      </x:c>
      <x:c r="R77" s="18" t="str"/>
      <x:c r="S77" s="18" t="str"/>
      <x:c r="T77" s="19" t="n">
        <x:v>46167.625</x:v>
      </x:c>
      <x:c r="U77" s="18" t="str"/>
      <x:c r="V77" s="18" t="str"/>
      <x:c r="W77" s="18" t="str">
        <x:v>resolved_excluded</x:v>
      </x:c>
      <x:c r="X77" s="18" t="str">
        <x:v>excluded</x:v>
      </x:c>
      <x:c r="Y77" s="18" t="str">
        <x:v>근거 부족</x:v>
      </x:c>
      <x:c r="Z77" s="18" t="str"/>
      <x:c r="AA77" s="18" t="str">
        <x:v>두 번째 독립 공개 근거 또는 당시 확산을 입증할 자료가 부족해 트렌드에서 제외했다.</x:v>
      </x:c>
    </x:row>
    <x:row r="78">
      <x:c r="A78" s="18" t="n">
        <x:v>75</x:v>
      </x:c>
      <x:c r="B78" s="18" t="str">
        <x:v>kr_202605_king_lives_man_parody</x:v>
      </x:c>
      <x:c r="C78" s="18" t="str">
        <x:v>왕과 사는 남자 패러디</x:v>
      </x:c>
      <x:c r="D78" s="18" t="str">
        <x:v>[]</x:v>
      </x:c>
      <x:c r="E78" s="18" t="str">
        <x:v>content</x:v>
      </x:c>
      <x:c r="F78" s="18" t="str">
        <x:v>film_meme</x:v>
      </x:c>
      <x:c r="G78" s="19" t="n">
        <x:v>46216.625</x:v>
      </x:c>
      <x:c r="H78" s="18" t="str"/>
      <x:c r="I78" s="18" t="str">
        <x:v>Y</x:v>
      </x:c>
      <x:c r="J78" s="18" t="str">
        <x:v>Y</x:v>
      </x:c>
      <x:c r="K78" s="18" t="str">
        <x:v>영화의 대사·분위기를 패러디한 공공기관 숏폼이 화제가 된 사례다.</x:v>
      </x:c>
      <x:c r="L78" s="18" t="str">
        <x:v>초기 조사: 공개 트렌드 원문에서 확산·참여 또는 콘텐츠 생성 맥락 확인</x:v>
      </x:c>
      <x:c r="M78" s="18" t="str">
        <x:v>other</x:v>
      </x:c>
      <x:c r="N78" s="18" t="str">
        <x:v>아이보스</x:v>
      </x:c>
      <x:c r="O78" s="19" t="n">
        <x:v>46216.625</x:v>
      </x:c>
      <x:c r="P78" s="18" t="str">
        <x:v>2026 상반기 밈 SNS 활용 사례</x:v>
      </x:c>
      <x:c r="Q78" s="18" t="str">
        <x:v>https://www.i-boss.co.kr/ab-74668-5824</x:v>
      </x:c>
      <x:c r="R78" s="18" t="str"/>
      <x:c r="S78" s="18" t="str"/>
      <x:c r="T78" s="19" t="n">
        <x:v>46216.625</x:v>
      </x:c>
      <x:c r="U78" s="18" t="str"/>
      <x:c r="V78" s="18" t="str"/>
      <x:c r="W78" s="18" t="str">
        <x:v>resolved_excluded</x:v>
      </x:c>
      <x:c r="X78" s="18" t="str">
        <x:v>excluded</x:v>
      </x:c>
      <x:c r="Y78" s="18" t="str">
        <x:v>근거 부족</x:v>
      </x:c>
      <x:c r="Z78" s="18" t="str"/>
      <x:c r="AA78" s="18" t="str">
        <x:v>두 번째 독립 공개 근거 또는 당시 확산을 입증할 자료가 부족해 트렌드에서 제외했다.</x:v>
      </x:c>
    </x:row>
    <x:row r="79">
      <x:c r="A79" s="18" t="n">
        <x:v>76</x:v>
      </x:c>
      <x:c r="B79" s="18" t="str">
        <x:v>kr_202605_bomi_guna</x:v>
      </x:c>
      <x:c r="C79" s="18" t="str">
        <x:v>봄이구나 말투 밈</x:v>
      </x:c>
      <x:c r="D79" s="18" t="str">
        <x:v>[]</x:v>
      </x:c>
      <x:c r="E79" s="18" t="str">
        <x:v>culture_meme_challenge</x:v>
      </x:c>
      <x:c r="F79" s="18" t="str">
        <x:v>speech_meme</x:v>
      </x:c>
      <x:c r="G79" s="19" t="n">
        <x:v>46216.625</x:v>
      </x:c>
      <x:c r="H79" s="18" t="str"/>
      <x:c r="I79" s="18" t="str">
        <x:v>Y</x:v>
      </x:c>
      <x:c r="J79" s="18" t="str">
        <x:v>Y</x:v>
      </x:c>
      <x:c r="K79" s="18" t="str">
        <x:v>‘~구나’로 끝나는 말투·억양이 패러디 영상과 기관 콘텐츠로 확산된 사례다.</x:v>
      </x:c>
      <x:c r="L79" s="18" t="str">
        <x:v>초기 조사: 공개 트렌드 원문에서 확산·참여 또는 콘텐츠 생성 맥락 확인</x:v>
      </x:c>
      <x:c r="M79" s="18" t="str">
        <x:v>other</x:v>
      </x:c>
      <x:c r="N79" s="18" t="str">
        <x:v>아이보스</x:v>
      </x:c>
      <x:c r="O79" s="19" t="n">
        <x:v>46216.625</x:v>
      </x:c>
      <x:c r="P79" s="18" t="str">
        <x:v>2026 상반기 밈 SNS 활용 사례</x:v>
      </x:c>
      <x:c r="Q79" s="18" t="str">
        <x:v>https://www.i-boss.co.kr/ab-74668-5824</x:v>
      </x:c>
      <x:c r="R79" s="18" t="str"/>
      <x:c r="S79" s="18" t="str"/>
      <x:c r="T79" s="19" t="n">
        <x:v>46216.625</x:v>
      </x:c>
      <x:c r="U79" s="18" t="str"/>
      <x:c r="V79" s="18" t="str"/>
      <x:c r="W79" s="18" t="str">
        <x:v>resolved_excluded</x:v>
      </x:c>
      <x:c r="X79" s="18" t="str">
        <x:v>excluded</x:v>
      </x:c>
      <x:c r="Y79" s="18" t="str">
        <x:v>근거 부족</x:v>
      </x:c>
      <x:c r="Z79" s="18" t="str"/>
      <x:c r="AA79" s="18" t="str">
        <x:v>두 번째 독립 공개 근거 또는 당시 확산을 입증할 자료가 부족해 트렌드에서 제외했다.</x:v>
      </x:c>
    </x:row>
    <x:row r="80">
      <x:c r="A80" s="18" t="n">
        <x:v>77</x:v>
      </x:c>
      <x:c r="B80" s="18" t="str">
        <x:v>kr_202606_yarreong_morningcall</x:v>
      </x:c>
      <x:c r="C80" s="18" t="str">
        <x:v>야르렁 모닝콜</x:v>
      </x:c>
      <x:c r="D80" s="18" t="str">
        <x:v>[]</x:v>
      </x:c>
      <x:c r="E80" s="18" t="str">
        <x:v>culture_meme_challenge</x:v>
      </x:c>
      <x:c r="F80" s="18" t="str">
        <x:v>music_meme</x:v>
      </x:c>
      <x:c r="G80" s="19" t="n">
        <x:v>46216.625</x:v>
      </x:c>
      <x:c r="H80" s="18" t="str"/>
      <x:c r="I80" s="18" t="str">
        <x:v>Y</x:v>
      </x:c>
      <x:c r="J80" s="18" t="str">
        <x:v>Y</x:v>
      </x:c>
      <x:c r="K80" s="18" t="str">
        <x:v>야르 신조어와 으르렁 요들송이 결합한 모닝콜형 패러디가 확산된 사례다.</x:v>
      </x:c>
      <x:c r="L80" s="18" t="str">
        <x:v>초기 조사: 공개 트렌드 원문에서 확산·참여 또는 콘텐츠 생성 맥락 확인</x:v>
      </x:c>
      <x:c r="M80" s="18" t="str">
        <x:v>other</x:v>
      </x:c>
      <x:c r="N80" s="18" t="str">
        <x:v>아이보스</x:v>
      </x:c>
      <x:c r="O80" s="19" t="n">
        <x:v>46216.625</x:v>
      </x:c>
      <x:c r="P80" s="18" t="str">
        <x:v>2026 상반기 밈 SNS 활용 사례</x:v>
      </x:c>
      <x:c r="Q80" s="18" t="str">
        <x:v>https://www.i-boss.co.kr/ab-74668-5824</x:v>
      </x:c>
      <x:c r="R80" s="18" t="str"/>
      <x:c r="S80" s="18" t="str"/>
      <x:c r="T80" s="19" t="n">
        <x:v>46216.625</x:v>
      </x:c>
      <x:c r="U80" s="18" t="str"/>
      <x:c r="V80" s="18" t="str"/>
      <x:c r="W80" s="18" t="str">
        <x:v>resolved_excluded</x:v>
      </x:c>
      <x:c r="X80" s="18" t="str">
        <x:v>excluded</x:v>
      </x:c>
      <x:c r="Y80" s="18" t="str">
        <x:v>근거 부족</x:v>
      </x:c>
      <x:c r="Z80" s="18" t="str"/>
      <x:c r="AA80" s="18" t="str">
        <x:v>두 번째 독립 공개 근거 또는 당시 확산을 입증할 자료가 부족해 트렌드에서 제외했다.</x:v>
      </x:c>
    </x:row>
    <x:row r="81">
      <x:c r="A81" s="18" t="n">
        <x:v>78</x:v>
      </x:c>
      <x:c r="B81" s="18" t="str">
        <x:v>kr_202608_gomaptuusa</x:v>
      </x:c>
      <x:c r="C81" s="18" t="str">
        <x:v>고맙투우사 챌린지</x:v>
      </x:c>
      <x:c r="D81" s="18" t="str">
        <x:v>[]</x:v>
      </x:c>
      <x:c r="E81" s="18" t="str">
        <x:v>culture_meme_challenge</x:v>
      </x:c>
      <x:c r="F81" s="18" t="str">
        <x:v>dance_meme</x:v>
      </x:c>
      <x:c r="G81" s="19" t="n">
        <x:v>46243.625</x:v>
      </x:c>
      <x:c r="H81" s="18" t="str">
        <x:v>Y</x:v>
      </x:c>
      <x:c r="I81" s="18" t="str">
        <x:v>Y</x:v>
      </x:c>
      <x:c r="J81" s="18" t="str">
        <x:v>Y</x:v>
      </x:c>
      <x:c r="K81" s="18" t="str">
        <x:v>일본 개그 영상의 말장난을 한국식으로 재해석한 상황극 챌린지다. 원문은 8월 정점으로 기록한다.</x:v>
      </x:c>
      <x:c r="L81" s="18" t="str">
        <x:v>초기 조사: 공개 트렌드 원문에서 확산·참여 또는 콘텐츠 생성 맥락 확인</x:v>
      </x:c>
      <x:c r="M81" s="18" t="str">
        <x:v>other</x:v>
      </x:c>
      <x:c r="N81" s="18" t="str">
        <x:v>위픽레터</x:v>
      </x:c>
      <x:c r="O81" s="19" t="n">
        <x:v>46243.625</x:v>
      </x:c>
      <x:c r="P81" s="18" t="str">
        <x:v>2026 트렌디한 밈 아카이브.ZIP</x:v>
      </x:c>
      <x:c r="Q81" s="18" t="str">
        <x:v>https://letter.wepick.kr/post/23942</x:v>
      </x:c>
      <x:c r="R81" s="18" t="str"/>
      <x:c r="S81" s="18" t="str"/>
      <x:c r="T81" s="19" t="n">
        <x:v>46243.625</x:v>
      </x:c>
      <x:c r="U81" s="18" t="str"/>
      <x:c r="V81" s="18" t="str"/>
      <x:c r="W81" s="18" t="str">
        <x:v>resolved_excluded</x:v>
      </x:c>
      <x:c r="X81" s="18" t="str">
        <x:v>excluded</x:v>
      </x:c>
      <x:c r="Y81" s="18" t="str">
        <x:v>근거 부족</x:v>
      </x:c>
      <x:c r="Z81" s="18" t="str"/>
      <x:c r="AA81" s="18" t="str">
        <x:v>두 번째 독립 공개 근거 또는 당시 확산을 입증할 자료가 부족해 트렌드에서 제외했다.</x:v>
      </x:c>
    </x:row>
    <x:row r="82">
      <x:c r="A82" s="18" t="n">
        <x:v>79</x:v>
      </x:c>
      <x:c r="B82" s="18" t="str">
        <x:v>kr_202608_theme_01</x:v>
      </x:c>
      <x:c r="C82" s="18" t="str">
        <x:v>저당 곤약 간편식</x:v>
      </x:c>
      <x:c r="D82" s="18" t="str">
        <x:v>[]</x:v>
      </x:c>
      <x:c r="E82" s="18" t="str">
        <x:v>food</x:v>
      </x:c>
      <x:c r="F82" s="18" t="str">
        <x:v>consumer_product</x:v>
      </x:c>
      <x:c r="G82" s="19" t="n">
        <x:v>46242.625</x:v>
      </x:c>
      <x:c r="H82" s="18" t="str">
        <x:v>Y</x:v>
      </x:c>
      <x:c r="I82" s="18" t="str">
        <x:v>Y</x:v>
      </x:c>
      <x:c r="J82" s="18" t="str">
        <x:v>Y</x:v>
      </x:c>
      <x:c r="K82" s="18" t="str">
        <x:v>2026년 한국의 공개 신상·소비 자료에서 저당 곤약 간편식 관련 상품과 콘텐츠가 복수 항목으로 관찰된 사후 재구성 트렌드다. 당시 플랫폼 실시간 순위를 복원한 것이 아니며 투자 조언이 아니다.</x:v>
      </x:c>
      <x:c r="L82" s="18" t="str">
        <x:v>편의점 신상 자료에서 저당 곤약 간편식 관련 제품군이 연속 관찰</x:v>
      </x:c>
      <x:c r="M82" s="18" t="str">
        <x:v>other</x:v>
      </x:c>
      <x:c r="N82" s="18" t="str">
        <x:v>다먹어라이언</x:v>
      </x:c>
      <x:c r="O82" s="19" t="n">
        <x:v>46242.625</x:v>
      </x:c>
      <x:c r="P82" s="18" t="str">
        <x:v>8월2주차 편의점신상 (GS25,CU,세븐일레븐,이마트24)</x:v>
      </x:c>
      <x:c r="Q82" s="18" t="str">
        <x:v>https://v.daum.net/v/zDB5NlSr7A</x:v>
      </x:c>
      <x:c r="R82" s="18" t="str">
        <x:v>other</x:v>
      </x:c>
      <x:c r="S82" s="18" t="str">
        <x:v>다먹어라이언</x:v>
      </x:c>
      <x:c r="T82" s="19" t="n">
        <x:v>46241.625</x:v>
      </x:c>
      <x:c r="U82" s="18" t="str">
        <x:v>8월2주차 편의점신상 TOP10 (GS25)</x:v>
      </x:c>
      <x:c r="V82" s="18" t="str">
        <x:v>https://v.daum.net/v/F22THPQ9Jn?f=p</x:v>
      </x:c>
      <x:c r="W82" s="18" t="str">
        <x:v>resolved_excluded</x:v>
      </x:c>
      <x:c r="X82" s="18" t="str">
        <x:v>excluded</x:v>
      </x:c>
      <x:c r="Y82" s="18" t="str">
        <x:v>광고성</x:v>
      </x:c>
      <x:c r="Z82" s="18" t="str"/>
      <x:c r="AA82" s="18" t="str">
        <x:v>단일 신상품 모음 또는 판매성 소개만 확인돼 관심·언급 증가와 다채널 확산을 입증하지 못했다.</x:v>
      </x:c>
    </x:row>
    <x:row r="83">
      <x:c r="A83" s="18" t="n">
        <x:v>80</x:v>
      </x:c>
      <x:c r="B83" s="18" t="str">
        <x:v>kr_202608_theme_02</x:v>
      </x:c>
      <x:c r="C83" s="18" t="str">
        <x:v>옥수수 풍미 스낵·베이커리</x:v>
      </x:c>
      <x:c r="D83" s="18" t="str">
        <x:v>[]</x:v>
      </x:c>
      <x:c r="E83" s="18" t="str">
        <x:v>food</x:v>
      </x:c>
      <x:c r="F83" s="18" t="str">
        <x:v>consumer_product</x:v>
      </x:c>
      <x:c r="G83" s="19" t="n">
        <x:v>46242.625</x:v>
      </x:c>
      <x:c r="H83" s="18" t="str">
        <x:v>Y</x:v>
      </x:c>
      <x:c r="I83" s="18" t="str">
        <x:v>Y</x:v>
      </x:c>
      <x:c r="J83" s="18" t="str">
        <x:v>Y</x:v>
      </x:c>
      <x:c r="K83" s="18" t="str">
        <x:v>2026년 한국의 공개 신상·소비 자료에서 옥수수 풍미 스낵·베이커리 관련 상품과 콘텐츠가 복수 항목으로 관찰된 사후 재구성 트렌드다. 당시 플랫폼 실시간 순위를 복원한 것이 아니며 투자 조언이 아니다.</x:v>
      </x:c>
      <x:c r="L83" s="18" t="str">
        <x:v>편의점 신상 자료에서 옥수수 풍미 스낵·베이커리 관련 제품군이 연속 관찰</x:v>
      </x:c>
      <x:c r="M83" s="18" t="str">
        <x:v>other</x:v>
      </x:c>
      <x:c r="N83" s="18" t="str">
        <x:v>다먹어라이언</x:v>
      </x:c>
      <x:c r="O83" s="19" t="n">
        <x:v>46242.625</x:v>
      </x:c>
      <x:c r="P83" s="18" t="str">
        <x:v>8월2주차 편의점신상 (GS25,CU,세븐일레븐,이마트24)</x:v>
      </x:c>
      <x:c r="Q83" s="18" t="str">
        <x:v>https://v.daum.net/v/zDB5NlSr7A</x:v>
      </x:c>
      <x:c r="R83" s="18" t="str">
        <x:v>other</x:v>
      </x:c>
      <x:c r="S83" s="18" t="str">
        <x:v>다먹어라이언</x:v>
      </x:c>
      <x:c r="T83" s="19" t="n">
        <x:v>46241.625</x:v>
      </x:c>
      <x:c r="U83" s="18" t="str">
        <x:v>8월2주차 편의점신상 TOP10 (GS25)</x:v>
      </x:c>
      <x:c r="V83" s="18" t="str">
        <x:v>https://v.daum.net/v/F22THPQ9Jn?f=p</x:v>
      </x:c>
      <x:c r="W83" s="18" t="str">
        <x:v>resolved_excluded</x:v>
      </x:c>
      <x:c r="X83" s="18" t="str">
        <x:v>excluded</x:v>
      </x:c>
      <x:c r="Y83" s="18" t="str">
        <x:v>광고성</x:v>
      </x:c>
      <x:c r="Z83" s="18" t="str"/>
      <x:c r="AA83" s="18" t="str">
        <x:v>단일 신상품 모음 또는 판매성 소개만 확인돼 관심·언급 증가와 다채널 확산을 입증하지 못했다.</x:v>
      </x:c>
    </x:row>
    <x:row r="84">
      <x:c r="A84" s="18" t="n">
        <x:v>81</x:v>
      </x:c>
      <x:c r="B84" s="18" t="str">
        <x:v>kr_202608_theme_03</x:v>
      </x:c>
      <x:c r="C84" s="18" t="str">
        <x:v>치즈 토핑 라볶이</x:v>
      </x:c>
      <x:c r="D84" s="18" t="str">
        <x:v>[]</x:v>
      </x:c>
      <x:c r="E84" s="18" t="str">
        <x:v>food</x:v>
      </x:c>
      <x:c r="F84" s="18" t="str">
        <x:v>consumer_product</x:v>
      </x:c>
      <x:c r="G84" s="19" t="n">
        <x:v>46242.625</x:v>
      </x:c>
      <x:c r="H84" s="18" t="str">
        <x:v>Y</x:v>
      </x:c>
      <x:c r="I84" s="18" t="str">
        <x:v>Y</x:v>
      </x:c>
      <x:c r="J84" s="18" t="str">
        <x:v>Y</x:v>
      </x:c>
      <x:c r="K84" s="18" t="str">
        <x:v>2026년 한국의 공개 신상·소비 자료에서 치즈 토핑 라볶이 관련 상품과 콘텐츠가 복수 항목으로 관찰된 사후 재구성 트렌드다. 당시 플랫폼 실시간 순위를 복원한 것이 아니며 투자 조언이 아니다.</x:v>
      </x:c>
      <x:c r="L84" s="18" t="str">
        <x:v>편의점 신상 자료에서 치즈 토핑 라볶이 관련 제품군이 연속 관찰</x:v>
      </x:c>
      <x:c r="M84" s="18" t="str">
        <x:v>other</x:v>
      </x:c>
      <x:c r="N84" s="18" t="str">
        <x:v>다먹어라이언</x:v>
      </x:c>
      <x:c r="O84" s="19" t="n">
        <x:v>46242.625</x:v>
      </x:c>
      <x:c r="P84" s="18" t="str">
        <x:v>8월2주차 편의점신상 (GS25,CU,세븐일레븐,이마트24)</x:v>
      </x:c>
      <x:c r="Q84" s="18" t="str">
        <x:v>https://v.daum.net/v/zDB5NlSr7A</x:v>
      </x:c>
      <x:c r="R84" s="18" t="str">
        <x:v>other</x:v>
      </x:c>
      <x:c r="S84" s="18" t="str">
        <x:v>다먹어라이언</x:v>
      </x:c>
      <x:c r="T84" s="19" t="n">
        <x:v>46241.625</x:v>
      </x:c>
      <x:c r="U84" s="18" t="str">
        <x:v>8월2주차 편의점신상 TOP10 (GS25)</x:v>
      </x:c>
      <x:c r="V84" s="18" t="str">
        <x:v>https://v.daum.net/v/F22THPQ9Jn?f=p</x:v>
      </x:c>
      <x:c r="W84" s="18" t="str">
        <x:v>resolved_excluded</x:v>
      </x:c>
      <x:c r="X84" s="18" t="str">
        <x:v>excluded</x:v>
      </x:c>
      <x:c r="Y84" s="18" t="str">
        <x:v>광고성</x:v>
      </x:c>
      <x:c r="Z84" s="18" t="str"/>
      <x:c r="AA84" s="18" t="str">
        <x:v>단일 신상품 모음 또는 판매성 소개만 확인돼 관심·언급 증가와 다채널 확산을 입증하지 못했다.</x:v>
      </x:c>
    </x:row>
    <x:row r="85">
      <x:c r="A85" s="18" t="n">
        <x:v>82</x:v>
      </x:c>
      <x:c r="B85" s="18" t="str">
        <x:v>kr_202608_theme_04</x:v>
      </x:c>
      <x:c r="C85" s="18" t="str">
        <x:v>와사비 참치마요 김밥</x:v>
      </x:c>
      <x:c r="D85" s="18" t="str">
        <x:v>[]</x:v>
      </x:c>
      <x:c r="E85" s="18" t="str">
        <x:v>food</x:v>
      </x:c>
      <x:c r="F85" s="18" t="str">
        <x:v>consumer_product</x:v>
      </x:c>
      <x:c r="G85" s="19" t="n">
        <x:v>46242.625</x:v>
      </x:c>
      <x:c r="H85" s="18" t="str">
        <x:v>Y</x:v>
      </x:c>
      <x:c r="I85" s="18" t="str">
        <x:v>Y</x:v>
      </x:c>
      <x:c r="J85" s="18" t="str">
        <x:v>Y</x:v>
      </x:c>
      <x:c r="K85" s="18" t="str">
        <x:v>2026년 한국의 공개 신상·소비 자료에서 와사비 참치마요 김밥 관련 상품과 콘텐츠가 복수 항목으로 관찰된 사후 재구성 트렌드다. 당시 플랫폼 실시간 순위를 복원한 것이 아니며 투자 조언이 아니다.</x:v>
      </x:c>
      <x:c r="L85" s="18" t="str">
        <x:v>편의점 신상 자료에서 와사비 참치마요 김밥 관련 제품군이 연속 관찰</x:v>
      </x:c>
      <x:c r="M85" s="18" t="str">
        <x:v>other</x:v>
      </x:c>
      <x:c r="N85" s="18" t="str">
        <x:v>다먹어라이언</x:v>
      </x:c>
      <x:c r="O85" s="19" t="n">
        <x:v>46242.625</x:v>
      </x:c>
      <x:c r="P85" s="18" t="str">
        <x:v>8월2주차 편의점신상 (GS25,CU,세븐일레븐,이마트24)</x:v>
      </x:c>
      <x:c r="Q85" s="18" t="str">
        <x:v>https://v.daum.net/v/zDB5NlSr7A</x:v>
      </x:c>
      <x:c r="R85" s="18" t="str">
        <x:v>other</x:v>
      </x:c>
      <x:c r="S85" s="18" t="str">
        <x:v>다먹어라이언</x:v>
      </x:c>
      <x:c r="T85" s="19" t="n">
        <x:v>46241.625</x:v>
      </x:c>
      <x:c r="U85" s="18" t="str">
        <x:v>8월2주차 편의점신상 TOP10 (GS25)</x:v>
      </x:c>
      <x:c r="V85" s="18" t="str">
        <x:v>https://v.daum.net/v/F22THPQ9Jn?f=p</x:v>
      </x:c>
      <x:c r="W85" s="18" t="str">
        <x:v>resolved_excluded</x:v>
      </x:c>
      <x:c r="X85" s="18" t="str">
        <x:v>excluded</x:v>
      </x:c>
      <x:c r="Y85" s="18" t="str">
        <x:v>광고성</x:v>
      </x:c>
      <x:c r="Z85" s="18" t="str"/>
      <x:c r="AA85" s="18" t="str">
        <x:v>단일 신상품 모음 또는 판매성 소개만 확인돼 관심·언급 증가와 다채널 확산을 입증하지 못했다.</x:v>
      </x:c>
    </x:row>
    <x:row r="86">
      <x:c r="A86" s="18" t="n">
        <x:v>83</x:v>
      </x:c>
      <x:c r="B86" s="18" t="str">
        <x:v>kr_202608_theme_05</x:v>
      </x:c>
      <x:c r="C86" s="18" t="str">
        <x:v>캐릭터 솜사탕 굿즈형 간식</x:v>
      </x:c>
      <x:c r="D86" s="18" t="str">
        <x:v>[]</x:v>
      </x:c>
      <x:c r="E86" s="18" t="str">
        <x:v>food</x:v>
      </x:c>
      <x:c r="F86" s="18" t="str">
        <x:v>consumer_product</x:v>
      </x:c>
      <x:c r="G86" s="19" t="n">
        <x:v>46242.625</x:v>
      </x:c>
      <x:c r="H86" s="18" t="str">
        <x:v>Y</x:v>
      </x:c>
      <x:c r="I86" s="18" t="str">
        <x:v>Y</x:v>
      </x:c>
      <x:c r="J86" s="18" t="str">
        <x:v>Y</x:v>
      </x:c>
      <x:c r="K86" s="18" t="str">
        <x:v>2026년 한국의 공개 신상·소비 자료에서 캐릭터 솜사탕 굿즈형 간식 관련 상품과 콘텐츠가 복수 항목으로 관찰된 사후 재구성 트렌드다. 당시 플랫폼 실시간 순위를 복원한 것이 아니며 투자 조언이 아니다.</x:v>
      </x:c>
      <x:c r="L86" s="18" t="str">
        <x:v>편의점 신상 자료에서 캐릭터 솜사탕 굿즈형 간식 관련 제품군이 연속 관찰</x:v>
      </x:c>
      <x:c r="M86" s="18" t="str">
        <x:v>other</x:v>
      </x:c>
      <x:c r="N86" s="18" t="str">
        <x:v>다먹어라이언</x:v>
      </x:c>
      <x:c r="O86" s="19" t="n">
        <x:v>46242.625</x:v>
      </x:c>
      <x:c r="P86" s="18" t="str">
        <x:v>8월2주차 편의점신상 (GS25,CU,세븐일레븐,이마트24)</x:v>
      </x:c>
      <x:c r="Q86" s="18" t="str">
        <x:v>https://v.daum.net/v/zDB5NlSr7A</x:v>
      </x:c>
      <x:c r="R86" s="18" t="str">
        <x:v>other</x:v>
      </x:c>
      <x:c r="S86" s="18" t="str">
        <x:v>다먹어라이언</x:v>
      </x:c>
      <x:c r="T86" s="19" t="n">
        <x:v>46241.625</x:v>
      </x:c>
      <x:c r="U86" s="18" t="str">
        <x:v>8월2주차 편의점신상 TOP10 (GS25)</x:v>
      </x:c>
      <x:c r="V86" s="18" t="str">
        <x:v>https://v.daum.net/v/F22THPQ9Jn?f=p</x:v>
      </x:c>
      <x:c r="W86" s="18" t="str">
        <x:v>resolved_excluded</x:v>
      </x:c>
      <x:c r="X86" s="18" t="str">
        <x:v>excluded</x:v>
      </x:c>
      <x:c r="Y86" s="18" t="str">
        <x:v>광고성</x:v>
      </x:c>
      <x:c r="Z86" s="18" t="str"/>
      <x:c r="AA86" s="18" t="str">
        <x:v>단일 신상품 모음 또는 판매성 소개만 확인돼 관심·언급 증가와 다채널 확산을 입증하지 못했다.</x:v>
      </x:c>
    </x:row>
    <x:row r="87">
      <x:c r="A87" s="18" t="n">
        <x:v>84</x:v>
      </x:c>
      <x:c r="B87" s="18" t="str">
        <x:v>kr_202608_theme_06</x:v>
      </x:c>
      <x:c r="C87" s="18" t="str">
        <x:v>피넛크림 라즈베리 디저트</x:v>
      </x:c>
      <x:c r="D87" s="18" t="str">
        <x:v>[]</x:v>
      </x:c>
      <x:c r="E87" s="18" t="str">
        <x:v>food</x:v>
      </x:c>
      <x:c r="F87" s="18" t="str">
        <x:v>consumer_product</x:v>
      </x:c>
      <x:c r="G87" s="19" t="n">
        <x:v>46242.625</x:v>
      </x:c>
      <x:c r="H87" s="18" t="str">
        <x:v>Y</x:v>
      </x:c>
      <x:c r="I87" s="18" t="str">
        <x:v>Y</x:v>
      </x:c>
      <x:c r="J87" s="18" t="str">
        <x:v>Y</x:v>
      </x:c>
      <x:c r="K87" s="18" t="str">
        <x:v>2026년 한국의 공개 신상·소비 자료에서 피넛크림 라즈베리 디저트 관련 상품과 콘텐츠가 복수 항목으로 관찰된 사후 재구성 트렌드다. 당시 플랫폼 실시간 순위를 복원한 것이 아니며 투자 조언이 아니다.</x:v>
      </x:c>
      <x:c r="L87" s="18" t="str">
        <x:v>편의점 신상 자료에서 피넛크림 라즈베리 디저트 관련 제품군이 연속 관찰</x:v>
      </x:c>
      <x:c r="M87" s="18" t="str">
        <x:v>other</x:v>
      </x:c>
      <x:c r="N87" s="18" t="str">
        <x:v>다먹어라이언</x:v>
      </x:c>
      <x:c r="O87" s="19" t="n">
        <x:v>46242.625</x:v>
      </x:c>
      <x:c r="P87" s="18" t="str">
        <x:v>8월2주차 편의점신상 (GS25,CU,세븐일레븐,이마트24)</x:v>
      </x:c>
      <x:c r="Q87" s="18" t="str">
        <x:v>https://v.daum.net/v/zDB5NlSr7A</x:v>
      </x:c>
      <x:c r="R87" s="18" t="str">
        <x:v>other</x:v>
      </x:c>
      <x:c r="S87" s="18" t="str">
        <x:v>다먹어라이언</x:v>
      </x:c>
      <x:c r="T87" s="19" t="n">
        <x:v>46241.625</x:v>
      </x:c>
      <x:c r="U87" s="18" t="str">
        <x:v>8월2주차 편의점신상 TOP10 (GS25)</x:v>
      </x:c>
      <x:c r="V87" s="18" t="str">
        <x:v>https://v.daum.net/v/F22THPQ9Jn?f=p</x:v>
      </x:c>
      <x:c r="W87" s="18" t="str">
        <x:v>resolved_excluded</x:v>
      </x:c>
      <x:c r="X87" s="18" t="str">
        <x:v>excluded</x:v>
      </x:c>
      <x:c r="Y87" s="18" t="str">
        <x:v>광고성</x:v>
      </x:c>
      <x:c r="Z87" s="18" t="str"/>
      <x:c r="AA87" s="18" t="str">
        <x:v>단일 신상품 모음 또는 판매성 소개만 확인돼 관심·언급 증가와 다채널 확산을 입증하지 못했다.</x:v>
      </x:c>
    </x:row>
    <x:row r="88">
      <x:c r="A88" s="18" t="n">
        <x:v>85</x:v>
      </x:c>
      <x:c r="B88" s="18" t="str">
        <x:v>kr_202608_theme_07</x:v>
      </x:c>
      <x:c r="C88" s="18" t="str">
        <x:v>부리또형 한손 간편식</x:v>
      </x:c>
      <x:c r="D88" s="18" t="str">
        <x:v>[]</x:v>
      </x:c>
      <x:c r="E88" s="18" t="str">
        <x:v>food</x:v>
      </x:c>
      <x:c r="F88" s="18" t="str">
        <x:v>consumer_product</x:v>
      </x:c>
      <x:c r="G88" s="19" t="n">
        <x:v>46242.625</x:v>
      </x:c>
      <x:c r="H88" s="18" t="str">
        <x:v>Y</x:v>
      </x:c>
      <x:c r="I88" s="18" t="str">
        <x:v>Y</x:v>
      </x:c>
      <x:c r="J88" s="18" t="str">
        <x:v>Y</x:v>
      </x:c>
      <x:c r="K88" s="18" t="str">
        <x:v>2026년 한국의 공개 신상·소비 자료에서 부리또형 한손 간편식 관련 상품과 콘텐츠가 복수 항목으로 관찰된 사후 재구성 트렌드다. 당시 플랫폼 실시간 순위를 복원한 것이 아니며 투자 조언이 아니다.</x:v>
      </x:c>
      <x:c r="L88" s="18" t="str">
        <x:v>편의점 신상 자료에서 부리또형 한손 간편식 관련 제품군이 연속 관찰</x:v>
      </x:c>
      <x:c r="M88" s="18" t="str">
        <x:v>other</x:v>
      </x:c>
      <x:c r="N88" s="18" t="str">
        <x:v>다먹어라이언</x:v>
      </x:c>
      <x:c r="O88" s="19" t="n">
        <x:v>46242.625</x:v>
      </x:c>
      <x:c r="P88" s="18" t="str">
        <x:v>8월2주차 편의점신상 (GS25,CU,세븐일레븐,이마트24)</x:v>
      </x:c>
      <x:c r="Q88" s="18" t="str">
        <x:v>https://v.daum.net/v/zDB5NlSr7A</x:v>
      </x:c>
      <x:c r="R88" s="18" t="str">
        <x:v>other</x:v>
      </x:c>
      <x:c r="S88" s="18" t="str">
        <x:v>다먹어라이언</x:v>
      </x:c>
      <x:c r="T88" s="19" t="n">
        <x:v>46241.625</x:v>
      </x:c>
      <x:c r="U88" s="18" t="str">
        <x:v>8월2주차 편의점신상 TOP10 (GS25)</x:v>
      </x:c>
      <x:c r="V88" s="18" t="str">
        <x:v>https://v.daum.net/v/F22THPQ9Jn?f=p</x:v>
      </x:c>
      <x:c r="W88" s="18" t="str">
        <x:v>resolved_excluded</x:v>
      </x:c>
      <x:c r="X88" s="18" t="str">
        <x:v>excluded</x:v>
      </x:c>
      <x:c r="Y88" s="18" t="str">
        <x:v>광고성</x:v>
      </x:c>
      <x:c r="Z88" s="18" t="str"/>
      <x:c r="AA88" s="18" t="str">
        <x:v>단일 신상품 모음 또는 판매성 소개만 확인돼 관심·언급 증가와 다채널 확산을 입증하지 못했다.</x:v>
      </x:c>
    </x:row>
    <x:row r="89">
      <x:c r="A89" s="18" t="n">
        <x:v>86</x:v>
      </x:c>
      <x:c r="B89" s="18" t="str">
        <x:v>kr_202608_theme_08</x:v>
      </x:c>
      <x:c r="C89" s="18" t="str">
        <x:v>저칼로리 허니 블랙티</x:v>
      </x:c>
      <x:c r="D89" s="18" t="str">
        <x:v>[]</x:v>
      </x:c>
      <x:c r="E89" s="18" t="str">
        <x:v>food</x:v>
      </x:c>
      <x:c r="F89" s="18" t="str">
        <x:v>consumer_product</x:v>
      </x:c>
      <x:c r="G89" s="19" t="n">
        <x:v>46242.625</x:v>
      </x:c>
      <x:c r="H89" s="18" t="str">
        <x:v>Y</x:v>
      </x:c>
      <x:c r="I89" s="18" t="str">
        <x:v>Y</x:v>
      </x:c>
      <x:c r="J89" s="18" t="str">
        <x:v>Y</x:v>
      </x:c>
      <x:c r="K89" s="18" t="str">
        <x:v>2026년 한국의 공개 신상·소비 자료에서 저칼로리 허니 블랙티 관련 상품과 콘텐츠가 복수 항목으로 관찰된 사후 재구성 트렌드다. 당시 플랫폼 실시간 순위를 복원한 것이 아니며 투자 조언이 아니다.</x:v>
      </x:c>
      <x:c r="L89" s="18" t="str">
        <x:v>편의점 신상 자료에서 저칼로리 허니 블랙티 관련 제품군이 연속 관찰</x:v>
      </x:c>
      <x:c r="M89" s="18" t="str">
        <x:v>other</x:v>
      </x:c>
      <x:c r="N89" s="18" t="str">
        <x:v>다먹어라이언</x:v>
      </x:c>
      <x:c r="O89" s="19" t="n">
        <x:v>46242.625</x:v>
      </x:c>
      <x:c r="P89" s="18" t="str">
        <x:v>8월2주차 편의점신상 (GS25,CU,세븐일레븐,이마트24)</x:v>
      </x:c>
      <x:c r="Q89" s="18" t="str">
        <x:v>https://v.daum.net/v/zDB5NlSr7A</x:v>
      </x:c>
      <x:c r="R89" s="18" t="str">
        <x:v>other</x:v>
      </x:c>
      <x:c r="S89" s="18" t="str">
        <x:v>다먹어라이언</x:v>
      </x:c>
      <x:c r="T89" s="19" t="n">
        <x:v>46241.625</x:v>
      </x:c>
      <x:c r="U89" s="18" t="str">
        <x:v>8월2주차 편의점신상 TOP10 (GS25)</x:v>
      </x:c>
      <x:c r="V89" s="18" t="str">
        <x:v>https://v.daum.net/v/F22THPQ9Jn?f=p</x:v>
      </x:c>
      <x:c r="W89" s="18" t="str">
        <x:v>resolved_excluded</x:v>
      </x:c>
      <x:c r="X89" s="18" t="str">
        <x:v>excluded</x:v>
      </x:c>
      <x:c r="Y89" s="18" t="str">
        <x:v>광고성</x:v>
      </x:c>
      <x:c r="Z89" s="18" t="str"/>
      <x:c r="AA89" s="18" t="str">
        <x:v>단일 신상품 모음 또는 판매성 소개만 확인돼 관심·언급 증가와 다채널 확산을 입증하지 못했다.</x:v>
      </x:c>
    </x:row>
    <x:row r="90">
      <x:c r="A90" s="18" t="n">
        <x:v>87</x:v>
      </x:c>
      <x:c r="B90" s="18" t="str">
        <x:v>kr_202608_theme_09</x:v>
      </x:c>
      <x:c r="C90" s="18" t="str">
        <x:v>검은콩 콩국수 간편식</x:v>
      </x:c>
      <x:c r="D90" s="18" t="str">
        <x:v>[]</x:v>
      </x:c>
      <x:c r="E90" s="18" t="str">
        <x:v>food</x:v>
      </x:c>
      <x:c r="F90" s="18" t="str">
        <x:v>consumer_product</x:v>
      </x:c>
      <x:c r="G90" s="19" t="n">
        <x:v>46242.625</x:v>
      </x:c>
      <x:c r="H90" s="18" t="str">
        <x:v>Y</x:v>
      </x:c>
      <x:c r="I90" s="18" t="str">
        <x:v>Y</x:v>
      </x:c>
      <x:c r="J90" s="18" t="str">
        <x:v>Y</x:v>
      </x:c>
      <x:c r="K90" s="18" t="str">
        <x:v>2026년 한국의 공개 신상·소비 자료에서 검은콩 콩국수 간편식 관련 상품과 콘텐츠가 복수 항목으로 관찰된 사후 재구성 트렌드다. 당시 플랫폼 실시간 순위를 복원한 것이 아니며 투자 조언이 아니다.</x:v>
      </x:c>
      <x:c r="L90" s="18" t="str">
        <x:v>편의점 신상 자료에서 검은콩 콩국수 간편식 관련 제품군이 연속 관찰</x:v>
      </x:c>
      <x:c r="M90" s="18" t="str">
        <x:v>other</x:v>
      </x:c>
      <x:c r="N90" s="18" t="str">
        <x:v>다먹어라이언</x:v>
      </x:c>
      <x:c r="O90" s="19" t="n">
        <x:v>46242.625</x:v>
      </x:c>
      <x:c r="P90" s="18" t="str">
        <x:v>8월2주차 편의점신상 (GS25,CU,세븐일레븐,이마트24)</x:v>
      </x:c>
      <x:c r="Q90" s="18" t="str">
        <x:v>https://v.daum.net/v/zDB5NlSr7A</x:v>
      </x:c>
      <x:c r="R90" s="18" t="str">
        <x:v>other</x:v>
      </x:c>
      <x:c r="S90" s="18" t="str">
        <x:v>다먹어라이언</x:v>
      </x:c>
      <x:c r="T90" s="19" t="n">
        <x:v>46241.625</x:v>
      </x:c>
      <x:c r="U90" s="18" t="str">
        <x:v>8월2주차 편의점신상 TOP10 (GS25)</x:v>
      </x:c>
      <x:c r="V90" s="18" t="str">
        <x:v>https://v.daum.net/v/F22THPQ9Jn?f=p</x:v>
      </x:c>
      <x:c r="W90" s="18" t="str">
        <x:v>resolved_excluded</x:v>
      </x:c>
      <x:c r="X90" s="18" t="str">
        <x:v>excluded</x:v>
      </x:c>
      <x:c r="Y90" s="18" t="str">
        <x:v>광고성</x:v>
      </x:c>
      <x:c r="Z90" s="18" t="str"/>
      <x:c r="AA90" s="18" t="str">
        <x:v>단일 신상품 모음 또는 판매성 소개만 확인돼 관심·언급 증가와 다채널 확산을 입증하지 못했다.</x:v>
      </x:c>
    </x:row>
    <x:row r="91">
      <x:c r="A91" s="18" t="n">
        <x:v>88</x:v>
      </x:c>
      <x:c r="B91" s="18" t="str">
        <x:v>kr_202608_theme_10</x:v>
      </x:c>
      <x:c r="C91" s="18" t="str">
        <x:v>칸탈로프 멜론 크림빵</x:v>
      </x:c>
      <x:c r="D91" s="18" t="str">
        <x:v>[]</x:v>
      </x:c>
      <x:c r="E91" s="18" t="str">
        <x:v>food</x:v>
      </x:c>
      <x:c r="F91" s="18" t="str">
        <x:v>consumer_product</x:v>
      </x:c>
      <x:c r="G91" s="19" t="n">
        <x:v>46242.625</x:v>
      </x:c>
      <x:c r="H91" s="18" t="str">
        <x:v>Y</x:v>
      </x:c>
      <x:c r="I91" s="18" t="str">
        <x:v>Y</x:v>
      </x:c>
      <x:c r="J91" s="18" t="str">
        <x:v>Y</x:v>
      </x:c>
      <x:c r="K91" s="18" t="str">
        <x:v>2026년 한국의 공개 신상·소비 자료에서 칸탈로프 멜론 크림빵 관련 상품과 콘텐츠가 복수 항목으로 관찰된 사후 재구성 트렌드다. 당시 플랫폼 실시간 순위를 복원한 것이 아니며 투자 조언이 아니다.</x:v>
      </x:c>
      <x:c r="L91" s="18" t="str">
        <x:v>편의점 신상 자료에서 칸탈로프 멜론 크림빵 관련 제품군이 연속 관찰</x:v>
      </x:c>
      <x:c r="M91" s="18" t="str">
        <x:v>other</x:v>
      </x:c>
      <x:c r="N91" s="18" t="str">
        <x:v>다먹어라이언</x:v>
      </x:c>
      <x:c r="O91" s="19" t="n">
        <x:v>46242.625</x:v>
      </x:c>
      <x:c r="P91" s="18" t="str">
        <x:v>8월2주차 편의점신상 (GS25,CU,세븐일레븐,이마트24)</x:v>
      </x:c>
      <x:c r="Q91" s="18" t="str">
        <x:v>https://v.daum.net/v/zDB5NlSr7A</x:v>
      </x:c>
      <x:c r="R91" s="18" t="str">
        <x:v>other</x:v>
      </x:c>
      <x:c r="S91" s="18" t="str">
        <x:v>다먹어라이언</x:v>
      </x:c>
      <x:c r="T91" s="19" t="n">
        <x:v>46241.625</x:v>
      </x:c>
      <x:c r="U91" s="18" t="str">
        <x:v>8월2주차 편의점신상 TOP10 (GS25)</x:v>
      </x:c>
      <x:c r="V91" s="18" t="str">
        <x:v>https://v.daum.net/v/F22THPQ9Jn?f=p</x:v>
      </x:c>
      <x:c r="W91" s="18" t="str">
        <x:v>resolved_excluded</x:v>
      </x:c>
      <x:c r="X91" s="18" t="str">
        <x:v>excluded</x:v>
      </x:c>
      <x:c r="Y91" s="18" t="str">
        <x:v>광고성</x:v>
      </x:c>
      <x:c r="Z91" s="18" t="str"/>
      <x:c r="AA91" s="18" t="str">
        <x:v>단일 신상품 모음 또는 판매성 소개만 확인돼 관심·언급 증가와 다채널 확산을 입증하지 못했다.</x:v>
      </x:c>
    </x:row>
    <x:row r="92">
      <x:c r="A92" s="18" t="n">
        <x:v>89</x:v>
      </x:c>
      <x:c r="B92" s="18" t="str">
        <x:v>kr_202608_theme_11</x:v>
      </x:c>
      <x:c r="C92" s="18" t="str">
        <x:v>사르르 크림빵 시리즈</x:v>
      </x:c>
      <x:c r="D92" s="18" t="str">
        <x:v>[]</x:v>
      </x:c>
      <x:c r="E92" s="18" t="str">
        <x:v>food</x:v>
      </x:c>
      <x:c r="F92" s="18" t="str">
        <x:v>consumer_product</x:v>
      </x:c>
      <x:c r="G92" s="19" t="n">
        <x:v>46242.625</x:v>
      </x:c>
      <x:c r="H92" s="18" t="str">
        <x:v>Y</x:v>
      </x:c>
      <x:c r="I92" s="18" t="str">
        <x:v>Y</x:v>
      </x:c>
      <x:c r="J92" s="18" t="str">
        <x:v>Y</x:v>
      </x:c>
      <x:c r="K92" s="18" t="str">
        <x:v>2026년 한국의 공개 신상·소비 자료에서 사르르 크림빵 시리즈 관련 상품과 콘텐츠가 복수 항목으로 관찰된 사후 재구성 트렌드다. 당시 플랫폼 실시간 순위를 복원한 것이 아니며 투자 조언이 아니다.</x:v>
      </x:c>
      <x:c r="L92" s="18" t="str">
        <x:v>편의점 신상 자료에서 사르르 크림빵 시리즈 관련 제품군이 연속 관찰</x:v>
      </x:c>
      <x:c r="M92" s="18" t="str">
        <x:v>other</x:v>
      </x:c>
      <x:c r="N92" s="18" t="str">
        <x:v>다먹어라이언</x:v>
      </x:c>
      <x:c r="O92" s="19" t="n">
        <x:v>46242.625</x:v>
      </x:c>
      <x:c r="P92" s="18" t="str">
        <x:v>8월2주차 편의점신상 (GS25,CU,세븐일레븐,이마트24)</x:v>
      </x:c>
      <x:c r="Q92" s="18" t="str">
        <x:v>https://v.daum.net/v/zDB5NlSr7A</x:v>
      </x:c>
      <x:c r="R92" s="18" t="str">
        <x:v>other</x:v>
      </x:c>
      <x:c r="S92" s="18" t="str">
        <x:v>다먹어라이언</x:v>
      </x:c>
      <x:c r="T92" s="19" t="n">
        <x:v>46241.625</x:v>
      </x:c>
      <x:c r="U92" s="18" t="str">
        <x:v>8월2주차 편의점신상 TOP10 (GS25)</x:v>
      </x:c>
      <x:c r="V92" s="18" t="str">
        <x:v>https://v.daum.net/v/F22THPQ9Jn?f=p</x:v>
      </x:c>
      <x:c r="W92" s="18" t="str">
        <x:v>resolved_excluded</x:v>
      </x:c>
      <x:c r="X92" s="18" t="str">
        <x:v>excluded</x:v>
      </x:c>
      <x:c r="Y92" s="18" t="str">
        <x:v>광고성</x:v>
      </x:c>
      <x:c r="Z92" s="18" t="str"/>
      <x:c r="AA92" s="18" t="str">
        <x:v>단일 신상품 모음 또는 판매성 소개만 확인돼 관심·언급 증가와 다채널 확산을 입증하지 못했다.</x:v>
      </x:c>
    </x:row>
    <x:row r="93">
      <x:c r="A93" s="18" t="n">
        <x:v>90</x:v>
      </x:c>
      <x:c r="B93" s="18" t="str">
        <x:v>kr_202608_theme_12</x:v>
      </x:c>
      <x:c r="C93" s="18" t="str">
        <x:v>과일향 저도수 하이볼</x:v>
      </x:c>
      <x:c r="D93" s="18" t="str">
        <x:v>[]</x:v>
      </x:c>
      <x:c r="E93" s="18" t="str">
        <x:v>food</x:v>
      </x:c>
      <x:c r="F93" s="18" t="str">
        <x:v>consumer_product</x:v>
      </x:c>
      <x:c r="G93" s="19" t="n">
        <x:v>46242.625</x:v>
      </x:c>
      <x:c r="H93" s="18" t="str">
        <x:v>Y</x:v>
      </x:c>
      <x:c r="I93" s="18" t="str">
        <x:v>Y</x:v>
      </x:c>
      <x:c r="J93" s="18" t="str">
        <x:v>Y</x:v>
      </x:c>
      <x:c r="K93" s="18" t="str">
        <x:v>2026년 한국의 공개 신상·소비 자료에서 과일향 저도수 하이볼 관련 상품과 콘텐츠가 복수 항목으로 관찰된 사후 재구성 트렌드다. 당시 플랫폼 실시간 순위를 복원한 것이 아니며 투자 조언이 아니다.</x:v>
      </x:c>
      <x:c r="L93" s="18" t="str">
        <x:v>편의점 신상 자료에서 과일향 저도수 하이볼 관련 제품군이 연속 관찰</x:v>
      </x:c>
      <x:c r="M93" s="18" t="str">
        <x:v>other</x:v>
      </x:c>
      <x:c r="N93" s="18" t="str">
        <x:v>다먹어라이언</x:v>
      </x:c>
      <x:c r="O93" s="19" t="n">
        <x:v>46242.625</x:v>
      </x:c>
      <x:c r="P93" s="18" t="str">
        <x:v>8월2주차 편의점신상 (GS25,CU,세븐일레븐,이마트24)</x:v>
      </x:c>
      <x:c r="Q93" s="18" t="str">
        <x:v>https://v.daum.net/v/zDB5NlSr7A</x:v>
      </x:c>
      <x:c r="R93" s="18" t="str">
        <x:v>other</x:v>
      </x:c>
      <x:c r="S93" s="18" t="str">
        <x:v>다먹어라이언</x:v>
      </x:c>
      <x:c r="T93" s="19" t="n">
        <x:v>46241.625</x:v>
      </x:c>
      <x:c r="U93" s="18" t="str">
        <x:v>8월2주차 편의점신상 TOP10 (GS25)</x:v>
      </x:c>
      <x:c r="V93" s="18" t="str">
        <x:v>https://v.daum.net/v/F22THPQ9Jn?f=p</x:v>
      </x:c>
      <x:c r="W93" s="18" t="str">
        <x:v>resolved_excluded</x:v>
      </x:c>
      <x:c r="X93" s="18" t="str">
        <x:v>excluded</x:v>
      </x:c>
      <x:c r="Y93" s="18" t="str">
        <x:v>광고성</x:v>
      </x:c>
      <x:c r="Z93" s="18" t="str"/>
      <x:c r="AA93" s="18" t="str">
        <x:v>단일 신상품 모음 또는 판매성 소개만 확인돼 관심·언급 증가와 다채널 확산을 입증하지 못했다.</x:v>
      </x:c>
    </x:row>
    <x:row r="94">
      <x:c r="A94" s="18" t="n">
        <x:v>91</x:v>
      </x:c>
      <x:c r="B94" s="18" t="str">
        <x:v>kr_202608_theme_13</x:v>
      </x:c>
      <x:c r="C94" s="18" t="str">
        <x:v>워킹타코맛 콘 스낵</x:v>
      </x:c>
      <x:c r="D94" s="18" t="str">
        <x:v>[]</x:v>
      </x:c>
      <x:c r="E94" s="18" t="str">
        <x:v>food</x:v>
      </x:c>
      <x:c r="F94" s="18" t="str">
        <x:v>consumer_product</x:v>
      </x:c>
      <x:c r="G94" s="19" t="n">
        <x:v>46242.625</x:v>
      </x:c>
      <x:c r="H94" s="18" t="str">
        <x:v>Y</x:v>
      </x:c>
      <x:c r="I94" s="18" t="str">
        <x:v>Y</x:v>
      </x:c>
      <x:c r="J94" s="18" t="str">
        <x:v>Y</x:v>
      </x:c>
      <x:c r="K94" s="18" t="str">
        <x:v>2026년 한국의 공개 신상·소비 자료에서 워킹타코맛 콘 스낵 관련 상품과 콘텐츠가 복수 항목으로 관찰된 사후 재구성 트렌드다. 당시 플랫폼 실시간 순위를 복원한 것이 아니며 투자 조언이 아니다.</x:v>
      </x:c>
      <x:c r="L94" s="18" t="str">
        <x:v>편의점 신상 자료에서 워킹타코맛 콘 스낵 관련 제품군이 연속 관찰</x:v>
      </x:c>
      <x:c r="M94" s="18" t="str">
        <x:v>other</x:v>
      </x:c>
      <x:c r="N94" s="18" t="str">
        <x:v>다먹어라이언</x:v>
      </x:c>
      <x:c r="O94" s="19" t="n">
        <x:v>46242.625</x:v>
      </x:c>
      <x:c r="P94" s="18" t="str">
        <x:v>8월2주차 편의점신상 (GS25,CU,세븐일레븐,이마트24)</x:v>
      </x:c>
      <x:c r="Q94" s="18" t="str">
        <x:v>https://v.daum.net/v/zDB5NlSr7A</x:v>
      </x:c>
      <x:c r="R94" s="18" t="str">
        <x:v>other</x:v>
      </x:c>
      <x:c r="S94" s="18" t="str">
        <x:v>다먹어라이언</x:v>
      </x:c>
      <x:c r="T94" s="19" t="n">
        <x:v>46241.625</x:v>
      </x:c>
      <x:c r="U94" s="18" t="str">
        <x:v>8월2주차 편의점신상 TOP10 (GS25)</x:v>
      </x:c>
      <x:c r="V94" s="18" t="str">
        <x:v>https://v.daum.net/v/F22THPQ9Jn?f=p</x:v>
      </x:c>
      <x:c r="W94" s="18" t="str">
        <x:v>resolved_excluded</x:v>
      </x:c>
      <x:c r="X94" s="18" t="str">
        <x:v>excluded</x:v>
      </x:c>
      <x:c r="Y94" s="18" t="str">
        <x:v>광고성</x:v>
      </x:c>
      <x:c r="Z94" s="18" t="str"/>
      <x:c r="AA94" s="18" t="str">
        <x:v>단일 신상품 모음 또는 판매성 소개만 확인돼 관심·언급 증가와 다채널 확산을 입증하지 못했다.</x:v>
      </x:c>
    </x:row>
    <x:row r="95">
      <x:c r="A95" s="18" t="n">
        <x:v>92</x:v>
      </x:c>
      <x:c r="B95" s="18" t="str">
        <x:v>kr_202608_theme_14</x:v>
      </x:c>
      <x:c r="C95" s="18" t="str">
        <x:v>초코우유 너티 풍미 변주</x:v>
      </x:c>
      <x:c r="D95" s="18" t="str">
        <x:v>[]</x:v>
      </x:c>
      <x:c r="E95" s="18" t="str">
        <x:v>food</x:v>
      </x:c>
      <x:c r="F95" s="18" t="str">
        <x:v>consumer_product</x:v>
      </x:c>
      <x:c r="G95" s="19" t="n">
        <x:v>46242.625</x:v>
      </x:c>
      <x:c r="H95" s="18" t="str">
        <x:v>Y</x:v>
      </x:c>
      <x:c r="I95" s="18" t="str">
        <x:v>Y</x:v>
      </x:c>
      <x:c r="J95" s="18" t="str">
        <x:v>Y</x:v>
      </x:c>
      <x:c r="K95" s="18" t="str">
        <x:v>2026년 한국의 공개 신상·소비 자료에서 초코우유 너티 풍미 변주 관련 상품과 콘텐츠가 복수 항목으로 관찰된 사후 재구성 트렌드다. 당시 플랫폼 실시간 순위를 복원한 것이 아니며 투자 조언이 아니다.</x:v>
      </x:c>
      <x:c r="L95" s="18" t="str">
        <x:v>편의점 신상 자료에서 초코우유 너티 풍미 변주 관련 제품군이 연속 관찰</x:v>
      </x:c>
      <x:c r="M95" s="18" t="str">
        <x:v>other</x:v>
      </x:c>
      <x:c r="N95" s="18" t="str">
        <x:v>다먹어라이언</x:v>
      </x:c>
      <x:c r="O95" s="19" t="n">
        <x:v>46242.625</x:v>
      </x:c>
      <x:c r="P95" s="18" t="str">
        <x:v>8월2주차 편의점신상 (GS25,CU,세븐일레븐,이마트24)</x:v>
      </x:c>
      <x:c r="Q95" s="18" t="str">
        <x:v>https://v.daum.net/v/zDB5NlSr7A</x:v>
      </x:c>
      <x:c r="R95" s="18" t="str">
        <x:v>other</x:v>
      </x:c>
      <x:c r="S95" s="18" t="str">
        <x:v>다먹어라이언</x:v>
      </x:c>
      <x:c r="T95" s="19" t="n">
        <x:v>46241.625</x:v>
      </x:c>
      <x:c r="U95" s="18" t="str">
        <x:v>8월2주차 편의점신상 TOP10 (GS25)</x:v>
      </x:c>
      <x:c r="V95" s="18" t="str">
        <x:v>https://v.daum.net/v/F22THPQ9Jn?f=p</x:v>
      </x:c>
      <x:c r="W95" s="18" t="str">
        <x:v>resolved_excluded</x:v>
      </x:c>
      <x:c r="X95" s="18" t="str">
        <x:v>excluded</x:v>
      </x:c>
      <x:c r="Y95" s="18" t="str">
        <x:v>광고성</x:v>
      </x:c>
      <x:c r="Z95" s="18" t="str"/>
      <x:c r="AA95" s="18" t="str">
        <x:v>단일 신상품 모음 또는 판매성 소개만 확인돼 관심·언급 증가와 다채널 확산을 입증하지 못했다.</x:v>
      </x:c>
    </x:row>
    <x:row r="96">
      <x:c r="A96" s="18" t="n">
        <x:v>93</x:v>
      </x:c>
      <x:c r="B96" s="18" t="str">
        <x:v>kr_202608_theme_15</x:v>
      </x:c>
      <x:c r="C96" s="18" t="str">
        <x:v>게임 IP 해물 스낵</x:v>
      </x:c>
      <x:c r="D96" s="18" t="str">
        <x:v>[]</x:v>
      </x:c>
      <x:c r="E96" s="18" t="str">
        <x:v>food</x:v>
      </x:c>
      <x:c r="F96" s="18" t="str">
        <x:v>consumer_product</x:v>
      </x:c>
      <x:c r="G96" s="19" t="n">
        <x:v>46242.625</x:v>
      </x:c>
      <x:c r="H96" s="18" t="str">
        <x:v>Y</x:v>
      </x:c>
      <x:c r="I96" s="18" t="str">
        <x:v>Y</x:v>
      </x:c>
      <x:c r="J96" s="18" t="str">
        <x:v>Y</x:v>
      </x:c>
      <x:c r="K96" s="18" t="str">
        <x:v>2026년 한국의 공개 신상·소비 자료에서 게임 IP 해물 스낵 관련 상품과 콘텐츠가 복수 항목으로 관찰된 사후 재구성 트렌드다. 당시 플랫폼 실시간 순위를 복원한 것이 아니며 투자 조언이 아니다.</x:v>
      </x:c>
      <x:c r="L96" s="18" t="str">
        <x:v>편의점 신상 자료에서 게임 IP 해물 스낵 관련 제품군이 연속 관찰</x:v>
      </x:c>
      <x:c r="M96" s="18" t="str">
        <x:v>other</x:v>
      </x:c>
      <x:c r="N96" s="18" t="str">
        <x:v>다먹어라이언</x:v>
      </x:c>
      <x:c r="O96" s="19" t="n">
        <x:v>46242.625</x:v>
      </x:c>
      <x:c r="P96" s="18" t="str">
        <x:v>8월2주차 편의점신상 (GS25,CU,세븐일레븐,이마트24)</x:v>
      </x:c>
      <x:c r="Q96" s="18" t="str">
        <x:v>https://v.daum.net/v/zDB5NlSr7A</x:v>
      </x:c>
      <x:c r="R96" s="18" t="str">
        <x:v>other</x:v>
      </x:c>
      <x:c r="S96" s="18" t="str">
        <x:v>다먹어라이언</x:v>
      </x:c>
      <x:c r="T96" s="19" t="n">
        <x:v>46241.625</x:v>
      </x:c>
      <x:c r="U96" s="18" t="str">
        <x:v>8월2주차 편의점신상 TOP10 (GS25)</x:v>
      </x:c>
      <x:c r="V96" s="18" t="str">
        <x:v>https://v.daum.net/v/F22THPQ9Jn?f=p</x:v>
      </x:c>
      <x:c r="W96" s="18" t="str">
        <x:v>resolved_excluded</x:v>
      </x:c>
      <x:c r="X96" s="18" t="str">
        <x:v>excluded</x:v>
      </x:c>
      <x:c r="Y96" s="18" t="str">
        <x:v>광고성</x:v>
      </x:c>
      <x:c r="Z96" s="18" t="str"/>
      <x:c r="AA96" s="18" t="str">
        <x:v>단일 신상품 모음 또는 판매성 소개만 확인돼 관심·언급 증가와 다채널 확산을 입증하지 못했다.</x:v>
      </x:c>
    </x:row>
    <x:row r="97">
      <x:c r="A97" s="18" t="n">
        <x:v>94</x:v>
      </x:c>
      <x:c r="B97" s="18" t="str">
        <x:v>kr_202607_theme_16</x:v>
      </x:c>
      <x:c r="C97" s="18" t="str">
        <x:v>청귤 생크림빵</x:v>
      </x:c>
      <x:c r="D97" s="18" t="str">
        <x:v>[]</x:v>
      </x:c>
      <x:c r="E97" s="18" t="str">
        <x:v>food</x:v>
      </x:c>
      <x:c r="F97" s="18" t="str">
        <x:v>consumer_product</x:v>
      </x:c>
      <x:c r="G97" s="19" t="n">
        <x:v>46221.625</x:v>
      </x:c>
      <x:c r="H97" s="18" t="str"/>
      <x:c r="I97" s="18" t="str">
        <x:v>Y</x:v>
      </x:c>
      <x:c r="J97" s="18" t="str">
        <x:v>Y</x:v>
      </x:c>
      <x:c r="K97" s="18" t="str">
        <x:v>2026년 한국의 공개 신상·소비 자료에서 청귤 생크림빵 관련 상품과 콘텐츠가 복수 항목으로 관찰된 사후 재구성 트렌드다. 당시 플랫폼 실시간 순위를 복원한 것이 아니며 투자 조언이 아니다.</x:v>
      </x:c>
      <x:c r="L97" s="18" t="str">
        <x:v>편의점 신상 자료에서 청귤 생크림빵 관련 제품군이 연속 관찰</x:v>
      </x:c>
      <x:c r="M97" s="18" t="str">
        <x:v>other</x:v>
      </x:c>
      <x:c r="N97" s="18" t="str">
        <x:v>다먹어라이언</x:v>
      </x:c>
      <x:c r="O97" s="19" t="n">
        <x:v>46221.625</x:v>
      </x:c>
      <x:c r="P97" s="18" t="str">
        <x:v>7월3주차 편의점신상 (GS25, CU)</x:v>
      </x:c>
      <x:c r="Q97" s="18" t="str">
        <x:v>https://v.daum.net/v/66iOCie4d4?f=p</x:v>
      </x:c>
      <x:c r="R97" s="18" t="str">
        <x:v>other</x:v>
      </x:c>
      <x:c r="S97" s="18" t="str">
        <x:v>다먹어라이언</x:v>
      </x:c>
      <x:c r="T97" s="19" t="n">
        <x:v>46228.625</x:v>
      </x:c>
      <x:c r="U97" s="18" t="str">
        <x:v>7월4주차 편의점신상 (GS25,CU)</x:v>
      </x:c>
      <x:c r="V97" s="18" t="str">
        <x:v>https://v.daum.net/v/blzCQ0FYOh</x:v>
      </x:c>
      <x:c r="W97" s="18" t="str">
        <x:v>resolved_excluded</x:v>
      </x:c>
      <x:c r="X97" s="18" t="str">
        <x:v>excluded</x:v>
      </x:c>
      <x:c r="Y97" s="18" t="str">
        <x:v>광고성</x:v>
      </x:c>
      <x:c r="Z97" s="18" t="str"/>
      <x:c r="AA97" s="18" t="str">
        <x:v>단일 신상품 모음 또는 판매성 소개만 확인돼 관심·언급 증가와 다채널 확산을 입증하지 못했다.</x:v>
      </x:c>
    </x:row>
    <x:row r="98">
      <x:c r="A98" s="18" t="n">
        <x:v>95</x:v>
      </x:c>
      <x:c r="B98" s="18" t="str">
        <x:v>kr_202607_theme_17</x:v>
      </x:c>
      <x:c r="C98" s="18" t="str">
        <x:v>옥수수 크림 맘모스</x:v>
      </x:c>
      <x:c r="D98" s="18" t="str">
        <x:v>[]</x:v>
      </x:c>
      <x:c r="E98" s="18" t="str">
        <x:v>food</x:v>
      </x:c>
      <x:c r="F98" s="18" t="str">
        <x:v>consumer_product</x:v>
      </x:c>
      <x:c r="G98" s="19" t="n">
        <x:v>46221.625</x:v>
      </x:c>
      <x:c r="H98" s="18" t="str"/>
      <x:c r="I98" s="18" t="str">
        <x:v>Y</x:v>
      </x:c>
      <x:c r="J98" s="18" t="str">
        <x:v>Y</x:v>
      </x:c>
      <x:c r="K98" s="18" t="str">
        <x:v>2026년 한국의 공개 신상·소비 자료에서 옥수수 크림 맘모스 관련 상품과 콘텐츠가 복수 항목으로 관찰된 사후 재구성 트렌드다. 당시 플랫폼 실시간 순위를 복원한 것이 아니며 투자 조언이 아니다.</x:v>
      </x:c>
      <x:c r="L98" s="18" t="str">
        <x:v>편의점 신상 자료에서 옥수수 크림 맘모스 관련 제품군이 연속 관찰</x:v>
      </x:c>
      <x:c r="M98" s="18" t="str">
        <x:v>other</x:v>
      </x:c>
      <x:c r="N98" s="18" t="str">
        <x:v>다먹어라이언</x:v>
      </x:c>
      <x:c r="O98" s="19" t="n">
        <x:v>46221.625</x:v>
      </x:c>
      <x:c r="P98" s="18" t="str">
        <x:v>7월3주차 편의점신상 (GS25, CU)</x:v>
      </x:c>
      <x:c r="Q98" s="18" t="str">
        <x:v>https://v.daum.net/v/66iOCie4d4?f=p</x:v>
      </x:c>
      <x:c r="R98" s="18" t="str">
        <x:v>other</x:v>
      </x:c>
      <x:c r="S98" s="18" t="str">
        <x:v>다먹어라이언</x:v>
      </x:c>
      <x:c r="T98" s="19" t="n">
        <x:v>46228.625</x:v>
      </x:c>
      <x:c r="U98" s="18" t="str">
        <x:v>7월4주차 편의점신상 (GS25,CU)</x:v>
      </x:c>
      <x:c r="V98" s="18" t="str">
        <x:v>https://v.daum.net/v/blzCQ0FYOh</x:v>
      </x:c>
      <x:c r="W98" s="18" t="str">
        <x:v>resolved_excluded</x:v>
      </x:c>
      <x:c r="X98" s="18" t="str">
        <x:v>excluded</x:v>
      </x:c>
      <x:c r="Y98" s="18" t="str">
        <x:v>광고성</x:v>
      </x:c>
      <x:c r="Z98" s="18" t="str"/>
      <x:c r="AA98" s="18" t="str">
        <x:v>단일 신상품 모음 또는 판매성 소개만 확인돼 관심·언급 증가와 다채널 확산을 입증하지 못했다.</x:v>
      </x:c>
    </x:row>
    <x:row r="99">
      <x:c r="A99" s="18" t="n">
        <x:v>96</x:v>
      </x:c>
      <x:c r="B99" s="18" t="str">
        <x:v>kr_202607_theme_18</x:v>
      </x:c>
      <x:c r="C99" s="18" t="str">
        <x:v>스프링클 비주얼 디저트</x:v>
      </x:c>
      <x:c r="D99" s="18" t="str">
        <x:v>[]</x:v>
      </x:c>
      <x:c r="E99" s="18" t="str">
        <x:v>food</x:v>
      </x:c>
      <x:c r="F99" s="18" t="str">
        <x:v>consumer_product</x:v>
      </x:c>
      <x:c r="G99" s="19" t="n">
        <x:v>46221.625</x:v>
      </x:c>
      <x:c r="H99" s="18" t="str"/>
      <x:c r="I99" s="18" t="str">
        <x:v>Y</x:v>
      </x:c>
      <x:c r="J99" s="18" t="str">
        <x:v>Y</x:v>
      </x:c>
      <x:c r="K99" s="18" t="str">
        <x:v>2026년 한국의 공개 신상·소비 자료에서 스프링클 비주얼 디저트 관련 상품과 콘텐츠가 복수 항목으로 관찰된 사후 재구성 트렌드다. 당시 플랫폼 실시간 순위를 복원한 것이 아니며 투자 조언이 아니다.</x:v>
      </x:c>
      <x:c r="L99" s="18" t="str">
        <x:v>편의점 신상 자료에서 스프링클 비주얼 디저트 관련 제품군이 연속 관찰</x:v>
      </x:c>
      <x:c r="M99" s="18" t="str">
        <x:v>other</x:v>
      </x:c>
      <x:c r="N99" s="18" t="str">
        <x:v>다먹어라이언</x:v>
      </x:c>
      <x:c r="O99" s="19" t="n">
        <x:v>46221.625</x:v>
      </x:c>
      <x:c r="P99" s="18" t="str">
        <x:v>7월3주차 편의점신상 (GS25, CU)</x:v>
      </x:c>
      <x:c r="Q99" s="18" t="str">
        <x:v>https://v.daum.net/v/66iOCie4d4?f=p</x:v>
      </x:c>
      <x:c r="R99" s="18" t="str">
        <x:v>other</x:v>
      </x:c>
      <x:c r="S99" s="18" t="str">
        <x:v>다먹어라이언</x:v>
      </x:c>
      <x:c r="T99" s="19" t="n">
        <x:v>46228.625</x:v>
      </x:c>
      <x:c r="U99" s="18" t="str">
        <x:v>7월4주차 편의점신상 (GS25,CU)</x:v>
      </x:c>
      <x:c r="V99" s="18" t="str">
        <x:v>https://v.daum.net/v/blzCQ0FYOh</x:v>
      </x:c>
      <x:c r="W99" s="18" t="str">
        <x:v>resolved_excluded</x:v>
      </x:c>
      <x:c r="X99" s="18" t="str">
        <x:v>excluded</x:v>
      </x:c>
      <x:c r="Y99" s="18" t="str">
        <x:v>광고성</x:v>
      </x:c>
      <x:c r="Z99" s="18" t="str"/>
      <x:c r="AA99" s="18" t="str">
        <x:v>단일 신상품 모음 또는 판매성 소개만 확인돼 관심·언급 증가와 다채널 확산을 입증하지 못했다.</x:v>
      </x:c>
    </x:row>
    <x:row r="100">
      <x:c r="A100" s="18" t="n">
        <x:v>97</x:v>
      </x:c>
      <x:c r="B100" s="18" t="str">
        <x:v>kr_202607_theme_19</x:v>
      </x:c>
      <x:c r="C100" s="18" t="str">
        <x:v>토이스토리 캐릭터 간식</x:v>
      </x:c>
      <x:c r="D100" s="18" t="str">
        <x:v>[]</x:v>
      </x:c>
      <x:c r="E100" s="18" t="str">
        <x:v>food</x:v>
      </x:c>
      <x:c r="F100" s="18" t="str">
        <x:v>consumer_product</x:v>
      </x:c>
      <x:c r="G100" s="19" t="n">
        <x:v>46221.625</x:v>
      </x:c>
      <x:c r="H100" s="18" t="str"/>
      <x:c r="I100" s="18" t="str">
        <x:v>Y</x:v>
      </x:c>
      <x:c r="J100" s="18" t="str">
        <x:v>Y</x:v>
      </x:c>
      <x:c r="K100" s="18" t="str">
        <x:v>2026년 한국의 공개 신상·소비 자료에서 토이스토리 캐릭터 간식 관련 상품과 콘텐츠가 복수 항목으로 관찰된 사후 재구성 트렌드다. 당시 플랫폼 실시간 순위를 복원한 것이 아니며 투자 조언이 아니다.</x:v>
      </x:c>
      <x:c r="L100" s="18" t="str">
        <x:v>편의점 신상 자료에서 토이스토리 캐릭터 간식 관련 제품군이 연속 관찰</x:v>
      </x:c>
      <x:c r="M100" s="18" t="str">
        <x:v>other</x:v>
      </x:c>
      <x:c r="N100" s="18" t="str">
        <x:v>다먹어라이언</x:v>
      </x:c>
      <x:c r="O100" s="19" t="n">
        <x:v>46221.625</x:v>
      </x:c>
      <x:c r="P100" s="18" t="str">
        <x:v>7월3주차 편의점신상 (GS25, CU)</x:v>
      </x:c>
      <x:c r="Q100" s="18" t="str">
        <x:v>https://v.daum.net/v/66iOCie4d4?f=p</x:v>
      </x:c>
      <x:c r="R100" s="18" t="str">
        <x:v>other</x:v>
      </x:c>
      <x:c r="S100" s="18" t="str">
        <x:v>다먹어라이언</x:v>
      </x:c>
      <x:c r="T100" s="19" t="n">
        <x:v>46228.625</x:v>
      </x:c>
      <x:c r="U100" s="18" t="str">
        <x:v>7월4주차 편의점신상 (GS25,CU)</x:v>
      </x:c>
      <x:c r="V100" s="18" t="str">
        <x:v>https://v.daum.net/v/blzCQ0FYOh</x:v>
      </x:c>
      <x:c r="W100" s="18" t="str">
        <x:v>resolved_excluded</x:v>
      </x:c>
      <x:c r="X100" s="18" t="str">
        <x:v>excluded</x:v>
      </x:c>
      <x:c r="Y100" s="18" t="str">
        <x:v>광고성</x:v>
      </x:c>
      <x:c r="Z100" s="18" t="str"/>
      <x:c r="AA100" s="18" t="str">
        <x:v>단일 신상품 모음 또는 판매성 소개만 확인돼 관심·언급 증가와 다채널 확산을 입증하지 못했다.</x:v>
      </x:c>
    </x:row>
    <x:row r="101">
      <x:c r="A101" s="18" t="n">
        <x:v>98</x:v>
      </x:c>
      <x:c r="B101" s="18" t="str">
        <x:v>kr_202607_theme_20</x:v>
      </x:c>
      <x:c r="C101" s="18" t="str">
        <x:v>스폰지밥 젤리·아이스바</x:v>
      </x:c>
      <x:c r="D101" s="18" t="str">
        <x:v>[]</x:v>
      </x:c>
      <x:c r="E101" s="18" t="str">
        <x:v>food</x:v>
      </x:c>
      <x:c r="F101" s="18" t="str">
        <x:v>consumer_product</x:v>
      </x:c>
      <x:c r="G101" s="19" t="n">
        <x:v>46221.625</x:v>
      </x:c>
      <x:c r="H101" s="18" t="str"/>
      <x:c r="I101" s="18" t="str">
        <x:v>Y</x:v>
      </x:c>
      <x:c r="J101" s="18" t="str">
        <x:v>Y</x:v>
      </x:c>
      <x:c r="K101" s="18" t="str">
        <x:v>2026년 한국의 공개 신상·소비 자료에서 스폰지밥 젤리·아이스바 관련 상품과 콘텐츠가 복수 항목으로 관찰된 사후 재구성 트렌드다. 당시 플랫폼 실시간 순위를 복원한 것이 아니며 투자 조언이 아니다.</x:v>
      </x:c>
      <x:c r="L101" s="18" t="str">
        <x:v>편의점 신상 자료에서 스폰지밥 젤리·아이스바 관련 제품군이 연속 관찰</x:v>
      </x:c>
      <x:c r="M101" s="18" t="str">
        <x:v>other</x:v>
      </x:c>
      <x:c r="N101" s="18" t="str">
        <x:v>다먹어라이언</x:v>
      </x:c>
      <x:c r="O101" s="19" t="n">
        <x:v>46221.625</x:v>
      </x:c>
      <x:c r="P101" s="18" t="str">
        <x:v>7월3주차 편의점신상 (GS25, CU)</x:v>
      </x:c>
      <x:c r="Q101" s="18" t="str">
        <x:v>https://v.daum.net/v/66iOCie4d4?f=p</x:v>
      </x:c>
      <x:c r="R101" s="18" t="str">
        <x:v>other</x:v>
      </x:c>
      <x:c r="S101" s="18" t="str">
        <x:v>다먹어라이언</x:v>
      </x:c>
      <x:c r="T101" s="19" t="n">
        <x:v>46228.625</x:v>
      </x:c>
      <x:c r="U101" s="18" t="str">
        <x:v>7월4주차 편의점신상 (GS25,CU)</x:v>
      </x:c>
      <x:c r="V101" s="18" t="str">
        <x:v>https://v.daum.net/v/blzCQ0FYOh</x:v>
      </x:c>
      <x:c r="W101" s="18" t="str">
        <x:v>resolved_excluded</x:v>
      </x:c>
      <x:c r="X101" s="18" t="str">
        <x:v>excluded</x:v>
      </x:c>
      <x:c r="Y101" s="18" t="str">
        <x:v>광고성</x:v>
      </x:c>
      <x:c r="Z101" s="18" t="str"/>
      <x:c r="AA101" s="18" t="str">
        <x:v>단일 신상품 모음 또는 판매성 소개만 확인돼 관심·언급 증가와 다채널 확산을 입증하지 못했다.</x:v>
      </x:c>
    </x:row>
    <x:row r="102">
      <x:c r="A102" s="18" t="n">
        <x:v>99</x:v>
      </x:c>
      <x:c r="B102" s="18" t="str">
        <x:v>kr_202607_theme_21</x:v>
      </x:c>
      <x:c r="C102" s="18" t="str">
        <x:v>몬치치 굿즈형 디저트</x:v>
      </x:c>
      <x:c r="D102" s="18" t="str">
        <x:v>[]</x:v>
      </x:c>
      <x:c r="E102" s="18" t="str">
        <x:v>food</x:v>
      </x:c>
      <x:c r="F102" s="18" t="str">
        <x:v>consumer_product</x:v>
      </x:c>
      <x:c r="G102" s="19" t="n">
        <x:v>46221.625</x:v>
      </x:c>
      <x:c r="H102" s="18" t="str"/>
      <x:c r="I102" s="18" t="str">
        <x:v>Y</x:v>
      </x:c>
      <x:c r="J102" s="18" t="str">
        <x:v>Y</x:v>
      </x:c>
      <x:c r="K102" s="18" t="str">
        <x:v>2026년 한국의 공개 신상·소비 자료에서 몬치치 굿즈형 디저트 관련 상품과 콘텐츠가 복수 항목으로 관찰된 사후 재구성 트렌드다. 당시 플랫폼 실시간 순위를 복원한 것이 아니며 투자 조언이 아니다.</x:v>
      </x:c>
      <x:c r="L102" s="18" t="str">
        <x:v>편의점 신상 자료에서 몬치치 굿즈형 디저트 관련 제품군이 연속 관찰</x:v>
      </x:c>
      <x:c r="M102" s="18" t="str">
        <x:v>other</x:v>
      </x:c>
      <x:c r="N102" s="18" t="str">
        <x:v>다먹어라이언</x:v>
      </x:c>
      <x:c r="O102" s="19" t="n">
        <x:v>46221.625</x:v>
      </x:c>
      <x:c r="P102" s="18" t="str">
        <x:v>7월3주차 편의점신상 (GS25, CU)</x:v>
      </x:c>
      <x:c r="Q102" s="18" t="str">
        <x:v>https://v.daum.net/v/66iOCie4d4?f=p</x:v>
      </x:c>
      <x:c r="R102" s="18" t="str">
        <x:v>other</x:v>
      </x:c>
      <x:c r="S102" s="18" t="str">
        <x:v>다먹어라이언</x:v>
      </x:c>
      <x:c r="T102" s="19" t="n">
        <x:v>46228.625</x:v>
      </x:c>
      <x:c r="U102" s="18" t="str">
        <x:v>7월4주차 편의점신상 (GS25,CU)</x:v>
      </x:c>
      <x:c r="V102" s="18" t="str">
        <x:v>https://v.daum.net/v/blzCQ0FYOh</x:v>
      </x:c>
      <x:c r="W102" s="18" t="str">
        <x:v>resolved_excluded</x:v>
      </x:c>
      <x:c r="X102" s="18" t="str">
        <x:v>excluded</x:v>
      </x:c>
      <x:c r="Y102" s="18" t="str">
        <x:v>광고성</x:v>
      </x:c>
      <x:c r="Z102" s="18" t="str"/>
      <x:c r="AA102" s="18" t="str">
        <x:v>단일 신상품 모음 또는 판매성 소개만 확인돼 관심·언급 증가와 다채널 확산을 입증하지 못했다.</x:v>
      </x:c>
    </x:row>
    <x:row r="103">
      <x:c r="A103" s="18" t="n">
        <x:v>100</x:v>
      </x:c>
      <x:c r="B103" s="18" t="str">
        <x:v>kr_202607_theme_22</x:v>
      </x:c>
      <x:c r="C103" s="18" t="str">
        <x:v>레몬 요거트 아이스</x:v>
      </x:c>
      <x:c r="D103" s="18" t="str">
        <x:v>[]</x:v>
      </x:c>
      <x:c r="E103" s="18" t="str">
        <x:v>food</x:v>
      </x:c>
      <x:c r="F103" s="18" t="str">
        <x:v>consumer_product</x:v>
      </x:c>
      <x:c r="G103" s="19" t="n">
        <x:v>46221.625</x:v>
      </x:c>
      <x:c r="H103" s="18" t="str"/>
      <x:c r="I103" s="18" t="str">
        <x:v>Y</x:v>
      </x:c>
      <x:c r="J103" s="18" t="str">
        <x:v>Y</x:v>
      </x:c>
      <x:c r="K103" s="18" t="str">
        <x:v>2026년 한국의 공개 신상·소비 자료에서 레몬 요거트 아이스 관련 상품과 콘텐츠가 복수 항목으로 관찰된 사후 재구성 트렌드다. 당시 플랫폼 실시간 순위를 복원한 것이 아니며 투자 조언이 아니다.</x:v>
      </x:c>
      <x:c r="L103" s="18" t="str">
        <x:v>편의점 신상 자료에서 레몬 요거트 아이스 관련 제품군이 연속 관찰</x:v>
      </x:c>
      <x:c r="M103" s="18" t="str">
        <x:v>other</x:v>
      </x:c>
      <x:c r="N103" s="18" t="str">
        <x:v>다먹어라이언</x:v>
      </x:c>
      <x:c r="O103" s="19" t="n">
        <x:v>46221.625</x:v>
      </x:c>
      <x:c r="P103" s="18" t="str">
        <x:v>7월3주차 편의점신상 (GS25, CU)</x:v>
      </x:c>
      <x:c r="Q103" s="18" t="str">
        <x:v>https://v.daum.net/v/66iOCie4d4?f=p</x:v>
      </x:c>
      <x:c r="R103" s="18" t="str">
        <x:v>other</x:v>
      </x:c>
      <x:c r="S103" s="18" t="str">
        <x:v>다먹어라이언</x:v>
      </x:c>
      <x:c r="T103" s="19" t="n">
        <x:v>46228.625</x:v>
      </x:c>
      <x:c r="U103" s="18" t="str">
        <x:v>7월4주차 편의점신상 (GS25,CU)</x:v>
      </x:c>
      <x:c r="V103" s="18" t="str">
        <x:v>https://v.daum.net/v/blzCQ0FYOh</x:v>
      </x:c>
      <x:c r="W103" s="18" t="str">
        <x:v>resolved_excluded</x:v>
      </x:c>
      <x:c r="X103" s="18" t="str">
        <x:v>excluded</x:v>
      </x:c>
      <x:c r="Y103" s="18" t="str">
        <x:v>광고성</x:v>
      </x:c>
      <x:c r="Z103" s="18" t="str"/>
      <x:c r="AA103" s="18" t="str">
        <x:v>단일 신상품 모음 또는 판매성 소개만 확인돼 관심·언급 증가와 다채널 확산을 입증하지 못했다.</x:v>
      </x:c>
    </x:row>
    <x:row r="104">
      <x:c r="A104" s="18" t="n">
        <x:v>101</x:v>
      </x:c>
      <x:c r="B104" s="18" t="str">
        <x:v>kr_202607_theme_23</x:v>
      </x:c>
      <x:c r="C104" s="18" t="str">
        <x:v>셰프 레시피 편의점 김밥</x:v>
      </x:c>
      <x:c r="D104" s="18" t="str">
        <x:v>[]</x:v>
      </x:c>
      <x:c r="E104" s="18" t="str">
        <x:v>food</x:v>
      </x:c>
      <x:c r="F104" s="18" t="str">
        <x:v>consumer_product</x:v>
      </x:c>
      <x:c r="G104" s="19" t="n">
        <x:v>46221.625</x:v>
      </x:c>
      <x:c r="H104" s="18" t="str"/>
      <x:c r="I104" s="18" t="str">
        <x:v>Y</x:v>
      </x:c>
      <x:c r="J104" s="18" t="str">
        <x:v>Y</x:v>
      </x:c>
      <x:c r="K104" s="18" t="str">
        <x:v>2026년 한국의 공개 신상·소비 자료에서 셰프 레시피 편의점 김밥 관련 상품과 콘텐츠가 복수 항목으로 관찰된 사후 재구성 트렌드다. 당시 플랫폼 실시간 순위를 복원한 것이 아니며 투자 조언이 아니다.</x:v>
      </x:c>
      <x:c r="L104" s="18" t="str">
        <x:v>편의점 신상 자료에서 셰프 레시피 편의점 김밥 관련 제품군이 연속 관찰</x:v>
      </x:c>
      <x:c r="M104" s="18" t="str">
        <x:v>other</x:v>
      </x:c>
      <x:c r="N104" s="18" t="str">
        <x:v>다먹어라이언</x:v>
      </x:c>
      <x:c r="O104" s="19" t="n">
        <x:v>46221.625</x:v>
      </x:c>
      <x:c r="P104" s="18" t="str">
        <x:v>7월3주차 편의점신상 (GS25, CU)</x:v>
      </x:c>
      <x:c r="Q104" s="18" t="str">
        <x:v>https://v.daum.net/v/66iOCie4d4?f=p</x:v>
      </x:c>
      <x:c r="R104" s="18" t="str">
        <x:v>other</x:v>
      </x:c>
      <x:c r="S104" s="18" t="str">
        <x:v>다먹어라이언</x:v>
      </x:c>
      <x:c r="T104" s="19" t="n">
        <x:v>46228.625</x:v>
      </x:c>
      <x:c r="U104" s="18" t="str">
        <x:v>7월4주차 편의점신상 (GS25,CU)</x:v>
      </x:c>
      <x:c r="V104" s="18" t="str">
        <x:v>https://v.daum.net/v/blzCQ0FYOh</x:v>
      </x:c>
      <x:c r="W104" s="18" t="str">
        <x:v>resolved_excluded</x:v>
      </x:c>
      <x:c r="X104" s="18" t="str">
        <x:v>excluded</x:v>
      </x:c>
      <x:c r="Y104" s="18" t="str">
        <x:v>광고성</x:v>
      </x:c>
      <x:c r="Z104" s="18" t="str"/>
      <x:c r="AA104" s="18" t="str">
        <x:v>단일 신상품 모음 또는 판매성 소개만 확인돼 관심·언급 증가와 다채널 확산을 입증하지 못했다.</x:v>
      </x:c>
    </x:row>
    <x:row r="105">
      <x:c r="A105" s="18" t="n">
        <x:v>102</x:v>
      </x:c>
      <x:c r="B105" s="18" t="str">
        <x:v>kr_202607_theme_24</x:v>
      </x:c>
      <x:c r="C105" s="18" t="str">
        <x:v>치즈 포테이토 델리</x:v>
      </x:c>
      <x:c r="D105" s="18" t="str">
        <x:v>[]</x:v>
      </x:c>
      <x:c r="E105" s="18" t="str">
        <x:v>food</x:v>
      </x:c>
      <x:c r="F105" s="18" t="str">
        <x:v>consumer_product</x:v>
      </x:c>
      <x:c r="G105" s="19" t="n">
        <x:v>46221.625</x:v>
      </x:c>
      <x:c r="H105" s="18" t="str"/>
      <x:c r="I105" s="18" t="str">
        <x:v>Y</x:v>
      </x:c>
      <x:c r="J105" s="18" t="str">
        <x:v>Y</x:v>
      </x:c>
      <x:c r="K105" s="18" t="str">
        <x:v>2026년 한국의 공개 신상·소비 자료에서 치즈 포테이토 델리 관련 상품과 콘텐츠가 복수 항목으로 관찰된 사후 재구성 트렌드다. 당시 플랫폼 실시간 순위를 복원한 것이 아니며 투자 조언이 아니다.</x:v>
      </x:c>
      <x:c r="L105" s="18" t="str">
        <x:v>편의점 신상 자료에서 치즈 포테이토 델리 관련 제품군이 연속 관찰</x:v>
      </x:c>
      <x:c r="M105" s="18" t="str">
        <x:v>other</x:v>
      </x:c>
      <x:c r="N105" s="18" t="str">
        <x:v>다먹어라이언</x:v>
      </x:c>
      <x:c r="O105" s="19" t="n">
        <x:v>46221.625</x:v>
      </x:c>
      <x:c r="P105" s="18" t="str">
        <x:v>7월3주차 편의점신상 (GS25, CU)</x:v>
      </x:c>
      <x:c r="Q105" s="18" t="str">
        <x:v>https://v.daum.net/v/66iOCie4d4?f=p</x:v>
      </x:c>
      <x:c r="R105" s="18" t="str">
        <x:v>other</x:v>
      </x:c>
      <x:c r="S105" s="18" t="str">
        <x:v>다먹어라이언</x:v>
      </x:c>
      <x:c r="T105" s="19" t="n">
        <x:v>46228.625</x:v>
      </x:c>
      <x:c r="U105" s="18" t="str">
        <x:v>7월4주차 편의점신상 (GS25,CU)</x:v>
      </x:c>
      <x:c r="V105" s="18" t="str">
        <x:v>https://v.daum.net/v/blzCQ0FYOh</x:v>
      </x:c>
      <x:c r="W105" s="18" t="str">
        <x:v>resolved_excluded</x:v>
      </x:c>
      <x:c r="X105" s="18" t="str">
        <x:v>excluded</x:v>
      </x:c>
      <x:c r="Y105" s="18" t="str">
        <x:v>광고성</x:v>
      </x:c>
      <x:c r="Z105" s="18" t="str"/>
      <x:c r="AA105" s="18" t="str">
        <x:v>단일 신상품 모음 또는 판매성 소개만 확인돼 관심·언급 증가와 다채널 확산을 입증하지 못했다.</x:v>
      </x:c>
    </x:row>
    <x:row r="106">
      <x:c r="A106" s="18" t="n">
        <x:v>103</x:v>
      </x:c>
      <x:c r="B106" s="18" t="str">
        <x:v>kr_202607_theme_25</x:v>
      </x:c>
      <x:c r="C106" s="18" t="str">
        <x:v>지중해식 편의점 베이커리</x:v>
      </x:c>
      <x:c r="D106" s="18" t="str">
        <x:v>[]</x:v>
      </x:c>
      <x:c r="E106" s="18" t="str">
        <x:v>food</x:v>
      </x:c>
      <x:c r="F106" s="18" t="str">
        <x:v>consumer_product</x:v>
      </x:c>
      <x:c r="G106" s="19" t="n">
        <x:v>46221.625</x:v>
      </x:c>
      <x:c r="H106" s="18" t="str"/>
      <x:c r="I106" s="18" t="str">
        <x:v>Y</x:v>
      </x:c>
      <x:c r="J106" s="18" t="str">
        <x:v>Y</x:v>
      </x:c>
      <x:c r="K106" s="18" t="str">
        <x:v>2026년 한국의 공개 신상·소비 자료에서 지중해식 편의점 베이커리 관련 상품과 콘텐츠가 복수 항목으로 관찰된 사후 재구성 트렌드다. 당시 플랫폼 실시간 순위를 복원한 것이 아니며 투자 조언이 아니다.</x:v>
      </x:c>
      <x:c r="L106" s="18" t="str">
        <x:v>편의점 신상 자료에서 지중해식 편의점 베이커리 관련 제품군이 연속 관찰</x:v>
      </x:c>
      <x:c r="M106" s="18" t="str">
        <x:v>other</x:v>
      </x:c>
      <x:c r="N106" s="18" t="str">
        <x:v>다먹어라이언</x:v>
      </x:c>
      <x:c r="O106" s="19" t="n">
        <x:v>46221.625</x:v>
      </x:c>
      <x:c r="P106" s="18" t="str">
        <x:v>7월3주차 편의점신상 (GS25, CU)</x:v>
      </x:c>
      <x:c r="Q106" s="18" t="str">
        <x:v>https://v.daum.net/v/66iOCie4d4?f=p</x:v>
      </x:c>
      <x:c r="R106" s="18" t="str">
        <x:v>other</x:v>
      </x:c>
      <x:c r="S106" s="18" t="str">
        <x:v>다먹어라이언</x:v>
      </x:c>
      <x:c r="T106" s="19" t="n">
        <x:v>46228.625</x:v>
      </x:c>
      <x:c r="U106" s="18" t="str">
        <x:v>7월4주차 편의점신상 (GS25,CU)</x:v>
      </x:c>
      <x:c r="V106" s="18" t="str">
        <x:v>https://v.daum.net/v/blzCQ0FYOh</x:v>
      </x:c>
      <x:c r="W106" s="18" t="str">
        <x:v>resolved_excluded</x:v>
      </x:c>
      <x:c r="X106" s="18" t="str">
        <x:v>excluded</x:v>
      </x:c>
      <x:c r="Y106" s="18" t="str">
        <x:v>광고성</x:v>
      </x:c>
      <x:c r="Z106" s="18" t="str"/>
      <x:c r="AA106" s="18" t="str">
        <x:v>단일 신상품 모음 또는 판매성 소개만 확인돼 관심·언급 증가와 다채널 확산을 입증하지 못했다.</x:v>
      </x:c>
    </x:row>
    <x:row r="107">
      <x:c r="A107" s="18" t="n">
        <x:v>104</x:v>
      </x:c>
      <x:c r="B107" s="18" t="str">
        <x:v>kr_202607_theme_26</x:v>
      </x:c>
      <x:c r="C107" s="18" t="str">
        <x:v>강탄산 레몬 캔주류</x:v>
      </x:c>
      <x:c r="D107" s="18" t="str">
        <x:v>[]</x:v>
      </x:c>
      <x:c r="E107" s="18" t="str">
        <x:v>food</x:v>
      </x:c>
      <x:c r="F107" s="18" t="str">
        <x:v>consumer_product</x:v>
      </x:c>
      <x:c r="G107" s="19" t="n">
        <x:v>46221.625</x:v>
      </x:c>
      <x:c r="H107" s="18" t="str"/>
      <x:c r="I107" s="18" t="str">
        <x:v>Y</x:v>
      </x:c>
      <x:c r="J107" s="18" t="str">
        <x:v>Y</x:v>
      </x:c>
      <x:c r="K107" s="18" t="str">
        <x:v>2026년 한국의 공개 신상·소비 자료에서 강탄산 레몬 캔주류 관련 상품과 콘텐츠가 복수 항목으로 관찰된 사후 재구성 트렌드다. 당시 플랫폼 실시간 순위를 복원한 것이 아니며 투자 조언이 아니다.</x:v>
      </x:c>
      <x:c r="L107" s="18" t="str">
        <x:v>편의점 신상 자료에서 강탄산 레몬 캔주류 관련 제품군이 연속 관찰</x:v>
      </x:c>
      <x:c r="M107" s="18" t="str">
        <x:v>other</x:v>
      </x:c>
      <x:c r="N107" s="18" t="str">
        <x:v>다먹어라이언</x:v>
      </x:c>
      <x:c r="O107" s="19" t="n">
        <x:v>46221.625</x:v>
      </x:c>
      <x:c r="P107" s="18" t="str">
        <x:v>7월3주차 편의점신상 (GS25, CU)</x:v>
      </x:c>
      <x:c r="Q107" s="18" t="str">
        <x:v>https://v.daum.net/v/66iOCie4d4?f=p</x:v>
      </x:c>
      <x:c r="R107" s="18" t="str">
        <x:v>other</x:v>
      </x:c>
      <x:c r="S107" s="18" t="str">
        <x:v>다먹어라이언</x:v>
      </x:c>
      <x:c r="T107" s="19" t="n">
        <x:v>46228.625</x:v>
      </x:c>
      <x:c r="U107" s="18" t="str">
        <x:v>7월4주차 편의점신상 (GS25,CU)</x:v>
      </x:c>
      <x:c r="V107" s="18" t="str">
        <x:v>https://v.daum.net/v/blzCQ0FYOh</x:v>
      </x:c>
      <x:c r="W107" s="18" t="str">
        <x:v>resolved_excluded</x:v>
      </x:c>
      <x:c r="X107" s="18" t="str">
        <x:v>excluded</x:v>
      </x:c>
      <x:c r="Y107" s="18" t="str">
        <x:v>광고성</x:v>
      </x:c>
      <x:c r="Z107" s="18" t="str"/>
      <x:c r="AA107" s="18" t="str">
        <x:v>단일 신상품 모음 또는 판매성 소개만 확인돼 관심·언급 증가와 다채널 확산을 입증하지 못했다.</x:v>
      </x:c>
    </x:row>
    <x:row r="108">
      <x:c r="A108" s="18" t="n">
        <x:v>105</x:v>
      </x:c>
      <x:c r="B108" s="18" t="str">
        <x:v>kr_202607_theme_27</x:v>
      </x:c>
      <x:c r="C108" s="18" t="str">
        <x:v>캐릭터 포카치아 피자빵</x:v>
      </x:c>
      <x:c r="D108" s="18" t="str">
        <x:v>[]</x:v>
      </x:c>
      <x:c r="E108" s="18" t="str">
        <x:v>food</x:v>
      </x:c>
      <x:c r="F108" s="18" t="str">
        <x:v>consumer_product</x:v>
      </x:c>
      <x:c r="G108" s="19" t="n">
        <x:v>46221.625</x:v>
      </x:c>
      <x:c r="H108" s="18" t="str"/>
      <x:c r="I108" s="18" t="str">
        <x:v>Y</x:v>
      </x:c>
      <x:c r="J108" s="18" t="str">
        <x:v>Y</x:v>
      </x:c>
      <x:c r="K108" s="18" t="str">
        <x:v>2026년 한국의 공개 신상·소비 자료에서 캐릭터 포카치아 피자빵 관련 상품과 콘텐츠가 복수 항목으로 관찰된 사후 재구성 트렌드다. 당시 플랫폼 실시간 순위를 복원한 것이 아니며 투자 조언이 아니다.</x:v>
      </x:c>
      <x:c r="L108" s="18" t="str">
        <x:v>편의점 신상 자료에서 캐릭터 포카치아 피자빵 관련 제품군이 연속 관찰</x:v>
      </x:c>
      <x:c r="M108" s="18" t="str">
        <x:v>other</x:v>
      </x:c>
      <x:c r="N108" s="18" t="str">
        <x:v>다먹어라이언</x:v>
      </x:c>
      <x:c r="O108" s="19" t="n">
        <x:v>46221.625</x:v>
      </x:c>
      <x:c r="P108" s="18" t="str">
        <x:v>7월3주차 편의점신상 (GS25, CU)</x:v>
      </x:c>
      <x:c r="Q108" s="18" t="str">
        <x:v>https://v.daum.net/v/66iOCie4d4?f=p</x:v>
      </x:c>
      <x:c r="R108" s="18" t="str">
        <x:v>other</x:v>
      </x:c>
      <x:c r="S108" s="18" t="str">
        <x:v>다먹어라이언</x:v>
      </x:c>
      <x:c r="T108" s="19" t="n">
        <x:v>46228.625</x:v>
      </x:c>
      <x:c r="U108" s="18" t="str">
        <x:v>7월4주차 편의점신상 (GS25,CU)</x:v>
      </x:c>
      <x:c r="V108" s="18" t="str">
        <x:v>https://v.daum.net/v/blzCQ0FYOh</x:v>
      </x:c>
      <x:c r="W108" s="18" t="str">
        <x:v>resolved_excluded</x:v>
      </x:c>
      <x:c r="X108" s="18" t="str">
        <x:v>excluded</x:v>
      </x:c>
      <x:c r="Y108" s="18" t="str">
        <x:v>광고성</x:v>
      </x:c>
      <x:c r="Z108" s="18" t="str"/>
      <x:c r="AA108" s="18" t="str">
        <x:v>단일 신상품 모음 또는 판매성 소개만 확인돼 관심·언급 증가와 다채널 확산을 입증하지 못했다.</x:v>
      </x:c>
    </x:row>
    <x:row r="109">
      <x:c r="A109" s="18" t="n">
        <x:v>106</x:v>
      </x:c>
      <x:c r="B109" s="18" t="str">
        <x:v>kr_202607_theme_28</x:v>
      </x:c>
      <x:c r="C109" s="18" t="str">
        <x:v>깨먹는 크랙 디저트</x:v>
      </x:c>
      <x:c r="D109" s="18" t="str">
        <x:v>[]</x:v>
      </x:c>
      <x:c r="E109" s="18" t="str">
        <x:v>food</x:v>
      </x:c>
      <x:c r="F109" s="18" t="str">
        <x:v>consumer_product</x:v>
      </x:c>
      <x:c r="G109" s="19" t="n">
        <x:v>46221.625</x:v>
      </x:c>
      <x:c r="H109" s="18" t="str"/>
      <x:c r="I109" s="18" t="str">
        <x:v>Y</x:v>
      </x:c>
      <x:c r="J109" s="18" t="str">
        <x:v>Y</x:v>
      </x:c>
      <x:c r="K109" s="18" t="str">
        <x:v>2026년 한국의 공개 신상·소비 자료에서 깨먹는 크랙 디저트 관련 상품과 콘텐츠가 복수 항목으로 관찰된 사후 재구성 트렌드다. 당시 플랫폼 실시간 순위를 복원한 것이 아니며 투자 조언이 아니다.</x:v>
      </x:c>
      <x:c r="L109" s="18" t="str">
        <x:v>편의점 신상 자료에서 깨먹는 크랙 디저트 관련 제품군이 연속 관찰</x:v>
      </x:c>
      <x:c r="M109" s="18" t="str">
        <x:v>other</x:v>
      </x:c>
      <x:c r="N109" s="18" t="str">
        <x:v>다먹어라이언</x:v>
      </x:c>
      <x:c r="O109" s="19" t="n">
        <x:v>46221.625</x:v>
      </x:c>
      <x:c r="P109" s="18" t="str">
        <x:v>7월3주차 편의점신상 (GS25, CU)</x:v>
      </x:c>
      <x:c r="Q109" s="18" t="str">
        <x:v>https://v.daum.net/v/66iOCie4d4?f=p</x:v>
      </x:c>
      <x:c r="R109" s="18" t="str">
        <x:v>other</x:v>
      </x:c>
      <x:c r="S109" s="18" t="str">
        <x:v>다먹어라이언</x:v>
      </x:c>
      <x:c r="T109" s="19" t="n">
        <x:v>46228.625</x:v>
      </x:c>
      <x:c r="U109" s="18" t="str">
        <x:v>7월4주차 편의점신상 (GS25,CU)</x:v>
      </x:c>
      <x:c r="V109" s="18" t="str">
        <x:v>https://v.daum.net/v/blzCQ0FYOh</x:v>
      </x:c>
      <x:c r="W109" s="18" t="str">
        <x:v>resolved_excluded</x:v>
      </x:c>
      <x:c r="X109" s="18" t="str">
        <x:v>excluded</x:v>
      </x:c>
      <x:c r="Y109" s="18" t="str">
        <x:v>광고성</x:v>
      </x:c>
      <x:c r="Z109" s="18" t="str"/>
      <x:c r="AA109" s="18" t="str">
        <x:v>단일 신상품 모음 또는 판매성 소개만 확인돼 관심·언급 증가와 다채널 확산을 입증하지 못했다.</x:v>
      </x:c>
    </x:row>
    <x:row r="110">
      <x:c r="A110" s="18" t="n">
        <x:v>107</x:v>
      </x:c>
      <x:c r="B110" s="18" t="str">
        <x:v>kr_202607_theme_29</x:v>
      </x:c>
      <x:c r="C110" s="18" t="str">
        <x:v>과일 크림 팬케이크</x:v>
      </x:c>
      <x:c r="D110" s="18" t="str">
        <x:v>[]</x:v>
      </x:c>
      <x:c r="E110" s="18" t="str">
        <x:v>food</x:v>
      </x:c>
      <x:c r="F110" s="18" t="str">
        <x:v>consumer_product</x:v>
      </x:c>
      <x:c r="G110" s="19" t="n">
        <x:v>46221.625</x:v>
      </x:c>
      <x:c r="H110" s="18" t="str"/>
      <x:c r="I110" s="18" t="str">
        <x:v>Y</x:v>
      </x:c>
      <x:c r="J110" s="18" t="str">
        <x:v>Y</x:v>
      </x:c>
      <x:c r="K110" s="18" t="str">
        <x:v>2026년 한국의 공개 신상·소비 자료에서 과일 크림 팬케이크 관련 상품과 콘텐츠가 복수 항목으로 관찰된 사후 재구성 트렌드다. 당시 플랫폼 실시간 순위를 복원한 것이 아니며 투자 조언이 아니다.</x:v>
      </x:c>
      <x:c r="L110" s="18" t="str">
        <x:v>편의점 신상 자료에서 과일 크림 팬케이크 관련 제품군이 연속 관찰</x:v>
      </x:c>
      <x:c r="M110" s="18" t="str">
        <x:v>other</x:v>
      </x:c>
      <x:c r="N110" s="18" t="str">
        <x:v>다먹어라이언</x:v>
      </x:c>
      <x:c r="O110" s="19" t="n">
        <x:v>46221.625</x:v>
      </x:c>
      <x:c r="P110" s="18" t="str">
        <x:v>7월3주차 편의점신상 (GS25, CU)</x:v>
      </x:c>
      <x:c r="Q110" s="18" t="str">
        <x:v>https://v.daum.net/v/66iOCie4d4?f=p</x:v>
      </x:c>
      <x:c r="R110" s="18" t="str">
        <x:v>other</x:v>
      </x:c>
      <x:c r="S110" s="18" t="str">
        <x:v>다먹어라이언</x:v>
      </x:c>
      <x:c r="T110" s="19" t="n">
        <x:v>46228.625</x:v>
      </x:c>
      <x:c r="U110" s="18" t="str">
        <x:v>7월4주차 편의점신상 (GS25,CU)</x:v>
      </x:c>
      <x:c r="V110" s="18" t="str">
        <x:v>https://v.daum.net/v/blzCQ0FYOh</x:v>
      </x:c>
      <x:c r="W110" s="18" t="str">
        <x:v>resolved_excluded</x:v>
      </x:c>
      <x:c r="X110" s="18" t="str">
        <x:v>excluded</x:v>
      </x:c>
      <x:c r="Y110" s="18" t="str">
        <x:v>광고성</x:v>
      </x:c>
      <x:c r="Z110" s="18" t="str"/>
      <x:c r="AA110" s="18" t="str">
        <x:v>단일 신상품 모음 또는 판매성 소개만 확인돼 관심·언급 증가와 다채널 확산을 입증하지 못했다.</x:v>
      </x:c>
    </x:row>
    <x:row r="111">
      <x:c r="A111" s="18" t="n">
        <x:v>108</x:v>
      </x:c>
      <x:c r="B111" s="18" t="str">
        <x:v>kr_202607_theme_30</x:v>
      </x:c>
      <x:c r="C111" s="18" t="str">
        <x:v>말차 프리미엄 초콜릿</x:v>
      </x:c>
      <x:c r="D111" s="18" t="str">
        <x:v>[]</x:v>
      </x:c>
      <x:c r="E111" s="18" t="str">
        <x:v>food</x:v>
      </x:c>
      <x:c r="F111" s="18" t="str">
        <x:v>consumer_product</x:v>
      </x:c>
      <x:c r="G111" s="19" t="n">
        <x:v>46221.625</x:v>
      </x:c>
      <x:c r="H111" s="18" t="str"/>
      <x:c r="I111" s="18" t="str">
        <x:v>Y</x:v>
      </x:c>
      <x:c r="J111" s="18" t="str">
        <x:v>Y</x:v>
      </x:c>
      <x:c r="K111" s="18" t="str">
        <x:v>2026년 한국의 공개 신상·소비 자료에서 말차 프리미엄 초콜릿 관련 상품과 콘텐츠가 복수 항목으로 관찰된 사후 재구성 트렌드다. 당시 플랫폼 실시간 순위를 복원한 것이 아니며 투자 조언이 아니다.</x:v>
      </x:c>
      <x:c r="L111" s="18" t="str">
        <x:v>편의점 신상 자료에서 말차 프리미엄 초콜릿 관련 제품군이 연속 관찰</x:v>
      </x:c>
      <x:c r="M111" s="18" t="str">
        <x:v>other</x:v>
      </x:c>
      <x:c r="N111" s="18" t="str">
        <x:v>다먹어라이언</x:v>
      </x:c>
      <x:c r="O111" s="19" t="n">
        <x:v>46221.625</x:v>
      </x:c>
      <x:c r="P111" s="18" t="str">
        <x:v>7월3주차 편의점신상 (GS25, CU)</x:v>
      </x:c>
      <x:c r="Q111" s="18" t="str">
        <x:v>https://v.daum.net/v/66iOCie4d4?f=p</x:v>
      </x:c>
      <x:c r="R111" s="18" t="str">
        <x:v>other</x:v>
      </x:c>
      <x:c r="S111" s="18" t="str">
        <x:v>다먹어라이언</x:v>
      </x:c>
      <x:c r="T111" s="19" t="n">
        <x:v>46228.625</x:v>
      </x:c>
      <x:c r="U111" s="18" t="str">
        <x:v>7월4주차 편의점신상 (GS25,CU)</x:v>
      </x:c>
      <x:c r="V111" s="18" t="str">
        <x:v>https://v.daum.net/v/blzCQ0FYOh</x:v>
      </x:c>
      <x:c r="W111" s="18" t="str">
        <x:v>resolved_excluded</x:v>
      </x:c>
      <x:c r="X111" s="18" t="str">
        <x:v>excluded</x:v>
      </x:c>
      <x:c r="Y111" s="18" t="str">
        <x:v>광고성</x:v>
      </x:c>
      <x:c r="Z111" s="18" t="str"/>
      <x:c r="AA111" s="18" t="str">
        <x:v>단일 신상품 모음 또는 판매성 소개만 확인돼 관심·언급 증가와 다채널 확산을 입증하지 못했다.</x:v>
      </x:c>
    </x:row>
    <x:row r="112">
      <x:c r="A112" s="18" t="n">
        <x:v>109</x:v>
      </x:c>
      <x:c r="B112" s="18" t="str">
        <x:v>kr_202606_theme_31</x:v>
      </x:c>
      <x:c r="C112" s="18" t="str">
        <x:v>감자칩·초콜릿 단짠 결합</x:v>
      </x:c>
      <x:c r="D112" s="18" t="str">
        <x:v>[]</x:v>
      </x:c>
      <x:c r="E112" s="18" t="str">
        <x:v>food</x:v>
      </x:c>
      <x:c r="F112" s="18" t="str">
        <x:v>consumer_product</x:v>
      </x:c>
      <x:c r="G112" s="19" t="n">
        <x:v>46193.625</x:v>
      </x:c>
      <x:c r="H112" s="18" t="str"/>
      <x:c r="I112" s="18" t="str"/>
      <x:c r="J112" s="18" t="str">
        <x:v>Y</x:v>
      </x:c>
      <x:c r="K112" s="18" t="str">
        <x:v>2026년 한국의 공개 신상·소비 자료에서 감자칩·초콜릿 단짠 결합 관련 상품과 콘텐츠가 복수 항목으로 관찰된 사후 재구성 트렌드다. 당시 플랫폼 실시간 순위를 복원한 것이 아니며 투자 조언이 아니다.</x:v>
      </x:c>
      <x:c r="L112" s="18" t="str">
        <x:v>편의점 신상 자료에서 감자칩·초콜릿 단짠 결합 관련 제품군이 연속 관찰</x:v>
      </x:c>
      <x:c r="M112" s="18" t="str">
        <x:v>other</x:v>
      </x:c>
      <x:c r="N112" s="18" t="str">
        <x:v>다먹어라이언</x:v>
      </x:c>
      <x:c r="O112" s="19" t="n">
        <x:v>46193.625</x:v>
      </x:c>
      <x:c r="P112" s="18" t="str">
        <x:v>6월3주차 편의점신상 (GS25, CU, 세븐일레븐)</x:v>
      </x:c>
      <x:c r="Q112" s="18" t="str">
        <x:v>https://v.daum.net/v/pqr3cS1y7N</x:v>
      </x:c>
      <x:c r="R112" s="18" t="str">
        <x:v>other</x:v>
      </x:c>
      <x:c r="S112" s="18" t="str">
        <x:v>다먹어라이언</x:v>
      </x:c>
      <x:c r="T112" s="19" t="n">
        <x:v>46199.625</x:v>
      </x:c>
      <x:c r="U112" s="18" t="str">
        <x:v>6월4주차 편의점신상 (GS25,CU)</x:v>
      </x:c>
      <x:c r="V112" s="18" t="str">
        <x:v>https://v.daum.net/v/2cBfy4iPeu</x:v>
      </x:c>
      <x:c r="W112" s="18" t="str">
        <x:v>resolved_excluded</x:v>
      </x:c>
      <x:c r="X112" s="18" t="str">
        <x:v>excluded</x:v>
      </x:c>
      <x:c r="Y112" s="18" t="str">
        <x:v>광고성</x:v>
      </x:c>
      <x:c r="Z112" s="18" t="str"/>
      <x:c r="AA112" s="18" t="str">
        <x:v>단일 신상품 모음 또는 판매성 소개만 확인돼 관심·언급 증가와 다채널 확산을 입증하지 못했다.</x:v>
      </x:c>
    </x:row>
    <x:row r="113">
      <x:c r="A113" s="18" t="n">
        <x:v>110</x:v>
      </x:c>
      <x:c r="B113" s="18" t="str">
        <x:v>kr_202606_theme_32</x:v>
      </x:c>
      <x:c r="C113" s="18" t="str">
        <x:v>K-팝 굿즈 결합 식품</x:v>
      </x:c>
      <x:c r="D113" s="18" t="str">
        <x:v>[]</x:v>
      </x:c>
      <x:c r="E113" s="18" t="str">
        <x:v>food</x:v>
      </x:c>
      <x:c r="F113" s="18" t="str">
        <x:v>consumer_product</x:v>
      </x:c>
      <x:c r="G113" s="19" t="n">
        <x:v>46193.625</x:v>
      </x:c>
      <x:c r="H113" s="18" t="str"/>
      <x:c r="I113" s="18" t="str"/>
      <x:c r="J113" s="18" t="str">
        <x:v>Y</x:v>
      </x:c>
      <x:c r="K113" s="18" t="str">
        <x:v>2026년 한국의 공개 신상·소비 자료에서 K-팝 굿즈 결합 식품 관련 상품과 콘텐츠가 복수 항목으로 관찰된 사후 재구성 트렌드다. 당시 플랫폼 실시간 순위를 복원한 것이 아니며 투자 조언이 아니다.</x:v>
      </x:c>
      <x:c r="L113" s="18" t="str">
        <x:v>편의점 신상 자료에서 K-팝 굿즈 결합 식품 관련 제품군이 연속 관찰</x:v>
      </x:c>
      <x:c r="M113" s="18" t="str">
        <x:v>other</x:v>
      </x:c>
      <x:c r="N113" s="18" t="str">
        <x:v>다먹어라이언</x:v>
      </x:c>
      <x:c r="O113" s="19" t="n">
        <x:v>46193.625</x:v>
      </x:c>
      <x:c r="P113" s="18" t="str">
        <x:v>6월3주차 편의점신상 (GS25, CU, 세븐일레븐)</x:v>
      </x:c>
      <x:c r="Q113" s="18" t="str">
        <x:v>https://v.daum.net/v/pqr3cS1y7N</x:v>
      </x:c>
      <x:c r="R113" s="18" t="str">
        <x:v>other</x:v>
      </x:c>
      <x:c r="S113" s="18" t="str">
        <x:v>다먹어라이언</x:v>
      </x:c>
      <x:c r="T113" s="19" t="n">
        <x:v>46199.625</x:v>
      </x:c>
      <x:c r="U113" s="18" t="str">
        <x:v>6월4주차 편의점신상 (GS25,CU)</x:v>
      </x:c>
      <x:c r="V113" s="18" t="str">
        <x:v>https://v.daum.net/v/2cBfy4iPeu</x:v>
      </x:c>
      <x:c r="W113" s="18" t="str">
        <x:v>resolved_excluded</x:v>
      </x:c>
      <x:c r="X113" s="18" t="str">
        <x:v>excluded</x:v>
      </x:c>
      <x:c r="Y113" s="18" t="str">
        <x:v>광고성</x:v>
      </x:c>
      <x:c r="Z113" s="18" t="str"/>
      <x:c r="AA113" s="18" t="str">
        <x:v>단일 신상품 모음 또는 판매성 소개만 확인돼 관심·언급 증가와 다채널 확산을 입증하지 못했다.</x:v>
      </x:c>
    </x:row>
    <x:row r="114">
      <x:c r="A114" s="18" t="n">
        <x:v>111</x:v>
      </x:c>
      <x:c r="B114" s="18" t="str">
        <x:v>kr_202606_theme_33</x:v>
      </x:c>
      <x:c r="C114" s="18" t="str">
        <x:v>카이막 베이글 디저트</x:v>
      </x:c>
      <x:c r="D114" s="18" t="str">
        <x:v>[]</x:v>
      </x:c>
      <x:c r="E114" s="18" t="str">
        <x:v>food</x:v>
      </x:c>
      <x:c r="F114" s="18" t="str">
        <x:v>consumer_product</x:v>
      </x:c>
      <x:c r="G114" s="19" t="n">
        <x:v>46193.625</x:v>
      </x:c>
      <x:c r="H114" s="18" t="str"/>
      <x:c r="I114" s="18" t="str"/>
      <x:c r="J114" s="18" t="str">
        <x:v>Y</x:v>
      </x:c>
      <x:c r="K114" s="18" t="str">
        <x:v>2026년 한국의 공개 신상·소비 자료에서 카이막 베이글 디저트 관련 상품과 콘텐츠가 복수 항목으로 관찰된 사후 재구성 트렌드다. 당시 플랫폼 실시간 순위를 복원한 것이 아니며 투자 조언이 아니다.</x:v>
      </x:c>
      <x:c r="L114" s="18" t="str">
        <x:v>편의점 신상 자료에서 카이막 베이글 디저트 관련 제품군이 연속 관찰</x:v>
      </x:c>
      <x:c r="M114" s="18" t="str">
        <x:v>other</x:v>
      </x:c>
      <x:c r="N114" s="18" t="str">
        <x:v>다먹어라이언</x:v>
      </x:c>
      <x:c r="O114" s="19" t="n">
        <x:v>46193.625</x:v>
      </x:c>
      <x:c r="P114" s="18" t="str">
        <x:v>6월3주차 편의점신상 (GS25, CU, 세븐일레븐)</x:v>
      </x:c>
      <x:c r="Q114" s="18" t="str">
        <x:v>https://v.daum.net/v/pqr3cS1y7N</x:v>
      </x:c>
      <x:c r="R114" s="18" t="str">
        <x:v>other</x:v>
      </x:c>
      <x:c r="S114" s="18" t="str">
        <x:v>다먹어라이언</x:v>
      </x:c>
      <x:c r="T114" s="19" t="n">
        <x:v>46199.625</x:v>
      </x:c>
      <x:c r="U114" s="18" t="str">
        <x:v>6월4주차 편의점신상 (GS25,CU)</x:v>
      </x:c>
      <x:c r="V114" s="18" t="str">
        <x:v>https://v.daum.net/v/2cBfy4iPeu</x:v>
      </x:c>
      <x:c r="W114" s="18" t="str">
        <x:v>resolved_excluded</x:v>
      </x:c>
      <x:c r="X114" s="18" t="str">
        <x:v>excluded</x:v>
      </x:c>
      <x:c r="Y114" s="18" t="str">
        <x:v>광고성</x:v>
      </x:c>
      <x:c r="Z114" s="18" t="str"/>
      <x:c r="AA114" s="18" t="str">
        <x:v>단일 신상품 모음 또는 판매성 소개만 확인돼 관심·언급 증가와 다채널 확산을 입증하지 못했다.</x:v>
      </x:c>
    </x:row>
    <x:row r="115">
      <x:c r="A115" s="18" t="n">
        <x:v>112</x:v>
      </x:c>
      <x:c r="B115" s="18" t="str">
        <x:v>kr_202606_theme_34</x:v>
      </x:c>
      <x:c r="C115" s="18" t="str">
        <x:v>안주형 육류 풍미 스낵</x:v>
      </x:c>
      <x:c r="D115" s="18" t="str">
        <x:v>[]</x:v>
      </x:c>
      <x:c r="E115" s="18" t="str">
        <x:v>food</x:v>
      </x:c>
      <x:c r="F115" s="18" t="str">
        <x:v>consumer_product</x:v>
      </x:c>
      <x:c r="G115" s="19" t="n">
        <x:v>46193.625</x:v>
      </x:c>
      <x:c r="H115" s="18" t="str"/>
      <x:c r="I115" s="18" t="str"/>
      <x:c r="J115" s="18" t="str">
        <x:v>Y</x:v>
      </x:c>
      <x:c r="K115" s="18" t="str">
        <x:v>2026년 한국의 공개 신상·소비 자료에서 안주형 육류 풍미 스낵 관련 상품과 콘텐츠가 복수 항목으로 관찰된 사후 재구성 트렌드다. 당시 플랫폼 실시간 순위를 복원한 것이 아니며 투자 조언이 아니다.</x:v>
      </x:c>
      <x:c r="L115" s="18" t="str">
        <x:v>편의점 신상 자료에서 안주형 육류 풍미 스낵 관련 제품군이 연속 관찰</x:v>
      </x:c>
      <x:c r="M115" s="18" t="str">
        <x:v>other</x:v>
      </x:c>
      <x:c r="N115" s="18" t="str">
        <x:v>다먹어라이언</x:v>
      </x:c>
      <x:c r="O115" s="19" t="n">
        <x:v>46193.625</x:v>
      </x:c>
      <x:c r="P115" s="18" t="str">
        <x:v>6월3주차 편의점신상 (GS25, CU, 세븐일레븐)</x:v>
      </x:c>
      <x:c r="Q115" s="18" t="str">
        <x:v>https://v.daum.net/v/pqr3cS1y7N</x:v>
      </x:c>
      <x:c r="R115" s="18" t="str">
        <x:v>other</x:v>
      </x:c>
      <x:c r="S115" s="18" t="str">
        <x:v>다먹어라이언</x:v>
      </x:c>
      <x:c r="T115" s="19" t="n">
        <x:v>46199.625</x:v>
      </x:c>
      <x:c r="U115" s="18" t="str">
        <x:v>6월4주차 편의점신상 (GS25,CU)</x:v>
      </x:c>
      <x:c r="V115" s="18" t="str">
        <x:v>https://v.daum.net/v/2cBfy4iPeu</x:v>
      </x:c>
      <x:c r="W115" s="18" t="str">
        <x:v>resolved_excluded</x:v>
      </x:c>
      <x:c r="X115" s="18" t="str">
        <x:v>excluded</x:v>
      </x:c>
      <x:c r="Y115" s="18" t="str">
        <x:v>광고성</x:v>
      </x:c>
      <x:c r="Z115" s="18" t="str"/>
      <x:c r="AA115" s="18" t="str">
        <x:v>단일 신상품 모음 또는 판매성 소개만 확인돼 관심·언급 증가와 다채널 확산을 입증하지 못했다.</x:v>
      </x:c>
    </x:row>
    <x:row r="116">
      <x:c r="A116" s="18" t="n">
        <x:v>113</x:v>
      </x:c>
      <x:c r="B116" s="18" t="str">
        <x:v>kr_202606_theme_35</x:v>
      </x:c>
      <x:c r="C116" s="18" t="str">
        <x:v>황치즈 베이커리 확장</x:v>
      </x:c>
      <x:c r="D116" s="18" t="str">
        <x:v>[]</x:v>
      </x:c>
      <x:c r="E116" s="18" t="str">
        <x:v>food</x:v>
      </x:c>
      <x:c r="F116" s="18" t="str">
        <x:v>consumer_product</x:v>
      </x:c>
      <x:c r="G116" s="19" t="n">
        <x:v>46193.625</x:v>
      </x:c>
      <x:c r="H116" s="18" t="str"/>
      <x:c r="I116" s="18" t="str"/>
      <x:c r="J116" s="18" t="str">
        <x:v>Y</x:v>
      </x:c>
      <x:c r="K116" s="18" t="str">
        <x:v>2026년 한국의 공개 신상·소비 자료에서 황치즈 베이커리 확장 관련 상품과 콘텐츠가 복수 항목으로 관찰된 사후 재구성 트렌드다. 당시 플랫폼 실시간 순위를 복원한 것이 아니며 투자 조언이 아니다.</x:v>
      </x:c>
      <x:c r="L116" s="18" t="str">
        <x:v>편의점 신상 자료에서 황치즈 베이커리 확장 관련 제품군이 연속 관찰</x:v>
      </x:c>
      <x:c r="M116" s="18" t="str">
        <x:v>other</x:v>
      </x:c>
      <x:c r="N116" s="18" t="str">
        <x:v>다먹어라이언</x:v>
      </x:c>
      <x:c r="O116" s="19" t="n">
        <x:v>46193.625</x:v>
      </x:c>
      <x:c r="P116" s="18" t="str">
        <x:v>6월3주차 편의점신상 (GS25, CU, 세븐일레븐)</x:v>
      </x:c>
      <x:c r="Q116" s="18" t="str">
        <x:v>https://v.daum.net/v/pqr3cS1y7N</x:v>
      </x:c>
      <x:c r="R116" s="18" t="str">
        <x:v>other</x:v>
      </x:c>
      <x:c r="S116" s="18" t="str">
        <x:v>다먹어라이언</x:v>
      </x:c>
      <x:c r="T116" s="19" t="n">
        <x:v>46199.625</x:v>
      </x:c>
      <x:c r="U116" s="18" t="str">
        <x:v>6월4주차 편의점신상 (GS25,CU)</x:v>
      </x:c>
      <x:c r="V116" s="18" t="str">
        <x:v>https://v.daum.net/v/2cBfy4iPeu</x:v>
      </x:c>
      <x:c r="W116" s="18" t="str">
        <x:v>resolved_merged</x:v>
      </x:c>
      <x:c r="X116" s="18" t="str">
        <x:v>merged</x:v>
      </x:c>
      <x:c r="Y116" s="18" t="str"/>
      <x:c r="Z116" s="18" t="str">
        <x:v>kr_202607_yellow_cheese_chip</x:v>
      </x:c>
      <x:c r="AA116" s="18" t="str">
        <x:v>검증된 상위 트렌드의 제품·표현 변형으로 병합했다.</x:v>
      </x:c>
    </x:row>
    <x:row r="117">
      <x:c r="A117" s="18" t="n">
        <x:v>114</x:v>
      </x:c>
      <x:c r="B117" s="18" t="str">
        <x:v>kr_202606_theme_36</x:v>
      </x:c>
      <x:c r="C117" s="18" t="str">
        <x:v>티 탄산 제로 음료</x:v>
      </x:c>
      <x:c r="D117" s="18" t="str">
        <x:v>[]</x:v>
      </x:c>
      <x:c r="E117" s="18" t="str">
        <x:v>food</x:v>
      </x:c>
      <x:c r="F117" s="18" t="str">
        <x:v>consumer_product</x:v>
      </x:c>
      <x:c r="G117" s="19" t="n">
        <x:v>46193.625</x:v>
      </x:c>
      <x:c r="H117" s="18" t="str"/>
      <x:c r="I117" s="18" t="str"/>
      <x:c r="J117" s="18" t="str">
        <x:v>Y</x:v>
      </x:c>
      <x:c r="K117" s="18" t="str">
        <x:v>2026년 한국의 공개 신상·소비 자료에서 티 탄산 제로 음료 관련 상품과 콘텐츠가 복수 항목으로 관찰된 사후 재구성 트렌드다. 당시 플랫폼 실시간 순위를 복원한 것이 아니며 투자 조언이 아니다.</x:v>
      </x:c>
      <x:c r="L117" s="18" t="str">
        <x:v>편의점 신상 자료에서 티 탄산 제로 음료 관련 제품군이 연속 관찰</x:v>
      </x:c>
      <x:c r="M117" s="18" t="str">
        <x:v>other</x:v>
      </x:c>
      <x:c r="N117" s="18" t="str">
        <x:v>다먹어라이언</x:v>
      </x:c>
      <x:c r="O117" s="19" t="n">
        <x:v>46193.625</x:v>
      </x:c>
      <x:c r="P117" s="18" t="str">
        <x:v>6월3주차 편의점신상 (GS25, CU, 세븐일레븐)</x:v>
      </x:c>
      <x:c r="Q117" s="18" t="str">
        <x:v>https://v.daum.net/v/pqr3cS1y7N</x:v>
      </x:c>
      <x:c r="R117" s="18" t="str">
        <x:v>other</x:v>
      </x:c>
      <x:c r="S117" s="18" t="str">
        <x:v>다먹어라이언</x:v>
      </x:c>
      <x:c r="T117" s="19" t="n">
        <x:v>46199.625</x:v>
      </x:c>
      <x:c r="U117" s="18" t="str">
        <x:v>6월4주차 편의점신상 (GS25,CU)</x:v>
      </x:c>
      <x:c r="V117" s="18" t="str">
        <x:v>https://v.daum.net/v/2cBfy4iPeu</x:v>
      </x:c>
      <x:c r="W117" s="18" t="str">
        <x:v>resolved_excluded</x:v>
      </x:c>
      <x:c r="X117" s="18" t="str">
        <x:v>excluded</x:v>
      </x:c>
      <x:c r="Y117" s="18" t="str">
        <x:v>광고성</x:v>
      </x:c>
      <x:c r="Z117" s="18" t="str"/>
      <x:c r="AA117" s="18" t="str">
        <x:v>단일 신상품 모음 또는 판매성 소개만 확인돼 관심·언급 증가와 다채널 확산을 입증하지 못했다.</x:v>
      </x:c>
    </x:row>
    <x:row r="118">
      <x:c r="A118" s="18" t="n">
        <x:v>115</x:v>
      </x:c>
      <x:c r="B118" s="18" t="str">
        <x:v>kr_202606_theme_37</x:v>
      </x:c>
      <x:c r="C118" s="18" t="str">
        <x:v>옥수수 모찌 페이스트리</x:v>
      </x:c>
      <x:c r="D118" s="18" t="str">
        <x:v>[]</x:v>
      </x:c>
      <x:c r="E118" s="18" t="str">
        <x:v>food</x:v>
      </x:c>
      <x:c r="F118" s="18" t="str">
        <x:v>consumer_product</x:v>
      </x:c>
      <x:c r="G118" s="19" t="n">
        <x:v>46193.625</x:v>
      </x:c>
      <x:c r="H118" s="18" t="str"/>
      <x:c r="I118" s="18" t="str"/>
      <x:c r="J118" s="18" t="str">
        <x:v>Y</x:v>
      </x:c>
      <x:c r="K118" s="18" t="str">
        <x:v>2026년 한국의 공개 신상·소비 자료에서 옥수수 모찌 페이스트리 관련 상품과 콘텐츠가 복수 항목으로 관찰된 사후 재구성 트렌드다. 당시 플랫폼 실시간 순위를 복원한 것이 아니며 투자 조언이 아니다.</x:v>
      </x:c>
      <x:c r="L118" s="18" t="str">
        <x:v>편의점 신상 자료에서 옥수수 모찌 페이스트리 관련 제품군이 연속 관찰</x:v>
      </x:c>
      <x:c r="M118" s="18" t="str">
        <x:v>other</x:v>
      </x:c>
      <x:c r="N118" s="18" t="str">
        <x:v>다먹어라이언</x:v>
      </x:c>
      <x:c r="O118" s="19" t="n">
        <x:v>46193.625</x:v>
      </x:c>
      <x:c r="P118" s="18" t="str">
        <x:v>6월3주차 편의점신상 (GS25, CU, 세븐일레븐)</x:v>
      </x:c>
      <x:c r="Q118" s="18" t="str">
        <x:v>https://v.daum.net/v/pqr3cS1y7N</x:v>
      </x:c>
      <x:c r="R118" s="18" t="str">
        <x:v>other</x:v>
      </x:c>
      <x:c r="S118" s="18" t="str">
        <x:v>다먹어라이언</x:v>
      </x:c>
      <x:c r="T118" s="19" t="n">
        <x:v>46199.625</x:v>
      </x:c>
      <x:c r="U118" s="18" t="str">
        <x:v>6월4주차 편의점신상 (GS25,CU)</x:v>
      </x:c>
      <x:c r="V118" s="18" t="str">
        <x:v>https://v.daum.net/v/2cBfy4iPeu</x:v>
      </x:c>
      <x:c r="W118" s="18" t="str">
        <x:v>resolved_excluded</x:v>
      </x:c>
      <x:c r="X118" s="18" t="str">
        <x:v>excluded</x:v>
      </x:c>
      <x:c r="Y118" s="18" t="str">
        <x:v>광고성</x:v>
      </x:c>
      <x:c r="Z118" s="18" t="str"/>
      <x:c r="AA118" s="18" t="str">
        <x:v>단일 신상품 모음 또는 판매성 소개만 확인돼 관심·언급 증가와 다채널 확산을 입증하지 못했다.</x:v>
      </x:c>
    </x:row>
    <x:row r="119">
      <x:c r="A119" s="18" t="n">
        <x:v>116</x:v>
      </x:c>
      <x:c r="B119" s="18" t="str">
        <x:v>kr_202606_theme_38</x:v>
      </x:c>
      <x:c r="C119" s="18" t="str">
        <x:v>전통 디저트 재료의 빵 변주</x:v>
      </x:c>
      <x:c r="D119" s="18" t="str">
        <x:v>[]</x:v>
      </x:c>
      <x:c r="E119" s="18" t="str">
        <x:v>food</x:v>
      </x:c>
      <x:c r="F119" s="18" t="str">
        <x:v>consumer_product</x:v>
      </x:c>
      <x:c r="G119" s="19" t="n">
        <x:v>46193.625</x:v>
      </x:c>
      <x:c r="H119" s="18" t="str"/>
      <x:c r="I119" s="18" t="str"/>
      <x:c r="J119" s="18" t="str">
        <x:v>Y</x:v>
      </x:c>
      <x:c r="K119" s="18" t="str">
        <x:v>2026년 한국의 공개 신상·소비 자료에서 전통 디저트 재료의 빵 변주 관련 상품과 콘텐츠가 복수 항목으로 관찰된 사후 재구성 트렌드다. 당시 플랫폼 실시간 순위를 복원한 것이 아니며 투자 조언이 아니다.</x:v>
      </x:c>
      <x:c r="L119" s="18" t="str">
        <x:v>편의점 신상 자료에서 전통 디저트 재료의 빵 변주 관련 제품군이 연속 관찰</x:v>
      </x:c>
      <x:c r="M119" s="18" t="str">
        <x:v>other</x:v>
      </x:c>
      <x:c r="N119" s="18" t="str">
        <x:v>다먹어라이언</x:v>
      </x:c>
      <x:c r="O119" s="19" t="n">
        <x:v>46193.625</x:v>
      </x:c>
      <x:c r="P119" s="18" t="str">
        <x:v>6월3주차 편의점신상 (GS25, CU, 세븐일레븐)</x:v>
      </x:c>
      <x:c r="Q119" s="18" t="str">
        <x:v>https://v.daum.net/v/pqr3cS1y7N</x:v>
      </x:c>
      <x:c r="R119" s="18" t="str">
        <x:v>other</x:v>
      </x:c>
      <x:c r="S119" s="18" t="str">
        <x:v>다먹어라이언</x:v>
      </x:c>
      <x:c r="T119" s="19" t="n">
        <x:v>46199.625</x:v>
      </x:c>
      <x:c r="U119" s="18" t="str">
        <x:v>6월4주차 편의점신상 (GS25,CU)</x:v>
      </x:c>
      <x:c r="V119" s="18" t="str">
        <x:v>https://v.daum.net/v/2cBfy4iPeu</x:v>
      </x:c>
      <x:c r="W119" s="18" t="str">
        <x:v>resolved_excluded</x:v>
      </x:c>
      <x:c r="X119" s="18" t="str">
        <x:v>excluded</x:v>
      </x:c>
      <x:c r="Y119" s="18" t="str">
        <x:v>광고성</x:v>
      </x:c>
      <x:c r="Z119" s="18" t="str"/>
      <x:c r="AA119" s="18" t="str">
        <x:v>단일 신상품 모음 또는 판매성 소개만 확인돼 관심·언급 증가와 다채널 확산을 입증하지 못했다.</x:v>
      </x:c>
    </x:row>
    <x:row r="120">
      <x:c r="A120" s="18" t="n">
        <x:v>117</x:v>
      </x:c>
      <x:c r="B120" s="18" t="str">
        <x:v>kr_202606_theme_39</x:v>
      </x:c>
      <x:c r="C120" s="18" t="str">
        <x:v>말차 편의점 디저트 확산</x:v>
      </x:c>
      <x:c r="D120" s="18" t="str">
        <x:v>[]</x:v>
      </x:c>
      <x:c r="E120" s="18" t="str">
        <x:v>food</x:v>
      </x:c>
      <x:c r="F120" s="18" t="str">
        <x:v>consumer_product</x:v>
      </x:c>
      <x:c r="G120" s="19" t="n">
        <x:v>46193.625</x:v>
      </x:c>
      <x:c r="H120" s="18" t="str"/>
      <x:c r="I120" s="18" t="str"/>
      <x:c r="J120" s="18" t="str">
        <x:v>Y</x:v>
      </x:c>
      <x:c r="K120" s="18" t="str">
        <x:v>2026년 한국의 공개 신상·소비 자료에서 말차 편의점 디저트 확산 관련 상품과 콘텐츠가 복수 항목으로 관찰된 사후 재구성 트렌드다. 당시 플랫폼 실시간 순위를 복원한 것이 아니며 투자 조언이 아니다.</x:v>
      </x:c>
      <x:c r="L120" s="18" t="str">
        <x:v>편의점 신상 자료에서 말차 편의점 디저트 확산 관련 제품군이 연속 관찰</x:v>
      </x:c>
      <x:c r="M120" s="18" t="str">
        <x:v>other</x:v>
      </x:c>
      <x:c r="N120" s="18" t="str">
        <x:v>다먹어라이언</x:v>
      </x:c>
      <x:c r="O120" s="19" t="n">
        <x:v>46193.625</x:v>
      </x:c>
      <x:c r="P120" s="18" t="str">
        <x:v>6월3주차 편의점신상 (GS25, CU, 세븐일레븐)</x:v>
      </x:c>
      <x:c r="Q120" s="18" t="str">
        <x:v>https://v.daum.net/v/pqr3cS1y7N</x:v>
      </x:c>
      <x:c r="R120" s="18" t="str">
        <x:v>other</x:v>
      </x:c>
      <x:c r="S120" s="18" t="str">
        <x:v>다먹어라이언</x:v>
      </x:c>
      <x:c r="T120" s="19" t="n">
        <x:v>46199.625</x:v>
      </x:c>
      <x:c r="U120" s="18" t="str">
        <x:v>6월4주차 편의점신상 (GS25,CU)</x:v>
      </x:c>
      <x:c r="V120" s="18" t="str">
        <x:v>https://v.daum.net/v/2cBfy4iPeu</x:v>
      </x:c>
      <x:c r="W120" s="18" t="str">
        <x:v>resolved_excluded</x:v>
      </x:c>
      <x:c r="X120" s="18" t="str">
        <x:v>excluded</x:v>
      </x:c>
      <x:c r="Y120" s="18" t="str">
        <x:v>광고성</x:v>
      </x:c>
      <x:c r="Z120" s="18" t="str"/>
      <x:c r="AA120" s="18" t="str">
        <x:v>단일 신상품 모음 또는 판매성 소개만 확인돼 관심·언급 증가와 다채널 확산을 입증하지 못했다.</x:v>
      </x:c>
    </x:row>
    <x:row r="121">
      <x:c r="A121" s="18" t="n">
        <x:v>118</x:v>
      </x:c>
      <x:c r="B121" s="18" t="str">
        <x:v>kr_202606_theme_40</x:v>
      </x:c>
      <x:c r="C121" s="18" t="str">
        <x:v>편의점 셰프 협업 HMR</x:v>
      </x:c>
      <x:c r="D121" s="18" t="str">
        <x:v>[]</x:v>
      </x:c>
      <x:c r="E121" s="18" t="str">
        <x:v>food</x:v>
      </x:c>
      <x:c r="F121" s="18" t="str">
        <x:v>consumer_product</x:v>
      </x:c>
      <x:c r="G121" s="19" t="n">
        <x:v>46193.625</x:v>
      </x:c>
      <x:c r="H121" s="18" t="str"/>
      <x:c r="I121" s="18" t="str"/>
      <x:c r="J121" s="18" t="str">
        <x:v>Y</x:v>
      </x:c>
      <x:c r="K121" s="18" t="str">
        <x:v>2026년 한국의 공개 신상·소비 자료에서 편의점 셰프 협업 HMR 관련 상품과 콘텐츠가 복수 항목으로 관찰된 사후 재구성 트렌드다. 당시 플랫폼 실시간 순위를 복원한 것이 아니며 투자 조언이 아니다.</x:v>
      </x:c>
      <x:c r="L121" s="18" t="str">
        <x:v>편의점 신상 자료에서 편의점 셰프 협업 HMR 관련 제품군이 연속 관찰</x:v>
      </x:c>
      <x:c r="M121" s="18" t="str">
        <x:v>other</x:v>
      </x:c>
      <x:c r="N121" s="18" t="str">
        <x:v>다먹어라이언</x:v>
      </x:c>
      <x:c r="O121" s="19" t="n">
        <x:v>46193.625</x:v>
      </x:c>
      <x:c r="P121" s="18" t="str">
        <x:v>6월3주차 편의점신상 (GS25, CU, 세븐일레븐)</x:v>
      </x:c>
      <x:c r="Q121" s="18" t="str">
        <x:v>https://v.daum.net/v/pqr3cS1y7N</x:v>
      </x:c>
      <x:c r="R121" s="18" t="str">
        <x:v>other</x:v>
      </x:c>
      <x:c r="S121" s="18" t="str">
        <x:v>다먹어라이언</x:v>
      </x:c>
      <x:c r="T121" s="19" t="n">
        <x:v>46199.625</x:v>
      </x:c>
      <x:c r="U121" s="18" t="str">
        <x:v>6월4주차 편의점신상 (GS25,CU)</x:v>
      </x:c>
      <x:c r="V121" s="18" t="str">
        <x:v>https://v.daum.net/v/2cBfy4iPeu</x:v>
      </x:c>
      <x:c r="W121" s="18" t="str">
        <x:v>resolved_excluded</x:v>
      </x:c>
      <x:c r="X121" s="18" t="str">
        <x:v>excluded</x:v>
      </x:c>
      <x:c r="Y121" s="18" t="str">
        <x:v>광고성</x:v>
      </x:c>
      <x:c r="Z121" s="18" t="str"/>
      <x:c r="AA121" s="18" t="str">
        <x:v>단일 신상품 모음 또는 판매성 소개만 확인돼 관심·언급 증가와 다채널 확산을 입증하지 못했다.</x:v>
      </x:c>
    </x:row>
    <x:row r="122">
      <x:c r="A122" s="18" t="n">
        <x:v>119</x:v>
      </x:c>
      <x:c r="B122" s="18" t="str">
        <x:v>kr_202606_theme_41</x:v>
      </x:c>
      <x:c r="C122" s="18" t="str">
        <x:v>캐릭터 띠부씰 빵 재확산</x:v>
      </x:c>
      <x:c r="D122" s="18" t="str">
        <x:v>[]</x:v>
      </x:c>
      <x:c r="E122" s="18" t="str">
        <x:v>food</x:v>
      </x:c>
      <x:c r="F122" s="18" t="str">
        <x:v>consumer_product</x:v>
      </x:c>
      <x:c r="G122" s="19" t="n">
        <x:v>46193.625</x:v>
      </x:c>
      <x:c r="H122" s="18" t="str"/>
      <x:c r="I122" s="18" t="str"/>
      <x:c r="J122" s="18" t="str">
        <x:v>Y</x:v>
      </x:c>
      <x:c r="K122" s="18" t="str">
        <x:v>2026년 한국의 공개 신상·소비 자료에서 캐릭터 띠부씰 빵 재확산 관련 상품과 콘텐츠가 복수 항목으로 관찰된 사후 재구성 트렌드다. 당시 플랫폼 실시간 순위를 복원한 것이 아니며 투자 조언이 아니다.</x:v>
      </x:c>
      <x:c r="L122" s="18" t="str">
        <x:v>편의점 신상 자료에서 캐릭터 띠부씰 빵 재확산 관련 제품군이 연속 관찰</x:v>
      </x:c>
      <x:c r="M122" s="18" t="str">
        <x:v>other</x:v>
      </x:c>
      <x:c r="N122" s="18" t="str">
        <x:v>다먹어라이언</x:v>
      </x:c>
      <x:c r="O122" s="19" t="n">
        <x:v>46193.625</x:v>
      </x:c>
      <x:c r="P122" s="18" t="str">
        <x:v>6월3주차 편의점신상 (GS25, CU, 세븐일레븐)</x:v>
      </x:c>
      <x:c r="Q122" s="18" t="str">
        <x:v>https://v.daum.net/v/pqr3cS1y7N</x:v>
      </x:c>
      <x:c r="R122" s="18" t="str">
        <x:v>other</x:v>
      </x:c>
      <x:c r="S122" s="18" t="str">
        <x:v>다먹어라이언</x:v>
      </x:c>
      <x:c r="T122" s="19" t="n">
        <x:v>46199.625</x:v>
      </x:c>
      <x:c r="U122" s="18" t="str">
        <x:v>6월4주차 편의점신상 (GS25,CU)</x:v>
      </x:c>
      <x:c r="V122" s="18" t="str">
        <x:v>https://v.daum.net/v/2cBfy4iPeu</x:v>
      </x:c>
      <x:c r="W122" s="18" t="str">
        <x:v>resolved_excluded</x:v>
      </x:c>
      <x:c r="X122" s="18" t="str">
        <x:v>excluded</x:v>
      </x:c>
      <x:c r="Y122" s="18" t="str">
        <x:v>광고성</x:v>
      </x:c>
      <x:c r="Z122" s="18" t="str"/>
      <x:c r="AA122" s="18" t="str">
        <x:v>단일 신상품 모음 또는 판매성 소개만 확인돼 관심·언급 증가와 다채널 확산을 입증하지 못했다.</x:v>
      </x:c>
    </x:row>
    <x:row r="123">
      <x:c r="A123" s="18" t="n">
        <x:v>120</x:v>
      </x:c>
      <x:c r="B123" s="18" t="str">
        <x:v>kr_202606_theme_42</x:v>
      </x:c>
      <x:c r="C123" s="18" t="str">
        <x:v>이국적 소스맛 스낵</x:v>
      </x:c>
      <x:c r="D123" s="18" t="str">
        <x:v>[]</x:v>
      </x:c>
      <x:c r="E123" s="18" t="str">
        <x:v>food</x:v>
      </x:c>
      <x:c r="F123" s="18" t="str">
        <x:v>consumer_product</x:v>
      </x:c>
      <x:c r="G123" s="19" t="n">
        <x:v>46193.625</x:v>
      </x:c>
      <x:c r="H123" s="18" t="str"/>
      <x:c r="I123" s="18" t="str"/>
      <x:c r="J123" s="18" t="str">
        <x:v>Y</x:v>
      </x:c>
      <x:c r="K123" s="18" t="str">
        <x:v>2026년 한국의 공개 신상·소비 자료에서 이국적 소스맛 스낵 관련 상품과 콘텐츠가 복수 항목으로 관찰된 사후 재구성 트렌드다. 당시 플랫폼 실시간 순위를 복원한 것이 아니며 투자 조언이 아니다.</x:v>
      </x:c>
      <x:c r="L123" s="18" t="str">
        <x:v>편의점 신상 자료에서 이국적 소스맛 스낵 관련 제품군이 연속 관찰</x:v>
      </x:c>
      <x:c r="M123" s="18" t="str">
        <x:v>other</x:v>
      </x:c>
      <x:c r="N123" s="18" t="str">
        <x:v>다먹어라이언</x:v>
      </x:c>
      <x:c r="O123" s="19" t="n">
        <x:v>46193.625</x:v>
      </x:c>
      <x:c r="P123" s="18" t="str">
        <x:v>6월3주차 편의점신상 (GS25, CU, 세븐일레븐)</x:v>
      </x:c>
      <x:c r="Q123" s="18" t="str">
        <x:v>https://v.daum.net/v/pqr3cS1y7N</x:v>
      </x:c>
      <x:c r="R123" s="18" t="str">
        <x:v>other</x:v>
      </x:c>
      <x:c r="S123" s="18" t="str">
        <x:v>다먹어라이언</x:v>
      </x:c>
      <x:c r="T123" s="19" t="n">
        <x:v>46199.625</x:v>
      </x:c>
      <x:c r="U123" s="18" t="str">
        <x:v>6월4주차 편의점신상 (GS25,CU)</x:v>
      </x:c>
      <x:c r="V123" s="18" t="str">
        <x:v>https://v.daum.net/v/2cBfy4iPeu</x:v>
      </x:c>
      <x:c r="W123" s="18" t="str">
        <x:v>resolved_excluded</x:v>
      </x:c>
      <x:c r="X123" s="18" t="str">
        <x:v>excluded</x:v>
      </x:c>
      <x:c r="Y123" s="18" t="str">
        <x:v>광고성</x:v>
      </x:c>
      <x:c r="Z123" s="18" t="str"/>
      <x:c r="AA123" s="18" t="str">
        <x:v>단일 신상품 모음 또는 판매성 소개만 확인돼 관심·언급 증가와 다채널 확산을 입증하지 못했다.</x:v>
      </x:c>
    </x:row>
    <x:row r="124">
      <x:c r="A124" s="18" t="n">
        <x:v>121</x:v>
      </x:c>
      <x:c r="B124" s="18" t="str">
        <x:v>kr_202606_theme_43</x:v>
      </x:c>
      <x:c r="C124" s="18" t="str">
        <x:v>크림찰떡·모찌 디저트</x:v>
      </x:c>
      <x:c r="D124" s="18" t="str">
        <x:v>[]</x:v>
      </x:c>
      <x:c r="E124" s="18" t="str">
        <x:v>food</x:v>
      </x:c>
      <x:c r="F124" s="18" t="str">
        <x:v>consumer_product</x:v>
      </x:c>
      <x:c r="G124" s="19" t="n">
        <x:v>46193.625</x:v>
      </x:c>
      <x:c r="H124" s="18" t="str"/>
      <x:c r="I124" s="18" t="str"/>
      <x:c r="J124" s="18" t="str">
        <x:v>Y</x:v>
      </x:c>
      <x:c r="K124" s="18" t="str">
        <x:v>2026년 한국의 공개 신상·소비 자료에서 크림찰떡·모찌 디저트 관련 상품과 콘텐츠가 복수 항목으로 관찰된 사후 재구성 트렌드다. 당시 플랫폼 실시간 순위를 복원한 것이 아니며 투자 조언이 아니다.</x:v>
      </x:c>
      <x:c r="L124" s="18" t="str">
        <x:v>편의점 신상 자료에서 크림찰떡·모찌 디저트 관련 제품군이 연속 관찰</x:v>
      </x:c>
      <x:c r="M124" s="18" t="str">
        <x:v>other</x:v>
      </x:c>
      <x:c r="N124" s="18" t="str">
        <x:v>다먹어라이언</x:v>
      </x:c>
      <x:c r="O124" s="19" t="n">
        <x:v>46193.625</x:v>
      </x:c>
      <x:c r="P124" s="18" t="str">
        <x:v>6월3주차 편의점신상 (GS25, CU, 세븐일레븐)</x:v>
      </x:c>
      <x:c r="Q124" s="18" t="str">
        <x:v>https://v.daum.net/v/pqr3cS1y7N</x:v>
      </x:c>
      <x:c r="R124" s="18" t="str">
        <x:v>other</x:v>
      </x:c>
      <x:c r="S124" s="18" t="str">
        <x:v>다먹어라이언</x:v>
      </x:c>
      <x:c r="T124" s="19" t="n">
        <x:v>46199.625</x:v>
      </x:c>
      <x:c r="U124" s="18" t="str">
        <x:v>6월4주차 편의점신상 (GS25,CU)</x:v>
      </x:c>
      <x:c r="V124" s="18" t="str">
        <x:v>https://v.daum.net/v/2cBfy4iPeu</x:v>
      </x:c>
      <x:c r="W124" s="18" t="str">
        <x:v>resolved_excluded</x:v>
      </x:c>
      <x:c r="X124" s="18" t="str">
        <x:v>excluded</x:v>
      </x:c>
      <x:c r="Y124" s="18" t="str">
        <x:v>광고성</x:v>
      </x:c>
      <x:c r="Z124" s="18" t="str"/>
      <x:c r="AA124" s="18" t="str">
        <x:v>단일 신상품 모음 또는 판매성 소개만 확인돼 관심·언급 증가와 다채널 확산을 입증하지 못했다.</x:v>
      </x:c>
    </x:row>
    <x:row r="125">
      <x:c r="A125" s="18" t="n">
        <x:v>122</x:v>
      </x:c>
      <x:c r="B125" s="18" t="str">
        <x:v>kr_202606_theme_44</x:v>
      </x:c>
      <x:c r="C125" s="18" t="str">
        <x:v>과일맛 에너지 드링크</x:v>
      </x:c>
      <x:c r="D125" s="18" t="str">
        <x:v>[]</x:v>
      </x:c>
      <x:c r="E125" s="18" t="str">
        <x:v>food</x:v>
      </x:c>
      <x:c r="F125" s="18" t="str">
        <x:v>consumer_product</x:v>
      </x:c>
      <x:c r="G125" s="19" t="n">
        <x:v>46193.625</x:v>
      </x:c>
      <x:c r="H125" s="18" t="str"/>
      <x:c r="I125" s="18" t="str"/>
      <x:c r="J125" s="18" t="str">
        <x:v>Y</x:v>
      </x:c>
      <x:c r="K125" s="18" t="str">
        <x:v>2026년 한국의 공개 신상·소비 자료에서 과일맛 에너지 드링크 관련 상품과 콘텐츠가 복수 항목으로 관찰된 사후 재구성 트렌드다. 당시 플랫폼 실시간 순위를 복원한 것이 아니며 투자 조언이 아니다.</x:v>
      </x:c>
      <x:c r="L125" s="18" t="str">
        <x:v>편의점 신상 자료에서 과일맛 에너지 드링크 관련 제품군이 연속 관찰</x:v>
      </x:c>
      <x:c r="M125" s="18" t="str">
        <x:v>other</x:v>
      </x:c>
      <x:c r="N125" s="18" t="str">
        <x:v>다먹어라이언</x:v>
      </x:c>
      <x:c r="O125" s="19" t="n">
        <x:v>46193.625</x:v>
      </x:c>
      <x:c r="P125" s="18" t="str">
        <x:v>6월3주차 편의점신상 (GS25, CU, 세븐일레븐)</x:v>
      </x:c>
      <x:c r="Q125" s="18" t="str">
        <x:v>https://v.daum.net/v/pqr3cS1y7N</x:v>
      </x:c>
      <x:c r="R125" s="18" t="str">
        <x:v>other</x:v>
      </x:c>
      <x:c r="S125" s="18" t="str">
        <x:v>다먹어라이언</x:v>
      </x:c>
      <x:c r="T125" s="19" t="n">
        <x:v>46199.625</x:v>
      </x:c>
      <x:c r="U125" s="18" t="str">
        <x:v>6월4주차 편의점신상 (GS25,CU)</x:v>
      </x:c>
      <x:c r="V125" s="18" t="str">
        <x:v>https://v.daum.net/v/2cBfy4iPeu</x:v>
      </x:c>
      <x:c r="W125" s="18" t="str">
        <x:v>resolved_excluded</x:v>
      </x:c>
      <x:c r="X125" s="18" t="str">
        <x:v>excluded</x:v>
      </x:c>
      <x:c r="Y125" s="18" t="str">
        <x:v>광고성</x:v>
      </x:c>
      <x:c r="Z125" s="18" t="str"/>
      <x:c r="AA125" s="18" t="str">
        <x:v>단일 신상품 모음 또는 판매성 소개만 확인돼 관심·언급 증가와 다채널 확산을 입증하지 못했다.</x:v>
      </x:c>
    </x:row>
    <x:row r="126">
      <x:c r="A126" s="18" t="n">
        <x:v>123</x:v>
      </x:c>
      <x:c r="B126" s="18" t="str">
        <x:v>kr_202606_theme_45</x:v>
      </x:c>
      <x:c r="C126" s="18" t="str">
        <x:v>솔티카라멜 스낵·베이커리</x:v>
      </x:c>
      <x:c r="D126" s="18" t="str">
        <x:v>[]</x:v>
      </x:c>
      <x:c r="E126" s="18" t="str">
        <x:v>food</x:v>
      </x:c>
      <x:c r="F126" s="18" t="str">
        <x:v>consumer_product</x:v>
      </x:c>
      <x:c r="G126" s="19" t="n">
        <x:v>46193.625</x:v>
      </x:c>
      <x:c r="H126" s="18" t="str"/>
      <x:c r="I126" s="18" t="str"/>
      <x:c r="J126" s="18" t="str">
        <x:v>Y</x:v>
      </x:c>
      <x:c r="K126" s="18" t="str">
        <x:v>2026년 한국의 공개 신상·소비 자료에서 솔티카라멜 스낵·베이커리 관련 상품과 콘텐츠가 복수 항목으로 관찰된 사후 재구성 트렌드다. 당시 플랫폼 실시간 순위를 복원한 것이 아니며 투자 조언이 아니다.</x:v>
      </x:c>
      <x:c r="L126" s="18" t="str">
        <x:v>편의점 신상 자료에서 솔티카라멜 스낵·베이커리 관련 제품군이 연속 관찰</x:v>
      </x:c>
      <x:c r="M126" s="18" t="str">
        <x:v>other</x:v>
      </x:c>
      <x:c r="N126" s="18" t="str">
        <x:v>다먹어라이언</x:v>
      </x:c>
      <x:c r="O126" s="19" t="n">
        <x:v>46193.625</x:v>
      </x:c>
      <x:c r="P126" s="18" t="str">
        <x:v>6월3주차 편의점신상 (GS25, CU, 세븐일레븐)</x:v>
      </x:c>
      <x:c r="Q126" s="18" t="str">
        <x:v>https://v.daum.net/v/pqr3cS1y7N</x:v>
      </x:c>
      <x:c r="R126" s="18" t="str">
        <x:v>other</x:v>
      </x:c>
      <x:c r="S126" s="18" t="str">
        <x:v>다먹어라이언</x:v>
      </x:c>
      <x:c r="T126" s="19" t="n">
        <x:v>46199.625</x:v>
      </x:c>
      <x:c r="U126" s="18" t="str">
        <x:v>6월4주차 편의점신상 (GS25,CU)</x:v>
      </x:c>
      <x:c r="V126" s="18" t="str">
        <x:v>https://v.daum.net/v/2cBfy4iPeu</x:v>
      </x:c>
      <x:c r="W126" s="18" t="str">
        <x:v>resolved_excluded</x:v>
      </x:c>
      <x:c r="X126" s="18" t="str">
        <x:v>excluded</x:v>
      </x:c>
      <x:c r="Y126" s="18" t="str">
        <x:v>광고성</x:v>
      </x:c>
      <x:c r="Z126" s="18" t="str"/>
      <x:c r="AA126" s="18" t="str">
        <x:v>단일 신상품 모음 또는 판매성 소개만 확인돼 관심·언급 증가와 다채널 확산을 입증하지 못했다.</x:v>
      </x:c>
    </x:row>
    <x:row r="127">
      <x:c r="A127" s="18" t="n">
        <x:v>124</x:v>
      </x:c>
      <x:c r="B127" s="18" t="str">
        <x:v>kr_202608_candidate_124</x:v>
      </x:c>
      <x:c r="C127" s="18" t="str">
        <x:v>서울우유 생우유크림찰떡</x:v>
      </x:c>
      <x:c r="D127" s="18" t="str">
        <x:v>[]</x:v>
      </x:c>
      <x:c r="E127" s="18" t="str">
        <x:v>food</x:v>
      </x:c>
      <x:c r="F127" s="18" t="str">
        <x:v>consumer_product</x:v>
      </x:c>
      <x:c r="G127" s="19" t="n">
        <x:v>46158.625</x:v>
      </x:c>
      <x:c r="H127" s="18" t="str"/>
      <x:c r="I127" s="18" t="str"/>
      <x:c r="J127" s="18" t="str">
        <x:v>Y</x:v>
      </x:c>
      <x:c r="K127" s="18" t="str">
        <x:v>5월3주차 편의점신상 (GS25,CU,이마트24)에서 구체적인 상품·현상으로 관찰돼 후속 검색·언급 증가 여부를 검증할 후보로 수집했다.</x:v>
      </x:c>
      <x:c r="L127" s="18" t="str">
        <x:v>공개 자료에서 서울우유 생우유크림찰떡 관찰</x:v>
      </x:c>
      <x:c r="M127" s="18" t="str">
        <x:v>other</x:v>
      </x:c>
      <x:c r="N127" s="18" t="str">
        <x:v>다먹어라이언</x:v>
      </x:c>
      <x:c r="O127" s="19" t="n">
        <x:v>46158.625</x:v>
      </x:c>
      <x:c r="P127" s="18" t="str">
        <x:v>5월3주차 편의점신상 (GS25,CU,이마트24)</x:v>
      </x:c>
      <x:c r="Q127" s="18" t="str">
        <x:v>https://v.daum.net/v/3VYIMrIkBX</x:v>
      </x:c>
      <x:c r="R127" s="18" t="str">
        <x:v>other</x:v>
      </x:c>
      <x:c r="S127" s="18" t="str">
        <x:v>편의점 신제품리뷰 채널</x:v>
      </x:c>
      <x:c r="T127" s="19" t="n">
        <x:v>46247.625</x:v>
      </x:c>
      <x:c r="U127" s="18" t="str">
        <x:v>편의점 신제품리뷰 공개 목록</x:v>
      </x:c>
      <x:c r="V127" s="18" t="str">
        <x:v>https://v.daum.net/channel/551515/contents</x:v>
      </x:c>
      <x:c r="W127" s="18" t="str">
        <x:v>resolved_excluded</x:v>
      </x:c>
      <x:c r="X127" s="18" t="str">
        <x:v>excluded</x:v>
      </x:c>
      <x:c r="Y127" s="18" t="str">
        <x:v>광고성</x:v>
      </x:c>
      <x:c r="Z127" s="18" t="str"/>
      <x:c r="AA127" s="18" t="str">
        <x:v>단일 신상품 모음 또는 판매성 소개만 확인돼 관심·언급 증가와 다채널 확산을 입증하지 못했다.</x:v>
      </x:c>
    </x:row>
    <x:row r="128">
      <x:c r="A128" s="18" t="n">
        <x:v>125</x:v>
      </x:c>
      <x:c r="B128" s="18" t="str">
        <x:v>kr_202608_candidate_125</x:v>
      </x:c>
      <x:c r="C128" s="18" t="str">
        <x:v>본고장 즉석 우동한그릇</x:v>
      </x:c>
      <x:c r="D128" s="18" t="str">
        <x:v>[]</x:v>
      </x:c>
      <x:c r="E128" s="18" t="str">
        <x:v>food</x:v>
      </x:c>
      <x:c r="F128" s="18" t="str">
        <x:v>consumer_product</x:v>
      </x:c>
      <x:c r="G128" s="19" t="n">
        <x:v>46165.625</x:v>
      </x:c>
      <x:c r="H128" s="18" t="str"/>
      <x:c r="I128" s="18" t="str"/>
      <x:c r="J128" s="18" t="str">
        <x:v>Y</x:v>
      </x:c>
      <x:c r="K128" s="18" t="str">
        <x:v>5월4주차 편의점신상 (GS25, CU)에서 구체적인 상품·현상으로 관찰돼 후속 검색·언급 증가 여부를 검증할 후보로 수집했다.</x:v>
      </x:c>
      <x:c r="L128" s="18" t="str">
        <x:v>공개 자료에서 본고장 즉석 우동한그릇 관찰</x:v>
      </x:c>
      <x:c r="M128" s="18" t="str">
        <x:v>other</x:v>
      </x:c>
      <x:c r="N128" s="18" t="str">
        <x:v>다먹어라이언</x:v>
      </x:c>
      <x:c r="O128" s="19" t="n">
        <x:v>46165.625</x:v>
      </x:c>
      <x:c r="P128" s="18" t="str">
        <x:v>5월4주차 편의점신상 (GS25, CU)</x:v>
      </x:c>
      <x:c r="Q128" s="18" t="str">
        <x:v>https://v.daum.net/v/8q2NXi4qpK</x:v>
      </x:c>
      <x:c r="R128" s="18" t="str">
        <x:v>other</x:v>
      </x:c>
      <x:c r="S128" s="18" t="str">
        <x:v>편의점 신제품리뷰 채널</x:v>
      </x:c>
      <x:c r="T128" s="19" t="n">
        <x:v>46247.625</x:v>
      </x:c>
      <x:c r="U128" s="18" t="str">
        <x:v>편의점 신제품리뷰 공개 목록</x:v>
      </x:c>
      <x:c r="V128" s="18" t="str">
        <x:v>https://v.daum.net/channel/551515/contents</x:v>
      </x:c>
      <x:c r="W128" s="18" t="str">
        <x:v>resolved_excluded</x:v>
      </x:c>
      <x:c r="X128" s="18" t="str">
        <x:v>excluded</x:v>
      </x:c>
      <x:c r="Y128" s="18" t="str">
        <x:v>광고성</x:v>
      </x:c>
      <x:c r="Z128" s="18" t="str"/>
      <x:c r="AA128" s="18" t="str">
        <x:v>단일 신상품 모음 또는 판매성 소개만 확인돼 관심·언급 증가와 다채널 확산을 입증하지 못했다.</x:v>
      </x:c>
    </x:row>
    <x:row r="129">
      <x:c r="A129" s="18" t="n">
        <x:v>126</x:v>
      </x:c>
      <x:c r="B129" s="18" t="str">
        <x:v>kr_202608_candidate_126</x:v>
      </x:c>
      <x:c r="C129" s="18" t="str">
        <x:v>추억의돈까스</x:v>
      </x:c>
      <x:c r="D129" s="18" t="str">
        <x:v>[]</x:v>
      </x:c>
      <x:c r="E129" s="18" t="str">
        <x:v>food</x:v>
      </x:c>
      <x:c r="F129" s="18" t="str">
        <x:v>consumer_product</x:v>
      </x:c>
      <x:c r="G129" s="19" t="n">
        <x:v>46179.625</x:v>
      </x:c>
      <x:c r="H129" s="18" t="str"/>
      <x:c r="I129" s="18" t="str"/>
      <x:c r="J129" s="18" t="str">
        <x:v>Y</x:v>
      </x:c>
      <x:c r="K129" s="18" t="str">
        <x:v>6월1주차 편의점신상 (GS25, CU)에서 구체적인 상품·현상으로 관찰돼 후속 검색·언급 증가 여부를 검증할 후보로 수집했다.</x:v>
      </x:c>
      <x:c r="L129" s="18" t="str">
        <x:v>공개 자료에서 추억의돈까스 관찰</x:v>
      </x:c>
      <x:c r="M129" s="18" t="str">
        <x:v>other</x:v>
      </x:c>
      <x:c r="N129" s="18" t="str">
        <x:v>다먹어라이언</x:v>
      </x:c>
      <x:c r="O129" s="19" t="n">
        <x:v>46179.625</x:v>
      </x:c>
      <x:c r="P129" s="18" t="str">
        <x:v>6월1주차 편의점신상 (GS25, CU)</x:v>
      </x:c>
      <x:c r="Q129" s="18" t="str">
        <x:v>https://v.daum.net/v/WW1SEegR0T</x:v>
      </x:c>
      <x:c r="R129" s="18" t="str">
        <x:v>other</x:v>
      </x:c>
      <x:c r="S129" s="18" t="str">
        <x:v>편의점 신제품리뷰 채널</x:v>
      </x:c>
      <x:c r="T129" s="19" t="n">
        <x:v>46247.625</x:v>
      </x:c>
      <x:c r="U129" s="18" t="str">
        <x:v>편의점 신제품리뷰 공개 목록</x:v>
      </x:c>
      <x:c r="V129" s="18" t="str">
        <x:v>https://v.daum.net/channel/551515/contents</x:v>
      </x:c>
      <x:c r="W129" s="18" t="str">
        <x:v>resolved_excluded</x:v>
      </x:c>
      <x:c r="X129" s="18" t="str">
        <x:v>excluded</x:v>
      </x:c>
      <x:c r="Y129" s="18" t="str">
        <x:v>광고성</x:v>
      </x:c>
      <x:c r="Z129" s="18" t="str"/>
      <x:c r="AA129" s="18" t="str">
        <x:v>단일 신상품 모음 또는 판매성 소개만 확인돼 관심·언급 증가와 다채널 확산을 입증하지 못했다.</x:v>
      </x:c>
    </x:row>
    <x:row r="130">
      <x:c r="A130" s="18" t="n">
        <x:v>127</x:v>
      </x:c>
      <x:c r="B130" s="18" t="str">
        <x:v>kr_202608_candidate_127</x:v>
      </x:c>
      <x:c r="C130" s="18" t="str">
        <x:v>본고장 즉석 짜장한그릇</x:v>
      </x:c>
      <x:c r="D130" s="18" t="str">
        <x:v>[]</x:v>
      </x:c>
      <x:c r="E130" s="18" t="str">
        <x:v>food</x:v>
      </x:c>
      <x:c r="F130" s="18" t="str">
        <x:v>consumer_product</x:v>
      </x:c>
      <x:c r="G130" s="19" t="n">
        <x:v>46186.625</x:v>
      </x:c>
      <x:c r="H130" s="18" t="str"/>
      <x:c r="I130" s="18" t="str"/>
      <x:c r="J130" s="18" t="str">
        <x:v>Y</x:v>
      </x:c>
      <x:c r="K130" s="18" t="str">
        <x:v>6월2주차 편의점신상 (GS25,CU)에서 구체적인 상품·현상으로 관찰돼 후속 검색·언급 증가 여부를 검증할 후보로 수집했다.</x:v>
      </x:c>
      <x:c r="L130" s="18" t="str">
        <x:v>공개 자료에서 본고장 즉석 짜장한그릇 관찰</x:v>
      </x:c>
      <x:c r="M130" s="18" t="str">
        <x:v>other</x:v>
      </x:c>
      <x:c r="N130" s="18" t="str">
        <x:v>다먹어라이언</x:v>
      </x:c>
      <x:c r="O130" s="19" t="n">
        <x:v>46186.625</x:v>
      </x:c>
      <x:c r="P130" s="18" t="str">
        <x:v>6월2주차 편의점신상 (GS25,CU)</x:v>
      </x:c>
      <x:c r="Q130" s="18" t="str">
        <x:v>https://v.daum.net/v/WIeuyxx2wH</x:v>
      </x:c>
      <x:c r="R130" s="18" t="str">
        <x:v>other</x:v>
      </x:c>
      <x:c r="S130" s="18" t="str">
        <x:v>편의점 신제품리뷰 채널</x:v>
      </x:c>
      <x:c r="T130" s="19" t="n">
        <x:v>46247.625</x:v>
      </x:c>
      <x:c r="U130" s="18" t="str">
        <x:v>편의점 신제품리뷰 공개 목록</x:v>
      </x:c>
      <x:c r="V130" s="18" t="str">
        <x:v>https://v.daum.net/channel/551515/contents</x:v>
      </x:c>
      <x:c r="W130" s="18" t="str">
        <x:v>resolved_excluded</x:v>
      </x:c>
      <x:c r="X130" s="18" t="str">
        <x:v>excluded</x:v>
      </x:c>
      <x:c r="Y130" s="18" t="str">
        <x:v>광고성</x:v>
      </x:c>
      <x:c r="Z130" s="18" t="str"/>
      <x:c r="AA130" s="18" t="str">
        <x:v>단일 신상품 모음 또는 판매성 소개만 확인돼 관심·언급 증가와 다채널 확산을 입증하지 못했다.</x:v>
      </x:c>
    </x:row>
    <x:row r="131">
      <x:c r="A131" s="18" t="n">
        <x:v>128</x:v>
      </x:c>
      <x:c r="B131" s="18" t="str">
        <x:v>kr_202608_candidate_128</x:v>
      </x:c>
      <x:c r="C131" s="18" t="str">
        <x:v>하림 닭가슴살프로틴</x:v>
      </x:c>
      <x:c r="D131" s="18" t="str">
        <x:v>[]</x:v>
      </x:c>
      <x:c r="E131" s="18" t="str">
        <x:v>food</x:v>
      </x:c>
      <x:c r="F131" s="18" t="str">
        <x:v>consumer_product</x:v>
      </x:c>
      <x:c r="G131" s="19" t="n">
        <x:v>46193.625</x:v>
      </x:c>
      <x:c r="H131" s="18" t="str"/>
      <x:c r="I131" s="18" t="str"/>
      <x:c r="J131" s="18" t="str">
        <x:v>Y</x:v>
      </x:c>
      <x:c r="K131" s="18" t="str">
        <x:v>6월3주차 편의점신상 (GS25, CU, 세븐일레븐)에서 구체적인 상품·현상으로 관찰돼 후속 검색·언급 증가 여부를 검증할 후보로 수집했다.</x:v>
      </x:c>
      <x:c r="L131" s="18" t="str">
        <x:v>공개 자료에서 하림 닭가슴살프로틴 관찰</x:v>
      </x:c>
      <x:c r="M131" s="18" t="str">
        <x:v>other</x:v>
      </x:c>
      <x:c r="N131" s="18" t="str">
        <x:v>다먹어라이언</x:v>
      </x:c>
      <x:c r="O131" s="19" t="n">
        <x:v>46193.625</x:v>
      </x:c>
      <x:c r="P131" s="18" t="str">
        <x:v>6월3주차 편의점신상 (GS25, CU, 세븐일레븐)</x:v>
      </x:c>
      <x:c r="Q131" s="18" t="str">
        <x:v>https://v.daum.net/v/pqr3cS1y7N</x:v>
      </x:c>
      <x:c r="R131" s="18" t="str">
        <x:v>other</x:v>
      </x:c>
      <x:c r="S131" s="18" t="str">
        <x:v>편의점 신제품리뷰 채널</x:v>
      </x:c>
      <x:c r="T131" s="19" t="n">
        <x:v>46247.625</x:v>
      </x:c>
      <x:c r="U131" s="18" t="str">
        <x:v>편의점 신제품리뷰 공개 목록</x:v>
      </x:c>
      <x:c r="V131" s="18" t="str">
        <x:v>https://v.daum.net/channel/551515/contents</x:v>
      </x:c>
      <x:c r="W131" s="18" t="str">
        <x:v>resolved_excluded</x:v>
      </x:c>
      <x:c r="X131" s="18" t="str">
        <x:v>excluded</x:v>
      </x:c>
      <x:c r="Y131" s="18" t="str">
        <x:v>광고성</x:v>
      </x:c>
      <x:c r="Z131" s="18" t="str"/>
      <x:c r="AA131" s="18" t="str">
        <x:v>단일 신상품 모음 또는 판매성 소개만 확인돼 관심·언급 증가와 다채널 확산을 입증하지 못했다.</x:v>
      </x:c>
    </x:row>
    <x:row r="132">
      <x:c r="A132" s="18" t="n">
        <x:v>129</x:v>
      </x:c>
      <x:c r="B132" s="18" t="str">
        <x:v>kr_202608_candidate_129</x:v>
      </x:c>
      <x:c r="C132" s="18" t="str">
        <x:v>프링글스 하트 미니 로제</x:v>
      </x:c>
      <x:c r="D132" s="18" t="str">
        <x:v>[]</x:v>
      </x:c>
      <x:c r="E132" s="18" t="str">
        <x:v>food</x:v>
      </x:c>
      <x:c r="F132" s="18" t="str">
        <x:v>consumer_product</x:v>
      </x:c>
      <x:c r="G132" s="19" t="n">
        <x:v>46199.625</x:v>
      </x:c>
      <x:c r="H132" s="18" t="str"/>
      <x:c r="I132" s="18" t="str"/>
      <x:c r="J132" s="18" t="str">
        <x:v>Y</x:v>
      </x:c>
      <x:c r="K132" s="18" t="str">
        <x:v>6월4주차 편의점신상 (GS25,CU)에서 구체적인 상품·현상으로 관찰돼 후속 검색·언급 증가 여부를 검증할 후보로 수집했다.</x:v>
      </x:c>
      <x:c r="L132" s="18" t="str">
        <x:v>공개 자료에서 프링글스 하트 미니 로제 관찰</x:v>
      </x:c>
      <x:c r="M132" s="18" t="str">
        <x:v>other</x:v>
      </x:c>
      <x:c r="N132" s="18" t="str">
        <x:v>다먹어라이언</x:v>
      </x:c>
      <x:c r="O132" s="19" t="n">
        <x:v>46199.625</x:v>
      </x:c>
      <x:c r="P132" s="18" t="str">
        <x:v>6월4주차 편의점신상 (GS25,CU)</x:v>
      </x:c>
      <x:c r="Q132" s="18" t="str">
        <x:v>https://v.daum.net/v/2cBfy4iPeu</x:v>
      </x:c>
      <x:c r="R132" s="18" t="str">
        <x:v>other</x:v>
      </x:c>
      <x:c r="S132" s="18" t="str">
        <x:v>편의점 신제품리뷰 채널</x:v>
      </x:c>
      <x:c r="T132" s="19" t="n">
        <x:v>46247.625</x:v>
      </x:c>
      <x:c r="U132" s="18" t="str">
        <x:v>편의점 신제품리뷰 공개 목록</x:v>
      </x:c>
      <x:c r="V132" s="18" t="str">
        <x:v>https://v.daum.net/channel/551515/contents</x:v>
      </x:c>
      <x:c r="W132" s="18" t="str">
        <x:v>resolved_excluded</x:v>
      </x:c>
      <x:c r="X132" s="18" t="str">
        <x:v>excluded</x:v>
      </x:c>
      <x:c r="Y132" s="18" t="str">
        <x:v>광고성</x:v>
      </x:c>
      <x:c r="Z132" s="18" t="str"/>
      <x:c r="AA132" s="18" t="str">
        <x:v>단일 신상품 모음 또는 판매성 소개만 확인돼 관심·언급 증가와 다채널 확산을 입증하지 못했다.</x:v>
      </x:c>
    </x:row>
    <x:row r="133">
      <x:c r="A133" s="18" t="n">
        <x:v>130</x:v>
      </x:c>
      <x:c r="B133" s="18" t="str">
        <x:v>kr_202608_candidate_130</x:v>
      </x:c>
      <x:c r="C133" s="18" t="str">
        <x:v>오뚜기 데이프로틴 바나나</x:v>
      </x:c>
      <x:c r="D133" s="18" t="str">
        <x:v>[]</x:v>
      </x:c>
      <x:c r="E133" s="18" t="str">
        <x:v>food</x:v>
      </x:c>
      <x:c r="F133" s="18" t="str">
        <x:v>consumer_product</x:v>
      </x:c>
      <x:c r="G133" s="19" t="n">
        <x:v>46207.625</x:v>
      </x:c>
      <x:c r="H133" s="18" t="str"/>
      <x:c r="I133" s="18" t="str"/>
      <x:c r="J133" s="18" t="str">
        <x:v>Y</x:v>
      </x:c>
      <x:c r="K133" s="18" t="str">
        <x:v>7월1주차 편의점신상 (GS25,CU,세븐일레븐)에서 구체적인 상품·현상으로 관찰돼 후속 검색·언급 증가 여부를 검증할 후보로 수집했다.</x:v>
      </x:c>
      <x:c r="L133" s="18" t="str">
        <x:v>공개 자료에서 오뚜기 데이프로틴 바나나 관찰</x:v>
      </x:c>
      <x:c r="M133" s="18" t="str">
        <x:v>other</x:v>
      </x:c>
      <x:c r="N133" s="18" t="str">
        <x:v>다먹어라이언</x:v>
      </x:c>
      <x:c r="O133" s="19" t="n">
        <x:v>46207.625</x:v>
      </x:c>
      <x:c r="P133" s="18" t="str">
        <x:v>7월1주차 편의점신상 (GS25,CU,세븐일레븐)</x:v>
      </x:c>
      <x:c r="Q133" s="18" t="str">
        <x:v>https://v.daum.net/v/2ANyb0e4hm</x:v>
      </x:c>
      <x:c r="R133" s="18" t="str">
        <x:v>other</x:v>
      </x:c>
      <x:c r="S133" s="18" t="str">
        <x:v>편의점 신제품리뷰 채널</x:v>
      </x:c>
      <x:c r="T133" s="19" t="n">
        <x:v>46247.625</x:v>
      </x:c>
      <x:c r="U133" s="18" t="str">
        <x:v>편의점 신제품리뷰 공개 목록</x:v>
      </x:c>
      <x:c r="V133" s="18" t="str">
        <x:v>https://v.daum.net/channel/551515/contents</x:v>
      </x:c>
      <x:c r="W133" s="18" t="str">
        <x:v>resolved_excluded</x:v>
      </x:c>
      <x:c r="X133" s="18" t="str">
        <x:v>excluded</x:v>
      </x:c>
      <x:c r="Y133" s="18" t="str">
        <x:v>광고성</x:v>
      </x:c>
      <x:c r="Z133" s="18" t="str"/>
      <x:c r="AA133" s="18" t="str">
        <x:v>단일 신상품 모음 또는 판매성 소개만 확인돼 관심·언급 증가와 다채널 확산을 입증하지 못했다.</x:v>
      </x:c>
    </x:row>
    <x:row r="134">
      <x:c r="A134" s="18" t="n">
        <x:v>131</x:v>
      </x:c>
      <x:c r="B134" s="18" t="str">
        <x:v>kr_202608_candidate_131</x:v>
      </x:c>
      <x:c r="C134" s="18" t="str">
        <x:v>오뚜기 데이프로틴 오곡</x:v>
      </x:c>
      <x:c r="D134" s="18" t="str">
        <x:v>[]</x:v>
      </x:c>
      <x:c r="E134" s="18" t="str">
        <x:v>food</x:v>
      </x:c>
      <x:c r="F134" s="18" t="str">
        <x:v>consumer_product</x:v>
      </x:c>
      <x:c r="G134" s="19" t="n">
        <x:v>46221.625</x:v>
      </x:c>
      <x:c r="H134" s="18" t="str"/>
      <x:c r="I134" s="18" t="str">
        <x:v>Y</x:v>
      </x:c>
      <x:c r="J134" s="18" t="str">
        <x:v>Y</x:v>
      </x:c>
      <x:c r="K134" s="18" t="str">
        <x:v>7월3주차 편의점신상 (GS25, CU)에서 구체적인 상품·현상으로 관찰돼 후속 검색·언급 증가 여부를 검증할 후보로 수집했다.</x:v>
      </x:c>
      <x:c r="L134" s="18" t="str">
        <x:v>공개 자료에서 오뚜기 데이프로틴 오곡 관찰</x:v>
      </x:c>
      <x:c r="M134" s="18" t="str">
        <x:v>other</x:v>
      </x:c>
      <x:c r="N134" s="18" t="str">
        <x:v>다먹어라이언</x:v>
      </x:c>
      <x:c r="O134" s="19" t="n">
        <x:v>46221.625</x:v>
      </x:c>
      <x:c r="P134" s="18" t="str">
        <x:v>7월3주차 편의점신상 (GS25, CU)</x:v>
      </x:c>
      <x:c r="Q134" s="18" t="str">
        <x:v>https://v.daum.net/v/66iOCie4d4?f=p</x:v>
      </x:c>
      <x:c r="R134" s="18" t="str">
        <x:v>other</x:v>
      </x:c>
      <x:c r="S134" s="18" t="str">
        <x:v>편의점 신제품리뷰 채널</x:v>
      </x:c>
      <x:c r="T134" s="19" t="n">
        <x:v>46247.625</x:v>
      </x:c>
      <x:c r="U134" s="18" t="str">
        <x:v>편의점 신제품리뷰 공개 목록</x:v>
      </x:c>
      <x:c r="V134" s="18" t="str">
        <x:v>https://v.daum.net/channel/551515/contents</x:v>
      </x:c>
      <x:c r="W134" s="18" t="str">
        <x:v>resolved_excluded</x:v>
      </x:c>
      <x:c r="X134" s="18" t="str">
        <x:v>excluded</x:v>
      </x:c>
      <x:c r="Y134" s="18" t="str">
        <x:v>광고성</x:v>
      </x:c>
      <x:c r="Z134" s="18" t="str"/>
      <x:c r="AA134" s="18" t="str">
        <x:v>단일 신상품 모음 또는 판매성 소개만 확인돼 관심·언급 증가와 다채널 확산을 입증하지 못했다.</x:v>
      </x:c>
    </x:row>
    <x:row r="135">
      <x:c r="A135" s="18" t="n">
        <x:v>132</x:v>
      </x:c>
      <x:c r="B135" s="18" t="str">
        <x:v>kr_202608_candidate_132</x:v>
      </x:c>
      <x:c r="C135" s="18" t="str">
        <x:v>오뚜기 데이프로틴 초코</x:v>
      </x:c>
      <x:c r="D135" s="18" t="str">
        <x:v>[]</x:v>
      </x:c>
      <x:c r="E135" s="18" t="str">
        <x:v>food</x:v>
      </x:c>
      <x:c r="F135" s="18" t="str">
        <x:v>consumer_product</x:v>
      </x:c>
      <x:c r="G135" s="19" t="n">
        <x:v>46228.625</x:v>
      </x:c>
      <x:c r="H135" s="18" t="str"/>
      <x:c r="I135" s="18" t="str">
        <x:v>Y</x:v>
      </x:c>
      <x:c r="J135" s="18" t="str">
        <x:v>Y</x:v>
      </x:c>
      <x:c r="K135" s="18" t="str">
        <x:v>7월4주차 편의점신상 (GS25,CU)에서 구체적인 상품·현상으로 관찰돼 후속 검색·언급 증가 여부를 검증할 후보로 수집했다.</x:v>
      </x:c>
      <x:c r="L135" s="18" t="str">
        <x:v>공개 자료에서 오뚜기 데이프로틴 초코 관찰</x:v>
      </x:c>
      <x:c r="M135" s="18" t="str">
        <x:v>other</x:v>
      </x:c>
      <x:c r="N135" s="18" t="str">
        <x:v>다먹어라이언</x:v>
      </x:c>
      <x:c r="O135" s="19" t="n">
        <x:v>46228.625</x:v>
      </x:c>
      <x:c r="P135" s="18" t="str">
        <x:v>7월4주차 편의점신상 (GS25,CU)</x:v>
      </x:c>
      <x:c r="Q135" s="18" t="str">
        <x:v>https://v.daum.net/v/blzCQ0FYOh</x:v>
      </x:c>
      <x:c r="R135" s="18" t="str">
        <x:v>other</x:v>
      </x:c>
      <x:c r="S135" s="18" t="str">
        <x:v>편의점 신제품리뷰 채널</x:v>
      </x:c>
      <x:c r="T135" s="19" t="n">
        <x:v>46247.625</x:v>
      </x:c>
      <x:c r="U135" s="18" t="str">
        <x:v>편의점 신제품리뷰 공개 목록</x:v>
      </x:c>
      <x:c r="V135" s="18" t="str">
        <x:v>https://v.daum.net/channel/551515/contents</x:v>
      </x:c>
      <x:c r="W135" s="18" t="str">
        <x:v>resolved_excluded</x:v>
      </x:c>
      <x:c r="X135" s="18" t="str">
        <x:v>excluded</x:v>
      </x:c>
      <x:c r="Y135" s="18" t="str">
        <x:v>광고성</x:v>
      </x:c>
      <x:c r="Z135" s="18" t="str"/>
      <x:c r="AA135" s="18" t="str">
        <x:v>단일 신상품 모음 또는 판매성 소개만 확인돼 관심·언급 증가와 다채널 확산을 입증하지 못했다.</x:v>
      </x:c>
    </x:row>
    <x:row r="136">
      <x:c r="A136" s="18" t="n">
        <x:v>133</x:v>
      </x:c>
      <x:c r="B136" s="18" t="str">
        <x:v>kr_202608_candidate_133</x:v>
      </x:c>
      <x:c r="C136" s="18" t="str">
        <x:v>X코카스 에너지캔</x:v>
      </x:c>
      <x:c r="D136" s="18" t="str">
        <x:v>[]</x:v>
      </x:c>
      <x:c r="E136" s="18" t="str">
        <x:v>food</x:v>
      </x:c>
      <x:c r="F136" s="18" t="str">
        <x:v>consumer_product</x:v>
      </x:c>
      <x:c r="G136" s="19" t="n">
        <x:v>46234.625</x:v>
      </x:c>
      <x:c r="H136" s="18" t="str"/>
      <x:c r="I136" s="18" t="str">
        <x:v>Y</x:v>
      </x:c>
      <x:c r="J136" s="18" t="str">
        <x:v>Y</x:v>
      </x:c>
      <x:c r="K136" s="18" t="str">
        <x:v>8월1주차 편의점신상 TOP10 (GS25,CU)에서 구체적인 상품·현상으로 관찰돼 후속 검색·언급 증가 여부를 검증할 후보로 수집했다.</x:v>
      </x:c>
      <x:c r="L136" s="18" t="str">
        <x:v>공개 자료에서 X코카스 에너지캔 관찰</x:v>
      </x:c>
      <x:c r="M136" s="18" t="str">
        <x:v>other</x:v>
      </x:c>
      <x:c r="N136" s="18" t="str">
        <x:v>다먹어라이언</x:v>
      </x:c>
      <x:c r="O136" s="19" t="n">
        <x:v>46234.625</x:v>
      </x:c>
      <x:c r="P136" s="18" t="str">
        <x:v>8월1주차 편의점신상 TOP10 (GS25,CU)</x:v>
      </x:c>
      <x:c r="Q136" s="18" t="str">
        <x:v>https://v.daum.net/v/qTN9uChDIK</x:v>
      </x:c>
      <x:c r="R136" s="18" t="str">
        <x:v>other</x:v>
      </x:c>
      <x:c r="S136" s="18" t="str">
        <x:v>편의점 신제품리뷰 채널</x:v>
      </x:c>
      <x:c r="T136" s="19" t="n">
        <x:v>46247.625</x:v>
      </x:c>
      <x:c r="U136" s="18" t="str">
        <x:v>편의점 신제품리뷰 공개 목록</x:v>
      </x:c>
      <x:c r="V136" s="18" t="str">
        <x:v>https://v.daum.net/channel/551515/contents</x:v>
      </x:c>
      <x:c r="W136" s="18" t="str">
        <x:v>resolved_excluded</x:v>
      </x:c>
      <x:c r="X136" s="18" t="str">
        <x:v>excluded</x:v>
      </x:c>
      <x:c r="Y136" s="18" t="str">
        <x:v>광고성</x:v>
      </x:c>
      <x:c r="Z136" s="18" t="str"/>
      <x:c r="AA136" s="18" t="str">
        <x:v>단일 신상품 모음 또는 판매성 소개만 확인돼 관심·언급 증가와 다채널 확산을 입증하지 못했다.</x:v>
      </x:c>
    </x:row>
    <x:row r="137">
      <x:c r="A137" s="18" t="n">
        <x:v>134</x:v>
      </x:c>
      <x:c r="B137" s="18" t="str">
        <x:v>kr_202608_candidate_134</x:v>
      </x:c>
      <x:c r="C137" s="18" t="str">
        <x:v>PBICK 저당땅콩사브레</x:v>
      </x:c>
      <x:c r="D137" s="18" t="str">
        <x:v>[]</x:v>
      </x:c>
      <x:c r="E137" s="18" t="str">
        <x:v>food</x:v>
      </x:c>
      <x:c r="F137" s="18" t="str">
        <x:v>consumer_product</x:v>
      </x:c>
      <x:c r="G137" s="19" t="n">
        <x:v>46242.625</x:v>
      </x:c>
      <x:c r="H137" s="18" t="str">
        <x:v>Y</x:v>
      </x:c>
      <x:c r="I137" s="18" t="str">
        <x:v>Y</x:v>
      </x:c>
      <x:c r="J137" s="18" t="str">
        <x:v>Y</x:v>
      </x:c>
      <x:c r="K137" s="18" t="str">
        <x:v>8월2주차 편의점신상 (GS25,CU,세븐일레븐,이마트24)에서 구체적인 상품·현상으로 관찰돼 후속 검색·언급 증가 여부를 검증할 후보로 수집했다.</x:v>
      </x:c>
      <x:c r="L137" s="18" t="str">
        <x:v>공개 자료에서 PBICK 저당땅콩사브레 관찰</x:v>
      </x:c>
      <x:c r="M137" s="18" t="str">
        <x:v>other</x:v>
      </x:c>
      <x:c r="N137" s="18" t="str">
        <x:v>다먹어라이언</x:v>
      </x:c>
      <x:c r="O137" s="19" t="n">
        <x:v>46242.625</x:v>
      </x:c>
      <x:c r="P137" s="18" t="str">
        <x:v>8월2주차 편의점신상 (GS25,CU,세븐일레븐,이마트24)</x:v>
      </x:c>
      <x:c r="Q137" s="18" t="str">
        <x:v>https://v.daum.net/v/zDB5NlSr7A</x:v>
      </x:c>
      <x:c r="R137" s="18" t="str">
        <x:v>other</x:v>
      </x:c>
      <x:c r="S137" s="18" t="str">
        <x:v>편의점 신제품리뷰 채널</x:v>
      </x:c>
      <x:c r="T137" s="19" t="n">
        <x:v>46247.625</x:v>
      </x:c>
      <x:c r="U137" s="18" t="str">
        <x:v>편의점 신제품리뷰 공개 목록</x:v>
      </x:c>
      <x:c r="V137" s="18" t="str">
        <x:v>https://v.daum.net/channel/551515/contents</x:v>
      </x:c>
      <x:c r="W137" s="18" t="str">
        <x:v>resolved_excluded</x:v>
      </x:c>
      <x:c r="X137" s="18" t="str">
        <x:v>excluded</x:v>
      </x:c>
      <x:c r="Y137" s="18" t="str">
        <x:v>광고성</x:v>
      </x:c>
      <x:c r="Z137" s="18" t="str"/>
      <x:c r="AA137" s="18" t="str">
        <x:v>단일 신상품 모음 또는 판매성 소개만 확인돼 관심·언급 증가와 다채널 확산을 입증하지 못했다.</x:v>
      </x:c>
    </x:row>
    <x:row r="138">
      <x:c r="A138" s="18" t="n">
        <x:v>135</x:v>
      </x:c>
      <x:c r="B138" s="18" t="str">
        <x:v>kr_202608_candidate_135</x:v>
      </x:c>
      <x:c r="C138" s="18" t="str">
        <x:v>베이크하우스 초코블럭페스트리</x:v>
      </x:c>
      <x:c r="D138" s="18" t="str">
        <x:v>[]</x:v>
      </x:c>
      <x:c r="E138" s="18" t="str">
        <x:v>food</x:v>
      </x:c>
      <x:c r="F138" s="18" t="str">
        <x:v>consumer_product</x:v>
      </x:c>
      <x:c r="G138" s="19" t="n">
        <x:v>46158.625</x:v>
      </x:c>
      <x:c r="H138" s="18" t="str"/>
      <x:c r="I138" s="18" t="str"/>
      <x:c r="J138" s="18" t="str">
        <x:v>Y</x:v>
      </x:c>
      <x:c r="K138" s="18" t="str">
        <x:v>5월3주차 편의점신상 (GS25,CU,이마트24)에서 구체적인 상품·현상으로 관찰돼 후속 검색·언급 증가 여부를 검증할 후보로 수집했다.</x:v>
      </x:c>
      <x:c r="L138" s="18" t="str">
        <x:v>공개 자료에서 베이크하우스 초코블럭페스트리 관찰</x:v>
      </x:c>
      <x:c r="M138" s="18" t="str">
        <x:v>other</x:v>
      </x:c>
      <x:c r="N138" s="18" t="str">
        <x:v>다먹어라이언</x:v>
      </x:c>
      <x:c r="O138" s="19" t="n">
        <x:v>46158.625</x:v>
      </x:c>
      <x:c r="P138" s="18" t="str">
        <x:v>5월3주차 편의점신상 (GS25,CU,이마트24)</x:v>
      </x:c>
      <x:c r="Q138" s="18" t="str">
        <x:v>https://v.daum.net/v/3VYIMrIkBX</x:v>
      </x:c>
      <x:c r="R138" s="18" t="str">
        <x:v>other</x:v>
      </x:c>
      <x:c r="S138" s="18" t="str">
        <x:v>편의점 신제품리뷰 채널</x:v>
      </x:c>
      <x:c r="T138" s="19" t="n">
        <x:v>46247.625</x:v>
      </x:c>
      <x:c r="U138" s="18" t="str">
        <x:v>편의점 신제품리뷰 공개 목록</x:v>
      </x:c>
      <x:c r="V138" s="18" t="str">
        <x:v>https://v.daum.net/channel/551515/contents</x:v>
      </x:c>
      <x:c r="W138" s="18" t="str">
        <x:v>resolved_excluded</x:v>
      </x:c>
      <x:c r="X138" s="18" t="str">
        <x:v>excluded</x:v>
      </x:c>
      <x:c r="Y138" s="18" t="str">
        <x:v>광고성</x:v>
      </x:c>
      <x:c r="Z138" s="18" t="str"/>
      <x:c r="AA138" s="18" t="str">
        <x:v>단일 신상품 모음 또는 판매성 소개만 확인돼 관심·언급 증가와 다채널 확산을 입증하지 못했다.</x:v>
      </x:c>
    </x:row>
    <x:row r="139">
      <x:c r="A139" s="18" t="n">
        <x:v>136</x:v>
      </x:c>
      <x:c r="B139" s="18" t="str">
        <x:v>kr_202608_candidate_136</x:v>
      </x:c>
      <x:c r="C139" s="18" t="str">
        <x:v>따우전드 바나나크림 오믈렛</x:v>
      </x:c>
      <x:c r="D139" s="18" t="str">
        <x:v>[]</x:v>
      </x:c>
      <x:c r="E139" s="18" t="str">
        <x:v>food</x:v>
      </x:c>
      <x:c r="F139" s="18" t="str">
        <x:v>consumer_product</x:v>
      </x:c>
      <x:c r="G139" s="19" t="n">
        <x:v>46165.625</x:v>
      </x:c>
      <x:c r="H139" s="18" t="str"/>
      <x:c r="I139" s="18" t="str"/>
      <x:c r="J139" s="18" t="str">
        <x:v>Y</x:v>
      </x:c>
      <x:c r="K139" s="18" t="str">
        <x:v>5월4주차 편의점신상 (GS25, CU)에서 구체적인 상품·현상으로 관찰돼 후속 검색·언급 증가 여부를 검증할 후보로 수집했다.</x:v>
      </x:c>
      <x:c r="L139" s="18" t="str">
        <x:v>공개 자료에서 따우전드 바나나크림 오믈렛 관찰</x:v>
      </x:c>
      <x:c r="M139" s="18" t="str">
        <x:v>other</x:v>
      </x:c>
      <x:c r="N139" s="18" t="str">
        <x:v>다먹어라이언</x:v>
      </x:c>
      <x:c r="O139" s="19" t="n">
        <x:v>46165.625</x:v>
      </x:c>
      <x:c r="P139" s="18" t="str">
        <x:v>5월4주차 편의점신상 (GS25, CU)</x:v>
      </x:c>
      <x:c r="Q139" s="18" t="str">
        <x:v>https://v.daum.net/v/8q2NXi4qpK</x:v>
      </x:c>
      <x:c r="R139" s="18" t="str">
        <x:v>other</x:v>
      </x:c>
      <x:c r="S139" s="18" t="str">
        <x:v>편의점 신제품리뷰 채널</x:v>
      </x:c>
      <x:c r="T139" s="19" t="n">
        <x:v>46247.625</x:v>
      </x:c>
      <x:c r="U139" s="18" t="str">
        <x:v>편의점 신제품리뷰 공개 목록</x:v>
      </x:c>
      <x:c r="V139" s="18" t="str">
        <x:v>https://v.daum.net/channel/551515/contents</x:v>
      </x:c>
      <x:c r="W139" s="18" t="str">
        <x:v>resolved_excluded</x:v>
      </x:c>
      <x:c r="X139" s="18" t="str">
        <x:v>excluded</x:v>
      </x:c>
      <x:c r="Y139" s="18" t="str">
        <x:v>광고성</x:v>
      </x:c>
      <x:c r="Z139" s="18" t="str"/>
      <x:c r="AA139" s="18" t="str">
        <x:v>단일 신상품 모음 또는 판매성 소개만 확인돼 관심·언급 증가와 다채널 확산을 입증하지 못했다.</x:v>
      </x:c>
    </x:row>
    <x:row r="140">
      <x:c r="A140" s="18" t="n">
        <x:v>137</x:v>
      </x:c>
      <x:c r="B140" s="18" t="str">
        <x:v>kr_202608_candidate_137</x:v>
      </x:c>
      <x:c r="C140" s="18" t="str">
        <x:v>술익는집 서울캘리포니아커먼</x:v>
      </x:c>
      <x:c r="D140" s="18" t="str">
        <x:v>[]</x:v>
      </x:c>
      <x:c r="E140" s="18" t="str">
        <x:v>food</x:v>
      </x:c>
      <x:c r="F140" s="18" t="str">
        <x:v>consumer_product</x:v>
      </x:c>
      <x:c r="G140" s="19" t="n">
        <x:v>46179.625</x:v>
      </x:c>
      <x:c r="H140" s="18" t="str"/>
      <x:c r="I140" s="18" t="str"/>
      <x:c r="J140" s="18" t="str">
        <x:v>Y</x:v>
      </x:c>
      <x:c r="K140" s="18" t="str">
        <x:v>6월1주차 편의점신상 (GS25, CU)에서 구체적인 상품·현상으로 관찰돼 후속 검색·언급 증가 여부를 검증할 후보로 수집했다.</x:v>
      </x:c>
      <x:c r="L140" s="18" t="str">
        <x:v>공개 자료에서 술익는집 서울캘리포니아커먼 관찰</x:v>
      </x:c>
      <x:c r="M140" s="18" t="str">
        <x:v>other</x:v>
      </x:c>
      <x:c r="N140" s="18" t="str">
        <x:v>다먹어라이언</x:v>
      </x:c>
      <x:c r="O140" s="19" t="n">
        <x:v>46179.625</x:v>
      </x:c>
      <x:c r="P140" s="18" t="str">
        <x:v>6월1주차 편의점신상 (GS25, CU)</x:v>
      </x:c>
      <x:c r="Q140" s="18" t="str">
        <x:v>https://v.daum.net/v/WW1SEegR0T</x:v>
      </x:c>
      <x:c r="R140" s="18" t="str">
        <x:v>other</x:v>
      </x:c>
      <x:c r="S140" s="18" t="str">
        <x:v>편의점 신제품리뷰 채널</x:v>
      </x:c>
      <x:c r="T140" s="19" t="n">
        <x:v>46247.625</x:v>
      </x:c>
      <x:c r="U140" s="18" t="str">
        <x:v>편의점 신제품리뷰 공개 목록</x:v>
      </x:c>
      <x:c r="V140" s="18" t="str">
        <x:v>https://v.daum.net/channel/551515/contents</x:v>
      </x:c>
      <x:c r="W140" s="18" t="str">
        <x:v>resolved_excluded</x:v>
      </x:c>
      <x:c r="X140" s="18" t="str">
        <x:v>excluded</x:v>
      </x:c>
      <x:c r="Y140" s="18" t="str">
        <x:v>광고성</x:v>
      </x:c>
      <x:c r="Z140" s="18" t="str"/>
      <x:c r="AA140" s="18" t="str">
        <x:v>단일 신상품 모음 또는 판매성 소개만 확인돼 관심·언급 증가와 다채널 확산을 입증하지 못했다.</x:v>
      </x:c>
    </x:row>
    <x:row r="141">
      <x:c r="A141" s="18" t="n">
        <x:v>138</x:v>
      </x:c>
      <x:c r="B141" s="18" t="str">
        <x:v>kr_202608_candidate_138</x:v>
      </x:c>
      <x:c r="C141" s="18" t="str">
        <x:v>술익는집 서울코리안라이스라거</x:v>
      </x:c>
      <x:c r="D141" s="18" t="str">
        <x:v>[]</x:v>
      </x:c>
      <x:c r="E141" s="18" t="str">
        <x:v>food</x:v>
      </x:c>
      <x:c r="F141" s="18" t="str">
        <x:v>consumer_product</x:v>
      </x:c>
      <x:c r="G141" s="19" t="n">
        <x:v>46186.625</x:v>
      </x:c>
      <x:c r="H141" s="18" t="str"/>
      <x:c r="I141" s="18" t="str"/>
      <x:c r="J141" s="18" t="str">
        <x:v>Y</x:v>
      </x:c>
      <x:c r="K141" s="18" t="str">
        <x:v>6월2주차 편의점신상 (GS25,CU)에서 구체적인 상품·현상으로 관찰돼 후속 검색·언급 증가 여부를 검증할 후보로 수집했다.</x:v>
      </x:c>
      <x:c r="L141" s="18" t="str">
        <x:v>공개 자료에서 술익는집 서울코리안라이스라거 관찰</x:v>
      </x:c>
      <x:c r="M141" s="18" t="str">
        <x:v>other</x:v>
      </x:c>
      <x:c r="N141" s="18" t="str">
        <x:v>다먹어라이언</x:v>
      </x:c>
      <x:c r="O141" s="19" t="n">
        <x:v>46186.625</x:v>
      </x:c>
      <x:c r="P141" s="18" t="str">
        <x:v>6월2주차 편의점신상 (GS25,CU)</x:v>
      </x:c>
      <x:c r="Q141" s="18" t="str">
        <x:v>https://v.daum.net/v/WIeuyxx2wH</x:v>
      </x:c>
      <x:c r="R141" s="18" t="str">
        <x:v>other</x:v>
      </x:c>
      <x:c r="S141" s="18" t="str">
        <x:v>편의점 신제품리뷰 채널</x:v>
      </x:c>
      <x:c r="T141" s="19" t="n">
        <x:v>46247.625</x:v>
      </x:c>
      <x:c r="U141" s="18" t="str">
        <x:v>편의점 신제품리뷰 공개 목록</x:v>
      </x:c>
      <x:c r="V141" s="18" t="str">
        <x:v>https://v.daum.net/channel/551515/contents</x:v>
      </x:c>
      <x:c r="W141" s="18" t="str">
        <x:v>resolved_excluded</x:v>
      </x:c>
      <x:c r="X141" s="18" t="str">
        <x:v>excluded</x:v>
      </x:c>
      <x:c r="Y141" s="18" t="str">
        <x:v>광고성</x:v>
      </x:c>
      <x:c r="Z141" s="18" t="str"/>
      <x:c r="AA141" s="18" t="str">
        <x:v>단일 신상품 모음 또는 판매성 소개만 확인돼 관심·언급 증가와 다채널 확산을 입증하지 못했다.</x:v>
      </x:c>
    </x:row>
    <x:row r="142">
      <x:c r="A142" s="18" t="n">
        <x:v>139</x:v>
      </x:c>
      <x:c r="B142" s="18" t="str">
        <x:v>kr_202608_candidate_139</x:v>
      </x:c>
      <x:c r="C142" s="18" t="str">
        <x:v>손종원셰프 초코 바나나케이크</x:v>
      </x:c>
      <x:c r="D142" s="18" t="str">
        <x:v>[]</x:v>
      </x:c>
      <x:c r="E142" s="18" t="str">
        <x:v>food</x:v>
      </x:c>
      <x:c r="F142" s="18" t="str">
        <x:v>consumer_product</x:v>
      </x:c>
      <x:c r="G142" s="19" t="n">
        <x:v>46193.625</x:v>
      </x:c>
      <x:c r="H142" s="18" t="str"/>
      <x:c r="I142" s="18" t="str"/>
      <x:c r="J142" s="18" t="str">
        <x:v>Y</x:v>
      </x:c>
      <x:c r="K142" s="18" t="str">
        <x:v>6월3주차 편의점신상 (GS25, CU, 세븐일레븐)에서 구체적인 상품·현상으로 관찰돼 후속 검색·언급 증가 여부를 검증할 후보로 수집했다.</x:v>
      </x:c>
      <x:c r="L142" s="18" t="str">
        <x:v>공개 자료에서 손종원셰프 초코 바나나케이크 관찰</x:v>
      </x:c>
      <x:c r="M142" s="18" t="str">
        <x:v>other</x:v>
      </x:c>
      <x:c r="N142" s="18" t="str">
        <x:v>다먹어라이언</x:v>
      </x:c>
      <x:c r="O142" s="19" t="n">
        <x:v>46193.625</x:v>
      </x:c>
      <x:c r="P142" s="18" t="str">
        <x:v>6월3주차 편의점신상 (GS25, CU, 세븐일레븐)</x:v>
      </x:c>
      <x:c r="Q142" s="18" t="str">
        <x:v>https://v.daum.net/v/pqr3cS1y7N</x:v>
      </x:c>
      <x:c r="R142" s="18" t="str">
        <x:v>other</x:v>
      </x:c>
      <x:c r="S142" s="18" t="str">
        <x:v>편의점 신제품리뷰 채널</x:v>
      </x:c>
      <x:c r="T142" s="19" t="n">
        <x:v>46247.625</x:v>
      </x:c>
      <x:c r="U142" s="18" t="str">
        <x:v>편의점 신제품리뷰 공개 목록</x:v>
      </x:c>
      <x:c r="V142" s="18" t="str">
        <x:v>https://v.daum.net/channel/551515/contents</x:v>
      </x:c>
      <x:c r="W142" s="18" t="str">
        <x:v>resolved_excluded</x:v>
      </x:c>
      <x:c r="X142" s="18" t="str">
        <x:v>excluded</x:v>
      </x:c>
      <x:c r="Y142" s="18" t="str">
        <x:v>광고성</x:v>
      </x:c>
      <x:c r="Z142" s="18" t="str"/>
      <x:c r="AA142" s="18" t="str">
        <x:v>단일 신상품 모음 또는 판매성 소개만 확인돼 관심·언급 증가와 다채널 확산을 입증하지 못했다.</x:v>
      </x:c>
    </x:row>
    <x:row r="143">
      <x:c r="A143" s="18" t="n">
        <x:v>140</x:v>
      </x:c>
      <x:c r="B143" s="18" t="str">
        <x:v>kr_202608_candidate_140</x:v>
      </x:c>
      <x:c r="C143" s="18" t="str">
        <x:v>찍먹예감 스모키 홀그레인 소스</x:v>
      </x:c>
      <x:c r="D143" s="18" t="str">
        <x:v>[]</x:v>
      </x:c>
      <x:c r="E143" s="18" t="str">
        <x:v>food</x:v>
      </x:c>
      <x:c r="F143" s="18" t="str">
        <x:v>consumer_product</x:v>
      </x:c>
      <x:c r="G143" s="19" t="n">
        <x:v>46199.625</x:v>
      </x:c>
      <x:c r="H143" s="18" t="str"/>
      <x:c r="I143" s="18" t="str"/>
      <x:c r="J143" s="18" t="str">
        <x:v>Y</x:v>
      </x:c>
      <x:c r="K143" s="18" t="str">
        <x:v>6월4주차 편의점신상 (GS25,CU)에서 구체적인 상품·현상으로 관찰돼 후속 검색·언급 증가 여부를 검증할 후보로 수집했다.</x:v>
      </x:c>
      <x:c r="L143" s="18" t="str">
        <x:v>공개 자료에서 찍먹예감 스모키 홀그레인 소스 관찰</x:v>
      </x:c>
      <x:c r="M143" s="18" t="str">
        <x:v>other</x:v>
      </x:c>
      <x:c r="N143" s="18" t="str">
        <x:v>다먹어라이언</x:v>
      </x:c>
      <x:c r="O143" s="19" t="n">
        <x:v>46199.625</x:v>
      </x:c>
      <x:c r="P143" s="18" t="str">
        <x:v>6월4주차 편의점신상 (GS25,CU)</x:v>
      </x:c>
      <x:c r="Q143" s="18" t="str">
        <x:v>https://v.daum.net/v/2cBfy4iPeu</x:v>
      </x:c>
      <x:c r="R143" s="18" t="str">
        <x:v>other</x:v>
      </x:c>
      <x:c r="S143" s="18" t="str">
        <x:v>편의점 신제품리뷰 채널</x:v>
      </x:c>
      <x:c r="T143" s="19" t="n">
        <x:v>46247.625</x:v>
      </x:c>
      <x:c r="U143" s="18" t="str">
        <x:v>편의점 신제품리뷰 공개 목록</x:v>
      </x:c>
      <x:c r="V143" s="18" t="str">
        <x:v>https://v.daum.net/channel/551515/contents</x:v>
      </x:c>
      <x:c r="W143" s="18" t="str">
        <x:v>resolved_excluded</x:v>
      </x:c>
      <x:c r="X143" s="18" t="str">
        <x:v>excluded</x:v>
      </x:c>
      <x:c r="Y143" s="18" t="str">
        <x:v>광고성</x:v>
      </x:c>
      <x:c r="Z143" s="18" t="str"/>
      <x:c r="AA143" s="18" t="str">
        <x:v>단일 신상품 모음 또는 판매성 소개만 확인돼 관심·언급 증가와 다채널 확산을 입증하지 못했다.</x:v>
      </x:c>
    </x:row>
    <x:row r="144">
      <x:c r="A144" s="18" t="n">
        <x:v>141</x:v>
      </x:c>
      <x:c r="B144" s="18" t="str">
        <x:v>kr_202608_candidate_141</x:v>
      </x:c>
      <x:c r="C144" s="18" t="str">
        <x:v>찍먹예감 치미추리 소스맛</x:v>
      </x:c>
      <x:c r="D144" s="18" t="str">
        <x:v>[]</x:v>
      </x:c>
      <x:c r="E144" s="18" t="str">
        <x:v>food</x:v>
      </x:c>
      <x:c r="F144" s="18" t="str">
        <x:v>consumer_product</x:v>
      </x:c>
      <x:c r="G144" s="19" t="n">
        <x:v>46207.625</x:v>
      </x:c>
      <x:c r="H144" s="18" t="str"/>
      <x:c r="I144" s="18" t="str"/>
      <x:c r="J144" s="18" t="str">
        <x:v>Y</x:v>
      </x:c>
      <x:c r="K144" s="18" t="str">
        <x:v>7월1주차 편의점신상 (GS25,CU,세븐일레븐)에서 구체적인 상품·현상으로 관찰돼 후속 검색·언급 증가 여부를 검증할 후보로 수집했다.</x:v>
      </x:c>
      <x:c r="L144" s="18" t="str">
        <x:v>공개 자료에서 찍먹예감 치미추리 소스맛 관찰</x:v>
      </x:c>
      <x:c r="M144" s="18" t="str">
        <x:v>other</x:v>
      </x:c>
      <x:c r="N144" s="18" t="str">
        <x:v>다먹어라이언</x:v>
      </x:c>
      <x:c r="O144" s="19" t="n">
        <x:v>46207.625</x:v>
      </x:c>
      <x:c r="P144" s="18" t="str">
        <x:v>7월1주차 편의점신상 (GS25,CU,세븐일레븐)</x:v>
      </x:c>
      <x:c r="Q144" s="18" t="str">
        <x:v>https://v.daum.net/v/2ANyb0e4hm</x:v>
      </x:c>
      <x:c r="R144" s="18" t="str">
        <x:v>other</x:v>
      </x:c>
      <x:c r="S144" s="18" t="str">
        <x:v>편의점 신제품리뷰 채널</x:v>
      </x:c>
      <x:c r="T144" s="19" t="n">
        <x:v>46247.625</x:v>
      </x:c>
      <x:c r="U144" s="18" t="str">
        <x:v>편의점 신제품리뷰 공개 목록</x:v>
      </x:c>
      <x:c r="V144" s="18" t="str">
        <x:v>https://v.daum.net/channel/551515/contents</x:v>
      </x:c>
      <x:c r="W144" s="18" t="str">
        <x:v>resolved_excluded</x:v>
      </x:c>
      <x:c r="X144" s="18" t="str">
        <x:v>excluded</x:v>
      </x:c>
      <x:c r="Y144" s="18" t="str">
        <x:v>광고성</x:v>
      </x:c>
      <x:c r="Z144" s="18" t="str"/>
      <x:c r="AA144" s="18" t="str">
        <x:v>단일 신상품 모음 또는 판매성 소개만 확인돼 관심·언급 증가와 다채널 확산을 입증하지 못했다.</x:v>
      </x:c>
    </x:row>
    <x:row r="145">
      <x:c r="A145" s="18" t="n">
        <x:v>142</x:v>
      </x:c>
      <x:c r="B145" s="18" t="str">
        <x:v>kr_202608_candidate_142</x:v>
      </x:c>
      <x:c r="C145" s="18" t="str">
        <x:v>서울우유 우베크림소금빵</x:v>
      </x:c>
      <x:c r="D145" s="18" t="str">
        <x:v>[]</x:v>
      </x:c>
      <x:c r="E145" s="18" t="str">
        <x:v>food</x:v>
      </x:c>
      <x:c r="F145" s="18" t="str">
        <x:v>consumer_product</x:v>
      </x:c>
      <x:c r="G145" s="19" t="n">
        <x:v>46221.625</x:v>
      </x:c>
      <x:c r="H145" s="18" t="str"/>
      <x:c r="I145" s="18" t="str">
        <x:v>Y</x:v>
      </x:c>
      <x:c r="J145" s="18" t="str">
        <x:v>Y</x:v>
      </x:c>
      <x:c r="K145" s="18" t="str">
        <x:v>7월3주차 편의점신상 (GS25, CU)에서 구체적인 상품·현상으로 관찰돼 후속 검색·언급 증가 여부를 검증할 후보로 수집했다.</x:v>
      </x:c>
      <x:c r="L145" s="18" t="str">
        <x:v>공개 자료에서 서울우유 우베크림소금빵 관찰</x:v>
      </x:c>
      <x:c r="M145" s="18" t="str">
        <x:v>other</x:v>
      </x:c>
      <x:c r="N145" s="18" t="str">
        <x:v>다먹어라이언</x:v>
      </x:c>
      <x:c r="O145" s="19" t="n">
        <x:v>46221.625</x:v>
      </x:c>
      <x:c r="P145" s="18" t="str">
        <x:v>7월3주차 편의점신상 (GS25, CU)</x:v>
      </x:c>
      <x:c r="Q145" s="18" t="str">
        <x:v>https://v.daum.net/v/66iOCie4d4?f=p</x:v>
      </x:c>
      <x:c r="R145" s="18" t="str">
        <x:v>other</x:v>
      </x:c>
      <x:c r="S145" s="18" t="str">
        <x:v>편의점 신제품리뷰 채널</x:v>
      </x:c>
      <x:c r="T145" s="19" t="n">
        <x:v>46247.625</x:v>
      </x:c>
      <x:c r="U145" s="18" t="str">
        <x:v>편의점 신제품리뷰 공개 목록</x:v>
      </x:c>
      <x:c r="V145" s="18" t="str">
        <x:v>https://v.daum.net/channel/551515/contents</x:v>
      </x:c>
      <x:c r="W145" s="18" t="str">
        <x:v>resolved_merged</x:v>
      </x:c>
      <x:c r="X145" s="18" t="str">
        <x:v>merged</x:v>
      </x:c>
      <x:c r="Y145" s="18" t="str"/>
      <x:c r="Z145" s="18" t="str">
        <x:v>kr_202607_ube_dessert</x:v>
      </x:c>
      <x:c r="AA145" s="18" t="str">
        <x:v>검증된 상위 트렌드의 제품·표현 변형으로 병합했다.</x:v>
      </x:c>
    </x:row>
    <x:row r="146">
      <x:c r="A146" s="18" t="n">
        <x:v>143</x:v>
      </x:c>
      <x:c r="B146" s="18" t="str">
        <x:v>kr_202608_candidate_143</x:v>
      </x:c>
      <x:c r="C146" s="18" t="str">
        <x:v>오븐에 구운치킨 오리지널</x:v>
      </x:c>
      <x:c r="D146" s="18" t="str">
        <x:v>[]</x:v>
      </x:c>
      <x:c r="E146" s="18" t="str">
        <x:v>food</x:v>
      </x:c>
      <x:c r="F146" s="18" t="str">
        <x:v>consumer_product</x:v>
      </x:c>
      <x:c r="G146" s="19" t="n">
        <x:v>46228.625</x:v>
      </x:c>
      <x:c r="H146" s="18" t="str"/>
      <x:c r="I146" s="18" t="str">
        <x:v>Y</x:v>
      </x:c>
      <x:c r="J146" s="18" t="str">
        <x:v>Y</x:v>
      </x:c>
      <x:c r="K146" s="18" t="str">
        <x:v>7월4주차 편의점신상 (GS25,CU)에서 구체적인 상품·현상으로 관찰돼 후속 검색·언급 증가 여부를 검증할 후보로 수집했다.</x:v>
      </x:c>
      <x:c r="L146" s="18" t="str">
        <x:v>공개 자료에서 오븐에 구운치킨 오리지널 관찰</x:v>
      </x:c>
      <x:c r="M146" s="18" t="str">
        <x:v>other</x:v>
      </x:c>
      <x:c r="N146" s="18" t="str">
        <x:v>다먹어라이언</x:v>
      </x:c>
      <x:c r="O146" s="19" t="n">
        <x:v>46228.625</x:v>
      </x:c>
      <x:c r="P146" s="18" t="str">
        <x:v>7월4주차 편의점신상 (GS25,CU)</x:v>
      </x:c>
      <x:c r="Q146" s="18" t="str">
        <x:v>https://v.daum.net/v/blzCQ0FYOh</x:v>
      </x:c>
      <x:c r="R146" s="18" t="str">
        <x:v>other</x:v>
      </x:c>
      <x:c r="S146" s="18" t="str">
        <x:v>편의점 신제품리뷰 채널</x:v>
      </x:c>
      <x:c r="T146" s="19" t="n">
        <x:v>46247.625</x:v>
      </x:c>
      <x:c r="U146" s="18" t="str">
        <x:v>편의점 신제품리뷰 공개 목록</x:v>
      </x:c>
      <x:c r="V146" s="18" t="str">
        <x:v>https://v.daum.net/channel/551515/contents</x:v>
      </x:c>
      <x:c r="W146" s="18" t="str">
        <x:v>resolved_excluded</x:v>
      </x:c>
      <x:c r="X146" s="18" t="str">
        <x:v>excluded</x:v>
      </x:c>
      <x:c r="Y146" s="18" t="str">
        <x:v>광고성</x:v>
      </x:c>
      <x:c r="Z146" s="18" t="str"/>
      <x:c r="AA146" s="18" t="str">
        <x:v>단일 신상품 모음 또는 판매성 소개만 확인돼 관심·언급 증가와 다채널 확산을 입증하지 못했다.</x:v>
      </x:c>
    </x:row>
    <x:row r="147">
      <x:c r="A147" s="18" t="n">
        <x:v>144</x:v>
      </x:c>
      <x:c r="B147" s="18" t="str">
        <x:v>kr_202608_candidate_144</x:v>
      </x:c>
      <x:c r="C147" s="18" t="str">
        <x:v>데이지라거</x:v>
      </x:c>
      <x:c r="D147" s="18" t="str">
        <x:v>[]</x:v>
      </x:c>
      <x:c r="E147" s="18" t="str">
        <x:v>food</x:v>
      </x:c>
      <x:c r="F147" s="18" t="str">
        <x:v>consumer_product</x:v>
      </x:c>
      <x:c r="G147" s="19" t="n">
        <x:v>46234.625</x:v>
      </x:c>
      <x:c r="H147" s="18" t="str"/>
      <x:c r="I147" s="18" t="str">
        <x:v>Y</x:v>
      </x:c>
      <x:c r="J147" s="18" t="str">
        <x:v>Y</x:v>
      </x:c>
      <x:c r="K147" s="18" t="str">
        <x:v>8월1주차 편의점신상 TOP10 (GS25,CU)에서 구체적인 상품·현상으로 관찰돼 후속 검색·언급 증가 여부를 검증할 후보로 수집했다.</x:v>
      </x:c>
      <x:c r="L147" s="18" t="str">
        <x:v>공개 자료에서 데이지라거 관찰</x:v>
      </x:c>
      <x:c r="M147" s="18" t="str">
        <x:v>other</x:v>
      </x:c>
      <x:c r="N147" s="18" t="str">
        <x:v>다먹어라이언</x:v>
      </x:c>
      <x:c r="O147" s="19" t="n">
        <x:v>46234.625</x:v>
      </x:c>
      <x:c r="P147" s="18" t="str">
        <x:v>8월1주차 편의점신상 TOP10 (GS25,CU)</x:v>
      </x:c>
      <x:c r="Q147" s="18" t="str">
        <x:v>https://v.daum.net/v/qTN9uChDIK</x:v>
      </x:c>
      <x:c r="R147" s="18" t="str">
        <x:v>other</x:v>
      </x:c>
      <x:c r="S147" s="18" t="str">
        <x:v>편의점 신제품리뷰 채널</x:v>
      </x:c>
      <x:c r="T147" s="19" t="n">
        <x:v>46247.625</x:v>
      </x:c>
      <x:c r="U147" s="18" t="str">
        <x:v>편의점 신제품리뷰 공개 목록</x:v>
      </x:c>
      <x:c r="V147" s="18" t="str">
        <x:v>https://v.daum.net/channel/551515/contents</x:v>
      </x:c>
      <x:c r="W147" s="18" t="str">
        <x:v>resolved_excluded</x:v>
      </x:c>
      <x:c r="X147" s="18" t="str">
        <x:v>excluded</x:v>
      </x:c>
      <x:c r="Y147" s="18" t="str">
        <x:v>광고성</x:v>
      </x:c>
      <x:c r="Z147" s="18" t="str"/>
      <x:c r="AA147" s="18" t="str">
        <x:v>단일 신상품 모음 또는 판매성 소개만 확인돼 관심·언급 증가와 다채널 확산을 입증하지 못했다.</x:v>
      </x:c>
    </x:row>
    <x:row r="148">
      <x:c r="A148" s="18" t="n">
        <x:v>145</x:v>
      </x:c>
      <x:c r="B148" s="18" t="str">
        <x:v>kr_202608_candidate_145</x:v>
      </x:c>
      <x:c r="C148" s="18" t="str">
        <x:v>몬치치 초코모찌 팬케이크</x:v>
      </x:c>
      <x:c r="D148" s="18" t="str">
        <x:v>[]</x:v>
      </x:c>
      <x:c r="E148" s="18" t="str">
        <x:v>food</x:v>
      </x:c>
      <x:c r="F148" s="18" t="str">
        <x:v>consumer_product</x:v>
      </x:c>
      <x:c r="G148" s="19" t="n">
        <x:v>46242.625</x:v>
      </x:c>
      <x:c r="H148" s="18" t="str">
        <x:v>Y</x:v>
      </x:c>
      <x:c r="I148" s="18" t="str">
        <x:v>Y</x:v>
      </x:c>
      <x:c r="J148" s="18" t="str">
        <x:v>Y</x:v>
      </x:c>
      <x:c r="K148" s="18" t="str">
        <x:v>8월2주차 편의점신상 (GS25,CU,세븐일레븐,이마트24)에서 구체적인 상품·현상으로 관찰돼 후속 검색·언급 증가 여부를 검증할 후보로 수집했다.</x:v>
      </x:c>
      <x:c r="L148" s="18" t="str">
        <x:v>공개 자료에서 몬치치 초코모찌 팬케이크 관찰</x:v>
      </x:c>
      <x:c r="M148" s="18" t="str">
        <x:v>other</x:v>
      </x:c>
      <x:c r="N148" s="18" t="str">
        <x:v>다먹어라이언</x:v>
      </x:c>
      <x:c r="O148" s="19" t="n">
        <x:v>46242.625</x:v>
      </x:c>
      <x:c r="P148" s="18" t="str">
        <x:v>8월2주차 편의점신상 (GS25,CU,세븐일레븐,이마트24)</x:v>
      </x:c>
      <x:c r="Q148" s="18" t="str">
        <x:v>https://v.daum.net/v/zDB5NlSr7A</x:v>
      </x:c>
      <x:c r="R148" s="18" t="str">
        <x:v>other</x:v>
      </x:c>
      <x:c r="S148" s="18" t="str">
        <x:v>편의점 신제품리뷰 채널</x:v>
      </x:c>
      <x:c r="T148" s="19" t="n">
        <x:v>46247.625</x:v>
      </x:c>
      <x:c r="U148" s="18" t="str">
        <x:v>편의점 신제품리뷰 공개 목록</x:v>
      </x:c>
      <x:c r="V148" s="18" t="str">
        <x:v>https://v.daum.net/channel/551515/contents</x:v>
      </x:c>
      <x:c r="W148" s="18" t="str">
        <x:v>resolved_excluded</x:v>
      </x:c>
      <x:c r="X148" s="18" t="str">
        <x:v>excluded</x:v>
      </x:c>
      <x:c r="Y148" s="18" t="str">
        <x:v>광고성</x:v>
      </x:c>
      <x:c r="Z148" s="18" t="str"/>
      <x:c r="AA148" s="18" t="str">
        <x:v>단일 신상품 모음 또는 판매성 소개만 확인돼 관심·언급 증가와 다채널 확산을 입증하지 못했다.</x:v>
      </x:c>
    </x:row>
    <x:row r="149">
      <x:c r="A149" s="18" t="n">
        <x:v>146</x:v>
      </x:c>
      <x:c r="B149" s="18" t="str">
        <x:v>kr_202608_candidate_146</x:v>
      </x:c>
      <x:c r="C149" s="18" t="str">
        <x:v>몬치치 라즈베리 초코모찌팬케이크</x:v>
      </x:c>
      <x:c r="D149" s="18" t="str">
        <x:v>[]</x:v>
      </x:c>
      <x:c r="E149" s="18" t="str">
        <x:v>food</x:v>
      </x:c>
      <x:c r="F149" s="18" t="str">
        <x:v>consumer_product</x:v>
      </x:c>
      <x:c r="G149" s="19" t="n">
        <x:v>46158.625</x:v>
      </x:c>
      <x:c r="H149" s="18" t="str"/>
      <x:c r="I149" s="18" t="str"/>
      <x:c r="J149" s="18" t="str">
        <x:v>Y</x:v>
      </x:c>
      <x:c r="K149" s="18" t="str">
        <x:v>5월3주차 편의점신상 (GS25,CU,이마트24)에서 구체적인 상품·현상으로 관찰돼 후속 검색·언급 증가 여부를 검증할 후보로 수집했다.</x:v>
      </x:c>
      <x:c r="L149" s="18" t="str">
        <x:v>공개 자료에서 몬치치 라즈베리 초코모찌팬케이크 관찰</x:v>
      </x:c>
      <x:c r="M149" s="18" t="str">
        <x:v>other</x:v>
      </x:c>
      <x:c r="N149" s="18" t="str">
        <x:v>다먹어라이언</x:v>
      </x:c>
      <x:c r="O149" s="19" t="n">
        <x:v>46158.625</x:v>
      </x:c>
      <x:c r="P149" s="18" t="str">
        <x:v>5월3주차 편의점신상 (GS25,CU,이마트24)</x:v>
      </x:c>
      <x:c r="Q149" s="18" t="str">
        <x:v>https://v.daum.net/v/3VYIMrIkBX</x:v>
      </x:c>
      <x:c r="R149" s="18" t="str">
        <x:v>other</x:v>
      </x:c>
      <x:c r="S149" s="18" t="str">
        <x:v>편의점 신제품리뷰 채널</x:v>
      </x:c>
      <x:c r="T149" s="19" t="n">
        <x:v>46247.625</x:v>
      </x:c>
      <x:c r="U149" s="18" t="str">
        <x:v>편의점 신제품리뷰 공개 목록</x:v>
      </x:c>
      <x:c r="V149" s="18" t="str">
        <x:v>https://v.daum.net/channel/551515/contents</x:v>
      </x:c>
      <x:c r="W149" s="18" t="str">
        <x:v>resolved_excluded</x:v>
      </x:c>
      <x:c r="X149" s="18" t="str">
        <x:v>excluded</x:v>
      </x:c>
      <x:c r="Y149" s="18" t="str">
        <x:v>광고성</x:v>
      </x:c>
      <x:c r="Z149" s="18" t="str"/>
      <x:c r="AA149" s="18" t="str">
        <x:v>단일 신상품 모음 또는 판매성 소개만 확인돼 관심·언급 증가와 다채널 확산을 입증하지 못했다.</x:v>
      </x:c>
    </x:row>
    <x:row r="150">
      <x:c r="A150" s="18" t="n">
        <x:v>147</x:v>
      </x:c>
      <x:c r="B150" s="18" t="str">
        <x:v>kr_202608_candidate_147</x:v>
      </x:c>
      <x:c r="C150" s="18" t="str">
        <x:v>연유크림슈</x:v>
      </x:c>
      <x:c r="D150" s="18" t="str">
        <x:v>[]</x:v>
      </x:c>
      <x:c r="E150" s="18" t="str">
        <x:v>food</x:v>
      </x:c>
      <x:c r="F150" s="18" t="str">
        <x:v>consumer_product</x:v>
      </x:c>
      <x:c r="G150" s="19" t="n">
        <x:v>46165.625</x:v>
      </x:c>
      <x:c r="H150" s="18" t="str"/>
      <x:c r="I150" s="18" t="str"/>
      <x:c r="J150" s="18" t="str">
        <x:v>Y</x:v>
      </x:c>
      <x:c r="K150" s="18" t="str">
        <x:v>5월4주차 편의점신상 (GS25, CU)에서 구체적인 상품·현상으로 관찰돼 후속 검색·언급 증가 여부를 검증할 후보로 수집했다.</x:v>
      </x:c>
      <x:c r="L150" s="18" t="str">
        <x:v>공개 자료에서 연유크림슈 관찰</x:v>
      </x:c>
      <x:c r="M150" s="18" t="str">
        <x:v>other</x:v>
      </x:c>
      <x:c r="N150" s="18" t="str">
        <x:v>다먹어라이언</x:v>
      </x:c>
      <x:c r="O150" s="19" t="n">
        <x:v>46165.625</x:v>
      </x:c>
      <x:c r="P150" s="18" t="str">
        <x:v>5월4주차 편의점신상 (GS25, CU)</x:v>
      </x:c>
      <x:c r="Q150" s="18" t="str">
        <x:v>https://v.daum.net/v/8q2NXi4qpK</x:v>
      </x:c>
      <x:c r="R150" s="18" t="str">
        <x:v>other</x:v>
      </x:c>
      <x:c r="S150" s="18" t="str">
        <x:v>편의점 신제품리뷰 채널</x:v>
      </x:c>
      <x:c r="T150" s="19" t="n">
        <x:v>46247.625</x:v>
      </x:c>
      <x:c r="U150" s="18" t="str">
        <x:v>편의점 신제품리뷰 공개 목록</x:v>
      </x:c>
      <x:c r="V150" s="18" t="str">
        <x:v>https://v.daum.net/channel/551515/contents</x:v>
      </x:c>
      <x:c r="W150" s="18" t="str">
        <x:v>resolved_excluded</x:v>
      </x:c>
      <x:c r="X150" s="18" t="str">
        <x:v>excluded</x:v>
      </x:c>
      <x:c r="Y150" s="18" t="str">
        <x:v>광고성</x:v>
      </x:c>
      <x:c r="Z150" s="18" t="str"/>
      <x:c r="AA150" s="18" t="str">
        <x:v>단일 신상품 모음 또는 판매성 소개만 확인돼 관심·언급 증가와 다채널 확산을 입증하지 못했다.</x:v>
      </x:c>
    </x:row>
    <x:row r="151">
      <x:c r="A151" s="18" t="n">
        <x:v>148</x:v>
      </x:c>
      <x:c r="B151" s="18" t="str">
        <x:v>kr_202608_candidate_148</x:v>
      </x:c>
      <x:c r="C151" s="18" t="str">
        <x:v>박스케이크 바나나</x:v>
      </x:c>
      <x:c r="D151" s="18" t="str">
        <x:v>[]</x:v>
      </x:c>
      <x:c r="E151" s="18" t="str">
        <x:v>food</x:v>
      </x:c>
      <x:c r="F151" s="18" t="str">
        <x:v>consumer_product</x:v>
      </x:c>
      <x:c r="G151" s="19" t="n">
        <x:v>46179.625</x:v>
      </x:c>
      <x:c r="H151" s="18" t="str"/>
      <x:c r="I151" s="18" t="str"/>
      <x:c r="J151" s="18" t="str">
        <x:v>Y</x:v>
      </x:c>
      <x:c r="K151" s="18" t="str">
        <x:v>6월1주차 편의점신상 (GS25, CU)에서 구체적인 상품·현상으로 관찰돼 후속 검색·언급 증가 여부를 검증할 후보로 수집했다.</x:v>
      </x:c>
      <x:c r="L151" s="18" t="str">
        <x:v>공개 자료에서 박스케이크 바나나 관찰</x:v>
      </x:c>
      <x:c r="M151" s="18" t="str">
        <x:v>other</x:v>
      </x:c>
      <x:c r="N151" s="18" t="str">
        <x:v>다먹어라이언</x:v>
      </x:c>
      <x:c r="O151" s="19" t="n">
        <x:v>46179.625</x:v>
      </x:c>
      <x:c r="P151" s="18" t="str">
        <x:v>6월1주차 편의점신상 (GS25, CU)</x:v>
      </x:c>
      <x:c r="Q151" s="18" t="str">
        <x:v>https://v.daum.net/v/WW1SEegR0T</x:v>
      </x:c>
      <x:c r="R151" s="18" t="str">
        <x:v>other</x:v>
      </x:c>
      <x:c r="S151" s="18" t="str">
        <x:v>편의점 신제품리뷰 채널</x:v>
      </x:c>
      <x:c r="T151" s="19" t="n">
        <x:v>46247.625</x:v>
      </x:c>
      <x:c r="U151" s="18" t="str">
        <x:v>편의점 신제품리뷰 공개 목록</x:v>
      </x:c>
      <x:c r="V151" s="18" t="str">
        <x:v>https://v.daum.net/channel/551515/contents</x:v>
      </x:c>
      <x:c r="W151" s="18" t="str">
        <x:v>resolved_excluded</x:v>
      </x:c>
      <x:c r="X151" s="18" t="str">
        <x:v>excluded</x:v>
      </x:c>
      <x:c r="Y151" s="18" t="str">
        <x:v>광고성</x:v>
      </x:c>
      <x:c r="Z151" s="18" t="str"/>
      <x:c r="AA151" s="18" t="str">
        <x:v>단일 신상품 모음 또는 판매성 소개만 확인돼 관심·언급 증가와 다채널 확산을 입증하지 못했다.</x:v>
      </x:c>
    </x:row>
    <x:row r="152">
      <x:c r="A152" s="18" t="n">
        <x:v>149</x:v>
      </x:c>
      <x:c r="B152" s="18" t="str">
        <x:v>kr_202608_candidate_149</x:v>
      </x:c>
      <x:c r="C152" s="18" t="str">
        <x:v>최유강셰프 매콤치킨샐러드</x:v>
      </x:c>
      <x:c r="D152" s="18" t="str">
        <x:v>[]</x:v>
      </x:c>
      <x:c r="E152" s="18" t="str">
        <x:v>food</x:v>
      </x:c>
      <x:c r="F152" s="18" t="str">
        <x:v>consumer_product</x:v>
      </x:c>
      <x:c r="G152" s="19" t="n">
        <x:v>46186.625</x:v>
      </x:c>
      <x:c r="H152" s="18" t="str"/>
      <x:c r="I152" s="18" t="str"/>
      <x:c r="J152" s="18" t="str">
        <x:v>Y</x:v>
      </x:c>
      <x:c r="K152" s="18" t="str">
        <x:v>6월2주차 편의점신상 (GS25,CU)에서 구체적인 상품·현상으로 관찰돼 후속 검색·언급 증가 여부를 검증할 후보로 수집했다.</x:v>
      </x:c>
      <x:c r="L152" s="18" t="str">
        <x:v>공개 자료에서 최유강셰프 매콤치킨샐러드 관찰</x:v>
      </x:c>
      <x:c r="M152" s="18" t="str">
        <x:v>other</x:v>
      </x:c>
      <x:c r="N152" s="18" t="str">
        <x:v>다먹어라이언</x:v>
      </x:c>
      <x:c r="O152" s="19" t="n">
        <x:v>46186.625</x:v>
      </x:c>
      <x:c r="P152" s="18" t="str">
        <x:v>6월2주차 편의점신상 (GS25,CU)</x:v>
      </x:c>
      <x:c r="Q152" s="18" t="str">
        <x:v>https://v.daum.net/v/WIeuyxx2wH</x:v>
      </x:c>
      <x:c r="R152" s="18" t="str">
        <x:v>other</x:v>
      </x:c>
      <x:c r="S152" s="18" t="str">
        <x:v>편의점 신제품리뷰 채널</x:v>
      </x:c>
      <x:c r="T152" s="19" t="n">
        <x:v>46247.625</x:v>
      </x:c>
      <x:c r="U152" s="18" t="str">
        <x:v>편의점 신제품리뷰 공개 목록</x:v>
      </x:c>
      <x:c r="V152" s="18" t="str">
        <x:v>https://v.daum.net/channel/551515/contents</x:v>
      </x:c>
      <x:c r="W152" s="18" t="str">
        <x:v>resolved_excluded</x:v>
      </x:c>
      <x:c r="X152" s="18" t="str">
        <x:v>excluded</x:v>
      </x:c>
      <x:c r="Y152" s="18" t="str">
        <x:v>광고성</x:v>
      </x:c>
      <x:c r="Z152" s="18" t="str"/>
      <x:c r="AA152" s="18" t="str">
        <x:v>단일 신상품 모음 또는 판매성 소개만 확인돼 관심·언급 증가와 다채널 확산을 입증하지 못했다.</x:v>
      </x:c>
    </x:row>
    <x:row r="153">
      <x:c r="A153" s="18" t="n">
        <x:v>150</x:v>
      </x:c>
      <x:c r="B153" s="18" t="str">
        <x:v>kr_202608_candidate_150</x:v>
      </x:c>
      <x:c r="C153" s="18" t="str">
        <x:v>과카몰리 유부초밥</x:v>
      </x:c>
      <x:c r="D153" s="18" t="str">
        <x:v>[]</x:v>
      </x:c>
      <x:c r="E153" s="18" t="str">
        <x:v>food</x:v>
      </x:c>
      <x:c r="F153" s="18" t="str">
        <x:v>consumer_product</x:v>
      </x:c>
      <x:c r="G153" s="19" t="n">
        <x:v>46193.625</x:v>
      </x:c>
      <x:c r="H153" s="18" t="str"/>
      <x:c r="I153" s="18" t="str"/>
      <x:c r="J153" s="18" t="str">
        <x:v>Y</x:v>
      </x:c>
      <x:c r="K153" s="18" t="str">
        <x:v>6월3주차 편의점신상 (GS25, CU, 세븐일레븐)에서 구체적인 상품·현상으로 관찰돼 후속 검색·언급 증가 여부를 검증할 후보로 수집했다.</x:v>
      </x:c>
      <x:c r="L153" s="18" t="str">
        <x:v>공개 자료에서 과카몰리 유부초밥 관찰</x:v>
      </x:c>
      <x:c r="M153" s="18" t="str">
        <x:v>other</x:v>
      </x:c>
      <x:c r="N153" s="18" t="str">
        <x:v>다먹어라이언</x:v>
      </x:c>
      <x:c r="O153" s="19" t="n">
        <x:v>46193.625</x:v>
      </x:c>
      <x:c r="P153" s="18" t="str">
        <x:v>6월3주차 편의점신상 (GS25, CU, 세븐일레븐)</x:v>
      </x:c>
      <x:c r="Q153" s="18" t="str">
        <x:v>https://v.daum.net/v/pqr3cS1y7N</x:v>
      </x:c>
      <x:c r="R153" s="18" t="str">
        <x:v>other</x:v>
      </x:c>
      <x:c r="S153" s="18" t="str">
        <x:v>편의점 신제품리뷰 채널</x:v>
      </x:c>
      <x:c r="T153" s="19" t="n">
        <x:v>46247.625</x:v>
      </x:c>
      <x:c r="U153" s="18" t="str">
        <x:v>편의점 신제품리뷰 공개 목록</x:v>
      </x:c>
      <x:c r="V153" s="18" t="str">
        <x:v>https://v.daum.net/channel/551515/contents</x:v>
      </x:c>
      <x:c r="W153" s="18" t="str">
        <x:v>resolved_excluded</x:v>
      </x:c>
      <x:c r="X153" s="18" t="str">
        <x:v>excluded</x:v>
      </x:c>
      <x:c r="Y153" s="18" t="str">
        <x:v>광고성</x:v>
      </x:c>
      <x:c r="Z153" s="18" t="str"/>
      <x:c r="AA153" s="18" t="str">
        <x:v>단일 신상품 모음 또는 판매성 소개만 확인돼 관심·언급 증가와 다채널 확산을 입증하지 못했다.</x:v>
      </x:c>
    </x:row>
    <x:row r="154">
      <x:c r="A154" s="18" t="n">
        <x:v>151</x:v>
      </x:c>
      <x:c r="B154" s="18" t="str">
        <x:v>kr_202608_candidate_151</x:v>
      </x:c>
      <x:c r="C154" s="18" t="str">
        <x:v>신라면 로제</x:v>
      </x:c>
      <x:c r="D154" s="18" t="str">
        <x:v>[]</x:v>
      </x:c>
      <x:c r="E154" s="18" t="str">
        <x:v>food</x:v>
      </x:c>
      <x:c r="F154" s="18" t="str">
        <x:v>consumer_product</x:v>
      </x:c>
      <x:c r="G154" s="19" t="n">
        <x:v>46199.625</x:v>
      </x:c>
      <x:c r="H154" s="18" t="str"/>
      <x:c r="I154" s="18" t="str"/>
      <x:c r="J154" s="18" t="str">
        <x:v>Y</x:v>
      </x:c>
      <x:c r="K154" s="18" t="str">
        <x:v>6월4주차 편의점신상 (GS25,CU)에서 구체적인 상품·현상으로 관찰돼 후속 검색·언급 증가 여부를 검증할 후보로 수집했다.</x:v>
      </x:c>
      <x:c r="L154" s="18" t="str">
        <x:v>공개 자료에서 신라면 로제 관찰</x:v>
      </x:c>
      <x:c r="M154" s="18" t="str">
        <x:v>other</x:v>
      </x:c>
      <x:c r="N154" s="18" t="str">
        <x:v>다먹어라이언</x:v>
      </x:c>
      <x:c r="O154" s="19" t="n">
        <x:v>46199.625</x:v>
      </x:c>
      <x:c r="P154" s="18" t="str">
        <x:v>6월4주차 편의점신상 (GS25,CU)</x:v>
      </x:c>
      <x:c r="Q154" s="18" t="str">
        <x:v>https://v.daum.net/v/2cBfy4iPeu</x:v>
      </x:c>
      <x:c r="R154" s="18" t="str">
        <x:v>other</x:v>
      </x:c>
      <x:c r="S154" s="18" t="str">
        <x:v>편의점 신제품리뷰 채널</x:v>
      </x:c>
      <x:c r="T154" s="19" t="n">
        <x:v>46247.625</x:v>
      </x:c>
      <x:c r="U154" s="18" t="str">
        <x:v>편의점 신제품리뷰 공개 목록</x:v>
      </x:c>
      <x:c r="V154" s="18" t="str">
        <x:v>https://v.daum.net/channel/551515/contents</x:v>
      </x:c>
      <x:c r="W154" s="18" t="str">
        <x:v>resolved_excluded</x:v>
      </x:c>
      <x:c r="X154" s="18" t="str">
        <x:v>excluded</x:v>
      </x:c>
      <x:c r="Y154" s="18" t="str">
        <x:v>광고성</x:v>
      </x:c>
      <x:c r="Z154" s="18" t="str"/>
      <x:c r="AA154" s="18" t="str">
        <x:v>단일 신상품 모음 또는 판매성 소개만 확인돼 관심·언급 증가와 다채널 확산을 입증하지 못했다.</x:v>
      </x:c>
    </x:row>
    <x:row r="155">
      <x:c r="A155" s="18" t="n">
        <x:v>152</x:v>
      </x:c>
      <x:c r="B155" s="18" t="str">
        <x:v>kr_202608_candidate_152</x:v>
      </x:c>
      <x:c r="C155" s="18" t="str">
        <x:v>신당동떡볶이 우리할매떡볶이</x:v>
      </x:c>
      <x:c r="D155" s="18" t="str">
        <x:v>[]</x:v>
      </x:c>
      <x:c r="E155" s="18" t="str">
        <x:v>food</x:v>
      </x:c>
      <x:c r="F155" s="18" t="str">
        <x:v>consumer_product</x:v>
      </x:c>
      <x:c r="G155" s="19" t="n">
        <x:v>46207.625</x:v>
      </x:c>
      <x:c r="H155" s="18" t="str"/>
      <x:c r="I155" s="18" t="str"/>
      <x:c r="J155" s="18" t="str">
        <x:v>Y</x:v>
      </x:c>
      <x:c r="K155" s="18" t="str">
        <x:v>7월1주차 편의점신상 (GS25,CU,세븐일레븐)에서 구체적인 상품·현상으로 관찰돼 후속 검색·언급 증가 여부를 검증할 후보로 수집했다.</x:v>
      </x:c>
      <x:c r="L155" s="18" t="str">
        <x:v>공개 자료에서 신당동떡볶이 우리할매떡볶이 관찰</x:v>
      </x:c>
      <x:c r="M155" s="18" t="str">
        <x:v>other</x:v>
      </x:c>
      <x:c r="N155" s="18" t="str">
        <x:v>다먹어라이언</x:v>
      </x:c>
      <x:c r="O155" s="19" t="n">
        <x:v>46207.625</x:v>
      </x:c>
      <x:c r="P155" s="18" t="str">
        <x:v>7월1주차 편의점신상 (GS25,CU,세븐일레븐)</x:v>
      </x:c>
      <x:c r="Q155" s="18" t="str">
        <x:v>https://v.daum.net/v/2ANyb0e4hm</x:v>
      </x:c>
      <x:c r="R155" s="18" t="str">
        <x:v>other</x:v>
      </x:c>
      <x:c r="S155" s="18" t="str">
        <x:v>편의점 신제품리뷰 채널</x:v>
      </x:c>
      <x:c r="T155" s="19" t="n">
        <x:v>46247.625</x:v>
      </x:c>
      <x:c r="U155" s="18" t="str">
        <x:v>편의점 신제품리뷰 공개 목록</x:v>
      </x:c>
      <x:c r="V155" s="18" t="str">
        <x:v>https://v.daum.net/channel/551515/contents</x:v>
      </x:c>
      <x:c r="W155" s="18" t="str">
        <x:v>resolved_excluded</x:v>
      </x:c>
      <x:c r="X155" s="18" t="str">
        <x:v>excluded</x:v>
      </x:c>
      <x:c r="Y155" s="18" t="str">
        <x:v>광고성</x:v>
      </x:c>
      <x:c r="Z155" s="18" t="str"/>
      <x:c r="AA155" s="18" t="str">
        <x:v>단일 신상품 모음 또는 판매성 소개만 확인돼 관심·언급 증가와 다채널 확산을 입증하지 못했다.</x:v>
      </x:c>
    </x:row>
    <x:row r="156">
      <x:c r="A156" s="18" t="n">
        <x:v>153</x:v>
      </x:c>
      <x:c r="B156" s="18" t="str">
        <x:v>kr_202608_candidate_153</x:v>
      </x:c>
      <x:c r="C156" s="18" t="str">
        <x:v>베이크하우스 호박인절미땅콩샌드</x:v>
      </x:c>
      <x:c r="D156" s="18" t="str">
        <x:v>[]</x:v>
      </x:c>
      <x:c r="E156" s="18" t="str">
        <x:v>food</x:v>
      </x:c>
      <x:c r="F156" s="18" t="str">
        <x:v>consumer_product</x:v>
      </x:c>
      <x:c r="G156" s="19" t="n">
        <x:v>46221.625</x:v>
      </x:c>
      <x:c r="H156" s="18" t="str"/>
      <x:c r="I156" s="18" t="str">
        <x:v>Y</x:v>
      </x:c>
      <x:c r="J156" s="18" t="str">
        <x:v>Y</x:v>
      </x:c>
      <x:c r="K156" s="18" t="str">
        <x:v>7월3주차 편의점신상 (GS25, CU)에서 구체적인 상품·현상으로 관찰돼 후속 검색·언급 증가 여부를 검증할 후보로 수집했다.</x:v>
      </x:c>
      <x:c r="L156" s="18" t="str">
        <x:v>공개 자료에서 베이크하우스 호박인절미땅콩샌드 관찰</x:v>
      </x:c>
      <x:c r="M156" s="18" t="str">
        <x:v>other</x:v>
      </x:c>
      <x:c r="N156" s="18" t="str">
        <x:v>다먹어라이언</x:v>
      </x:c>
      <x:c r="O156" s="19" t="n">
        <x:v>46221.625</x:v>
      </x:c>
      <x:c r="P156" s="18" t="str">
        <x:v>7월3주차 편의점신상 (GS25, CU)</x:v>
      </x:c>
      <x:c r="Q156" s="18" t="str">
        <x:v>https://v.daum.net/v/66iOCie4d4?f=p</x:v>
      </x:c>
      <x:c r="R156" s="18" t="str">
        <x:v>other</x:v>
      </x:c>
      <x:c r="S156" s="18" t="str">
        <x:v>편의점 신제품리뷰 채널</x:v>
      </x:c>
      <x:c r="T156" s="19" t="n">
        <x:v>46247.625</x:v>
      </x:c>
      <x:c r="U156" s="18" t="str">
        <x:v>편의점 신제품리뷰 공개 목록</x:v>
      </x:c>
      <x:c r="V156" s="18" t="str">
        <x:v>https://v.daum.net/channel/551515/contents</x:v>
      </x:c>
      <x:c r="W156" s="18" t="str">
        <x:v>resolved_excluded</x:v>
      </x:c>
      <x:c r="X156" s="18" t="str">
        <x:v>excluded</x:v>
      </x:c>
      <x:c r="Y156" s="18" t="str">
        <x:v>광고성</x:v>
      </x:c>
      <x:c r="Z156" s="18" t="str"/>
      <x:c r="AA156" s="18" t="str">
        <x:v>단일 신상품 모음 또는 판매성 소개만 확인돼 관심·언급 증가와 다채널 확산을 입증하지 못했다.</x:v>
      </x:c>
    </x:row>
    <x:row r="157">
      <x:c r="A157" s="18" t="n">
        <x:v>154</x:v>
      </x:c>
      <x:c r="B157" s="18" t="str">
        <x:v>kr_202608_candidate_154</x:v>
      </x:c>
      <x:c r="C157" s="18" t="str">
        <x:v>봉주르빵집 복분자 크로와상</x:v>
      </x:c>
      <x:c r="D157" s="18" t="str">
        <x:v>[]</x:v>
      </x:c>
      <x:c r="E157" s="18" t="str">
        <x:v>food</x:v>
      </x:c>
      <x:c r="F157" s="18" t="str">
        <x:v>consumer_product</x:v>
      </x:c>
      <x:c r="G157" s="19" t="n">
        <x:v>46228.625</x:v>
      </x:c>
      <x:c r="H157" s="18" t="str"/>
      <x:c r="I157" s="18" t="str">
        <x:v>Y</x:v>
      </x:c>
      <x:c r="J157" s="18" t="str">
        <x:v>Y</x:v>
      </x:c>
      <x:c r="K157" s="18" t="str">
        <x:v>7월4주차 편의점신상 (GS25,CU)에서 구체적인 상품·현상으로 관찰돼 후속 검색·언급 증가 여부를 검증할 후보로 수집했다.</x:v>
      </x:c>
      <x:c r="L157" s="18" t="str">
        <x:v>공개 자료에서 봉주르빵집 복분자 크로와상 관찰</x:v>
      </x:c>
      <x:c r="M157" s="18" t="str">
        <x:v>other</x:v>
      </x:c>
      <x:c r="N157" s="18" t="str">
        <x:v>다먹어라이언</x:v>
      </x:c>
      <x:c r="O157" s="19" t="n">
        <x:v>46228.625</x:v>
      </x:c>
      <x:c r="P157" s="18" t="str">
        <x:v>7월4주차 편의점신상 (GS25,CU)</x:v>
      </x:c>
      <x:c r="Q157" s="18" t="str">
        <x:v>https://v.daum.net/v/blzCQ0FYOh</x:v>
      </x:c>
      <x:c r="R157" s="18" t="str">
        <x:v>other</x:v>
      </x:c>
      <x:c r="S157" s="18" t="str">
        <x:v>편의점 신제품리뷰 채널</x:v>
      </x:c>
      <x:c r="T157" s="19" t="n">
        <x:v>46247.625</x:v>
      </x:c>
      <x:c r="U157" s="18" t="str">
        <x:v>편의점 신제품리뷰 공개 목록</x:v>
      </x:c>
      <x:c r="V157" s="18" t="str">
        <x:v>https://v.daum.net/channel/551515/contents</x:v>
      </x:c>
      <x:c r="W157" s="18" t="str">
        <x:v>resolved_excluded</x:v>
      </x:c>
      <x:c r="X157" s="18" t="str">
        <x:v>excluded</x:v>
      </x:c>
      <x:c r="Y157" s="18" t="str">
        <x:v>광고성</x:v>
      </x:c>
      <x:c r="Z157" s="18" t="str"/>
      <x:c r="AA157" s="18" t="str">
        <x:v>단일 신상품 모음 또는 판매성 소개만 확인돼 관심·언급 증가와 다채널 확산을 입증하지 못했다.</x:v>
      </x:c>
    </x:row>
    <x:row r="158">
      <x:c r="A158" s="18" t="n">
        <x:v>155</x:v>
      </x:c>
      <x:c r="B158" s="18" t="str">
        <x:v>kr_202608_candidate_155</x:v>
      </x:c>
      <x:c r="C158" s="18" t="str">
        <x:v>농심 망고킥</x:v>
      </x:c>
      <x:c r="D158" s="18" t="str">
        <x:v>[]</x:v>
      </x:c>
      <x:c r="E158" s="18" t="str">
        <x:v>food</x:v>
      </x:c>
      <x:c r="F158" s="18" t="str">
        <x:v>consumer_product</x:v>
      </x:c>
      <x:c r="G158" s="19" t="n">
        <x:v>46234.625</x:v>
      </x:c>
      <x:c r="H158" s="18" t="str"/>
      <x:c r="I158" s="18" t="str">
        <x:v>Y</x:v>
      </x:c>
      <x:c r="J158" s="18" t="str">
        <x:v>Y</x:v>
      </x:c>
      <x:c r="K158" s="18" t="str">
        <x:v>8월1주차 편의점신상 TOP10 (GS25,CU)에서 구체적인 상품·현상으로 관찰돼 후속 검색·언급 증가 여부를 검증할 후보로 수집했다.</x:v>
      </x:c>
      <x:c r="L158" s="18" t="str">
        <x:v>공개 자료에서 농심 망고킥 관찰</x:v>
      </x:c>
      <x:c r="M158" s="18" t="str">
        <x:v>other</x:v>
      </x:c>
      <x:c r="N158" s="18" t="str">
        <x:v>다먹어라이언</x:v>
      </x:c>
      <x:c r="O158" s="19" t="n">
        <x:v>46234.625</x:v>
      </x:c>
      <x:c r="P158" s="18" t="str">
        <x:v>8월1주차 편의점신상 TOP10 (GS25,CU)</x:v>
      </x:c>
      <x:c r="Q158" s="18" t="str">
        <x:v>https://v.daum.net/v/qTN9uChDIK</x:v>
      </x:c>
      <x:c r="R158" s="18" t="str">
        <x:v>other</x:v>
      </x:c>
      <x:c r="S158" s="18" t="str">
        <x:v>편의점 신제품리뷰 채널</x:v>
      </x:c>
      <x:c r="T158" s="19" t="n">
        <x:v>46247.625</x:v>
      </x:c>
      <x:c r="U158" s="18" t="str">
        <x:v>편의점 신제품리뷰 공개 목록</x:v>
      </x:c>
      <x:c r="V158" s="18" t="str">
        <x:v>https://v.daum.net/channel/551515/contents</x:v>
      </x:c>
      <x:c r="W158" s="18" t="str">
        <x:v>resolved_excluded</x:v>
      </x:c>
      <x:c r="X158" s="18" t="str">
        <x:v>excluded</x:v>
      </x:c>
      <x:c r="Y158" s="18" t="str">
        <x:v>광고성</x:v>
      </x:c>
      <x:c r="Z158" s="18" t="str"/>
      <x:c r="AA158" s="18" t="str">
        <x:v>단일 신상품 모음 또는 판매성 소개만 확인돼 관심·언급 증가와 다채널 확산을 입증하지 못했다.</x:v>
      </x:c>
    </x:row>
    <x:row r="159">
      <x:c r="A159" s="18" t="n">
        <x:v>156</x:v>
      </x:c>
      <x:c r="B159" s="18" t="str">
        <x:v>kr_202608_candidate_156</x:v>
      </x:c>
      <x:c r="C159" s="18" t="str">
        <x:v>호박인절미</x:v>
      </x:c>
      <x:c r="D159" s="18" t="str">
        <x:v>[]</x:v>
      </x:c>
      <x:c r="E159" s="18" t="str">
        <x:v>food</x:v>
      </x:c>
      <x:c r="F159" s="18" t="str">
        <x:v>consumer_product</x:v>
      </x:c>
      <x:c r="G159" s="19" t="n">
        <x:v>46242.625</x:v>
      </x:c>
      <x:c r="H159" s="18" t="str">
        <x:v>Y</x:v>
      </x:c>
      <x:c r="I159" s="18" t="str">
        <x:v>Y</x:v>
      </x:c>
      <x:c r="J159" s="18" t="str">
        <x:v>Y</x:v>
      </x:c>
      <x:c r="K159" s="18" t="str">
        <x:v>8월2주차 편의점신상 (GS25,CU,세븐일레븐,이마트24)에서 구체적인 상품·현상으로 관찰돼 후속 검색·언급 증가 여부를 검증할 후보로 수집했다.</x:v>
      </x:c>
      <x:c r="L159" s="18" t="str">
        <x:v>공개 자료에서 호박인절미 관찰</x:v>
      </x:c>
      <x:c r="M159" s="18" t="str">
        <x:v>other</x:v>
      </x:c>
      <x:c r="N159" s="18" t="str">
        <x:v>다먹어라이언</x:v>
      </x:c>
      <x:c r="O159" s="19" t="n">
        <x:v>46242.625</x:v>
      </x:c>
      <x:c r="P159" s="18" t="str">
        <x:v>8월2주차 편의점신상 (GS25,CU,세븐일레븐,이마트24)</x:v>
      </x:c>
      <x:c r="Q159" s="18" t="str">
        <x:v>https://v.daum.net/v/zDB5NlSr7A</x:v>
      </x:c>
      <x:c r="R159" s="18" t="str">
        <x:v>other</x:v>
      </x:c>
      <x:c r="S159" s="18" t="str">
        <x:v>편의점 신제품리뷰 채널</x:v>
      </x:c>
      <x:c r="T159" s="19" t="n">
        <x:v>46247.625</x:v>
      </x:c>
      <x:c r="U159" s="18" t="str">
        <x:v>편의점 신제품리뷰 공개 목록</x:v>
      </x:c>
      <x:c r="V159" s="18" t="str">
        <x:v>https://v.daum.net/channel/551515/contents</x:v>
      </x:c>
      <x:c r="W159" s="18" t="str">
        <x:v>resolved_excluded</x:v>
      </x:c>
      <x:c r="X159" s="18" t="str">
        <x:v>excluded</x:v>
      </x:c>
      <x:c r="Y159" s="18" t="str">
        <x:v>광고성</x:v>
      </x:c>
      <x:c r="Z159" s="18" t="str"/>
      <x:c r="AA159" s="18" t="str">
        <x:v>단일 신상품 모음 또는 판매성 소개만 확인돼 관심·언급 증가와 다채널 확산을 입증하지 못했다.</x:v>
      </x:c>
    </x:row>
    <x:row r="160">
      <x:c r="A160" s="18" t="n">
        <x:v>157</x:v>
      </x:c>
      <x:c r="B160" s="18" t="str">
        <x:v>kr_202608_candidate_157</x:v>
      </x:c>
      <x:c r="C160" s="18" t="str">
        <x:v>연세우유 카라멜 크림 산도</x:v>
      </x:c>
      <x:c r="D160" s="18" t="str">
        <x:v>[]</x:v>
      </x:c>
      <x:c r="E160" s="18" t="str">
        <x:v>food</x:v>
      </x:c>
      <x:c r="F160" s="18" t="str">
        <x:v>consumer_product</x:v>
      </x:c>
      <x:c r="G160" s="19" t="n">
        <x:v>46158.625</x:v>
      </x:c>
      <x:c r="H160" s="18" t="str"/>
      <x:c r="I160" s="18" t="str"/>
      <x:c r="J160" s="18" t="str">
        <x:v>Y</x:v>
      </x:c>
      <x:c r="K160" s="18" t="str">
        <x:v>5월3주차 편의점신상 (GS25,CU,이마트24)에서 구체적인 상품·현상으로 관찰돼 후속 검색·언급 증가 여부를 검증할 후보로 수집했다.</x:v>
      </x:c>
      <x:c r="L160" s="18" t="str">
        <x:v>공개 자료에서 연세우유 카라멜 크림 산도 관찰</x:v>
      </x:c>
      <x:c r="M160" s="18" t="str">
        <x:v>other</x:v>
      </x:c>
      <x:c r="N160" s="18" t="str">
        <x:v>다먹어라이언</x:v>
      </x:c>
      <x:c r="O160" s="19" t="n">
        <x:v>46158.625</x:v>
      </x:c>
      <x:c r="P160" s="18" t="str">
        <x:v>5월3주차 편의점신상 (GS25,CU,이마트24)</x:v>
      </x:c>
      <x:c r="Q160" s="18" t="str">
        <x:v>https://v.daum.net/v/3VYIMrIkBX</x:v>
      </x:c>
      <x:c r="R160" s="18" t="str">
        <x:v>other</x:v>
      </x:c>
      <x:c r="S160" s="18" t="str">
        <x:v>편의점 신제품리뷰 채널</x:v>
      </x:c>
      <x:c r="T160" s="19" t="n">
        <x:v>46247.625</x:v>
      </x:c>
      <x:c r="U160" s="18" t="str">
        <x:v>편의점 신제품리뷰 공개 목록</x:v>
      </x:c>
      <x:c r="V160" s="18" t="str">
        <x:v>https://v.daum.net/channel/551515/contents</x:v>
      </x:c>
      <x:c r="W160" s="18" t="str">
        <x:v>resolved_excluded</x:v>
      </x:c>
      <x:c r="X160" s="18" t="str">
        <x:v>excluded</x:v>
      </x:c>
      <x:c r="Y160" s="18" t="str">
        <x:v>광고성</x:v>
      </x:c>
      <x:c r="Z160" s="18" t="str"/>
      <x:c r="AA160" s="18" t="str">
        <x:v>단일 신상품 모음 또는 판매성 소개만 확인돼 관심·언급 증가와 다채널 확산을 입증하지 못했다.</x:v>
      </x:c>
    </x:row>
    <x:row r="161">
      <x:c r="A161" s="18" t="n">
        <x:v>158</x:v>
      </x:c>
      <x:c r="B161" s="18" t="str">
        <x:v>kr_202608_candidate_158</x:v>
      </x:c>
      <x:c r="C161" s="18" t="str">
        <x:v>우베브리오슈번</x:v>
      </x:c>
      <x:c r="D161" s="18" t="str">
        <x:v>[]</x:v>
      </x:c>
      <x:c r="E161" s="18" t="str">
        <x:v>food</x:v>
      </x:c>
      <x:c r="F161" s="18" t="str">
        <x:v>consumer_product</x:v>
      </x:c>
      <x:c r="G161" s="19" t="n">
        <x:v>46165.625</x:v>
      </x:c>
      <x:c r="H161" s="18" t="str"/>
      <x:c r="I161" s="18" t="str"/>
      <x:c r="J161" s="18" t="str">
        <x:v>Y</x:v>
      </x:c>
      <x:c r="K161" s="18" t="str">
        <x:v>5월4주차 편의점신상 (GS25, CU)에서 구체적인 상품·현상으로 관찰돼 후속 검색·언급 증가 여부를 검증할 후보로 수집했다.</x:v>
      </x:c>
      <x:c r="L161" s="18" t="str">
        <x:v>공개 자료에서 우베브리오슈번 관찰</x:v>
      </x:c>
      <x:c r="M161" s="18" t="str">
        <x:v>other</x:v>
      </x:c>
      <x:c r="N161" s="18" t="str">
        <x:v>다먹어라이언</x:v>
      </x:c>
      <x:c r="O161" s="19" t="n">
        <x:v>46165.625</x:v>
      </x:c>
      <x:c r="P161" s="18" t="str">
        <x:v>5월4주차 편의점신상 (GS25, CU)</x:v>
      </x:c>
      <x:c r="Q161" s="18" t="str">
        <x:v>https://v.daum.net/v/8q2NXi4qpK</x:v>
      </x:c>
      <x:c r="R161" s="18" t="str">
        <x:v>other</x:v>
      </x:c>
      <x:c r="S161" s="18" t="str">
        <x:v>편의점 신제품리뷰 채널</x:v>
      </x:c>
      <x:c r="T161" s="19" t="n">
        <x:v>46247.625</x:v>
      </x:c>
      <x:c r="U161" s="18" t="str">
        <x:v>편의점 신제품리뷰 공개 목록</x:v>
      </x:c>
      <x:c r="V161" s="18" t="str">
        <x:v>https://v.daum.net/channel/551515/contents</x:v>
      </x:c>
      <x:c r="W161" s="18" t="str">
        <x:v>resolved_merged</x:v>
      </x:c>
      <x:c r="X161" s="18" t="str">
        <x:v>merged</x:v>
      </x:c>
      <x:c r="Y161" s="18" t="str"/>
      <x:c r="Z161" s="18" t="str">
        <x:v>kr_202607_ube_dessert</x:v>
      </x:c>
      <x:c r="AA161" s="18" t="str">
        <x:v>검증된 상위 트렌드의 제품·표현 변형으로 병합했다.</x:v>
      </x:c>
    </x:row>
    <x:row r="162">
      <x:c r="A162" s="18" t="n">
        <x:v>159</x:v>
      </x:c>
      <x:c r="B162" s="18" t="str">
        <x:v>kr_202608_candidate_159</x:v>
      </x:c>
      <x:c r="C162" s="18" t="str">
        <x:v>기네스 오리지널 스타우트</x:v>
      </x:c>
      <x:c r="D162" s="18" t="str">
        <x:v>[]</x:v>
      </x:c>
      <x:c r="E162" s="18" t="str">
        <x:v>food</x:v>
      </x:c>
      <x:c r="F162" s="18" t="str">
        <x:v>consumer_product</x:v>
      </x:c>
      <x:c r="G162" s="19" t="n">
        <x:v>46179.625</x:v>
      </x:c>
      <x:c r="H162" s="18" t="str"/>
      <x:c r="I162" s="18" t="str"/>
      <x:c r="J162" s="18" t="str">
        <x:v>Y</x:v>
      </x:c>
      <x:c r="K162" s="18" t="str">
        <x:v>6월1주차 편의점신상 (GS25, CU)에서 구체적인 상품·현상으로 관찰돼 후속 검색·언급 증가 여부를 검증할 후보로 수집했다.</x:v>
      </x:c>
      <x:c r="L162" s="18" t="str">
        <x:v>공개 자료에서 기네스 오리지널 스타우트 관찰</x:v>
      </x:c>
      <x:c r="M162" s="18" t="str">
        <x:v>other</x:v>
      </x:c>
      <x:c r="N162" s="18" t="str">
        <x:v>다먹어라이언</x:v>
      </x:c>
      <x:c r="O162" s="19" t="n">
        <x:v>46179.625</x:v>
      </x:c>
      <x:c r="P162" s="18" t="str">
        <x:v>6월1주차 편의점신상 (GS25, CU)</x:v>
      </x:c>
      <x:c r="Q162" s="18" t="str">
        <x:v>https://v.daum.net/v/WW1SEegR0T</x:v>
      </x:c>
      <x:c r="R162" s="18" t="str">
        <x:v>other</x:v>
      </x:c>
      <x:c r="S162" s="18" t="str">
        <x:v>편의점 신제품리뷰 채널</x:v>
      </x:c>
      <x:c r="T162" s="19" t="n">
        <x:v>46247.625</x:v>
      </x:c>
      <x:c r="U162" s="18" t="str">
        <x:v>편의점 신제품리뷰 공개 목록</x:v>
      </x:c>
      <x:c r="V162" s="18" t="str">
        <x:v>https://v.daum.net/channel/551515/contents</x:v>
      </x:c>
      <x:c r="W162" s="18" t="str">
        <x:v>resolved_excluded</x:v>
      </x:c>
      <x:c r="X162" s="18" t="str">
        <x:v>excluded</x:v>
      </x:c>
      <x:c r="Y162" s="18" t="str">
        <x:v>광고성</x:v>
      </x:c>
      <x:c r="Z162" s="18" t="str"/>
      <x:c r="AA162" s="18" t="str">
        <x:v>단일 신상품 모음 또는 판매성 소개만 확인돼 관심·언급 증가와 다채널 확산을 입증하지 못했다.</x:v>
      </x:c>
    </x:row>
    <x:row r="163">
      <x:c r="A163" s="18" t="n">
        <x:v>160</x:v>
      </x:c>
      <x:c r="B163" s="18" t="str">
        <x:v>kr_202608_candidate_160</x:v>
      </x:c>
      <x:c r="C163" s="18" t="str">
        <x:v>아도란 슈크림쏙빵</x:v>
      </x:c>
      <x:c r="D163" s="18" t="str">
        <x:v>[]</x:v>
      </x:c>
      <x:c r="E163" s="18" t="str">
        <x:v>food</x:v>
      </x:c>
      <x:c r="F163" s="18" t="str">
        <x:v>consumer_product</x:v>
      </x:c>
      <x:c r="G163" s="19" t="n">
        <x:v>46186.625</x:v>
      </x:c>
      <x:c r="H163" s="18" t="str"/>
      <x:c r="I163" s="18" t="str"/>
      <x:c r="J163" s="18" t="str">
        <x:v>Y</x:v>
      </x:c>
      <x:c r="K163" s="18" t="str">
        <x:v>6월2주차 편의점신상 (GS25,CU)에서 구체적인 상품·현상으로 관찰돼 후속 검색·언급 증가 여부를 검증할 후보로 수집했다.</x:v>
      </x:c>
      <x:c r="L163" s="18" t="str">
        <x:v>공개 자료에서 아도란 슈크림쏙빵 관찰</x:v>
      </x:c>
      <x:c r="M163" s="18" t="str">
        <x:v>other</x:v>
      </x:c>
      <x:c r="N163" s="18" t="str">
        <x:v>다먹어라이언</x:v>
      </x:c>
      <x:c r="O163" s="19" t="n">
        <x:v>46186.625</x:v>
      </x:c>
      <x:c r="P163" s="18" t="str">
        <x:v>6월2주차 편의점신상 (GS25,CU)</x:v>
      </x:c>
      <x:c r="Q163" s="18" t="str">
        <x:v>https://v.daum.net/v/WIeuyxx2wH</x:v>
      </x:c>
      <x:c r="R163" s="18" t="str">
        <x:v>other</x:v>
      </x:c>
      <x:c r="S163" s="18" t="str">
        <x:v>편의점 신제품리뷰 채널</x:v>
      </x:c>
      <x:c r="T163" s="19" t="n">
        <x:v>46247.625</x:v>
      </x:c>
      <x:c r="U163" s="18" t="str">
        <x:v>편의점 신제품리뷰 공개 목록</x:v>
      </x:c>
      <x:c r="V163" s="18" t="str">
        <x:v>https://v.daum.net/channel/551515/contents</x:v>
      </x:c>
      <x:c r="W163" s="18" t="str">
        <x:v>resolved_excluded</x:v>
      </x:c>
      <x:c r="X163" s="18" t="str">
        <x:v>excluded</x:v>
      </x:c>
      <x:c r="Y163" s="18" t="str">
        <x:v>광고성</x:v>
      </x:c>
      <x:c r="Z163" s="18" t="str"/>
      <x:c r="AA163" s="18" t="str">
        <x:v>단일 신상품 모음 또는 판매성 소개만 확인돼 관심·언급 증가와 다채널 확산을 입증하지 못했다.</x:v>
      </x:c>
    </x:row>
    <x:row r="164">
      <x:c r="A164" s="18" t="n">
        <x:v>161</x:v>
      </x:c>
      <x:c r="B164" s="18" t="str">
        <x:v>kr_202608_candidate_161</x:v>
      </x:c>
      <x:c r="C164" s="18" t="str">
        <x:v>부산돼국라면컵</x:v>
      </x:c>
      <x:c r="D164" s="18" t="str">
        <x:v>[]</x:v>
      </x:c>
      <x:c r="E164" s="18" t="str">
        <x:v>food</x:v>
      </x:c>
      <x:c r="F164" s="18" t="str">
        <x:v>consumer_product</x:v>
      </x:c>
      <x:c r="G164" s="19" t="n">
        <x:v>46193.625</x:v>
      </x:c>
      <x:c r="H164" s="18" t="str"/>
      <x:c r="I164" s="18" t="str"/>
      <x:c r="J164" s="18" t="str">
        <x:v>Y</x:v>
      </x:c>
      <x:c r="K164" s="18" t="str">
        <x:v>6월3주차 편의점신상 (GS25, CU, 세븐일레븐)에서 구체적인 상품·현상으로 관찰돼 후속 검색·언급 증가 여부를 검증할 후보로 수집했다.</x:v>
      </x:c>
      <x:c r="L164" s="18" t="str">
        <x:v>공개 자료에서 부산돼국라면컵 관찰</x:v>
      </x:c>
      <x:c r="M164" s="18" t="str">
        <x:v>other</x:v>
      </x:c>
      <x:c r="N164" s="18" t="str">
        <x:v>다먹어라이언</x:v>
      </x:c>
      <x:c r="O164" s="19" t="n">
        <x:v>46193.625</x:v>
      </x:c>
      <x:c r="P164" s="18" t="str">
        <x:v>6월3주차 편의점신상 (GS25, CU, 세븐일레븐)</x:v>
      </x:c>
      <x:c r="Q164" s="18" t="str">
        <x:v>https://v.daum.net/v/pqr3cS1y7N</x:v>
      </x:c>
      <x:c r="R164" s="18" t="str">
        <x:v>other</x:v>
      </x:c>
      <x:c r="S164" s="18" t="str">
        <x:v>편의점 신제품리뷰 채널</x:v>
      </x:c>
      <x:c r="T164" s="19" t="n">
        <x:v>46247.625</x:v>
      </x:c>
      <x:c r="U164" s="18" t="str">
        <x:v>편의점 신제품리뷰 공개 목록</x:v>
      </x:c>
      <x:c r="V164" s="18" t="str">
        <x:v>https://v.daum.net/channel/551515/contents</x:v>
      </x:c>
      <x:c r="W164" s="18" t="str">
        <x:v>resolved_excluded</x:v>
      </x:c>
      <x:c r="X164" s="18" t="str">
        <x:v>excluded</x:v>
      </x:c>
      <x:c r="Y164" s="18" t="str">
        <x:v>광고성</x:v>
      </x:c>
      <x:c r="Z164" s="18" t="str"/>
      <x:c r="AA164" s="18" t="str">
        <x:v>단일 신상품 모음 또는 판매성 소개만 확인돼 관심·언급 증가와 다채널 확산을 입증하지 못했다.</x:v>
      </x:c>
    </x:row>
    <x:row r="165">
      <x:c r="A165" s="18" t="n">
        <x:v>162</x:v>
      </x:c>
      <x:c r="B165" s="18" t="str">
        <x:v>kr_202608_candidate_162</x:v>
      </x:c>
      <x:c r="C165" s="18" t="str">
        <x:v>떠먹는 얼큰국물파스타</x:v>
      </x:c>
      <x:c r="D165" s="18" t="str">
        <x:v>[]</x:v>
      </x:c>
      <x:c r="E165" s="18" t="str">
        <x:v>food</x:v>
      </x:c>
      <x:c r="F165" s="18" t="str">
        <x:v>consumer_product</x:v>
      </x:c>
      <x:c r="G165" s="19" t="n">
        <x:v>46199.625</x:v>
      </x:c>
      <x:c r="H165" s="18" t="str"/>
      <x:c r="I165" s="18" t="str"/>
      <x:c r="J165" s="18" t="str">
        <x:v>Y</x:v>
      </x:c>
      <x:c r="K165" s="18" t="str">
        <x:v>6월4주차 편의점신상 (GS25,CU)에서 구체적인 상품·현상으로 관찰돼 후속 검색·언급 증가 여부를 검증할 후보로 수집했다.</x:v>
      </x:c>
      <x:c r="L165" s="18" t="str">
        <x:v>공개 자료에서 떠먹는 얼큰국물파스타 관찰</x:v>
      </x:c>
      <x:c r="M165" s="18" t="str">
        <x:v>other</x:v>
      </x:c>
      <x:c r="N165" s="18" t="str">
        <x:v>다먹어라이언</x:v>
      </x:c>
      <x:c r="O165" s="19" t="n">
        <x:v>46199.625</x:v>
      </x:c>
      <x:c r="P165" s="18" t="str">
        <x:v>6월4주차 편의점신상 (GS25,CU)</x:v>
      </x:c>
      <x:c r="Q165" s="18" t="str">
        <x:v>https://v.daum.net/v/2cBfy4iPeu</x:v>
      </x:c>
      <x:c r="R165" s="18" t="str">
        <x:v>other</x:v>
      </x:c>
      <x:c r="S165" s="18" t="str">
        <x:v>편의점 신제품리뷰 채널</x:v>
      </x:c>
      <x:c r="T165" s="19" t="n">
        <x:v>46247.625</x:v>
      </x:c>
      <x:c r="U165" s="18" t="str">
        <x:v>편의점 신제품리뷰 공개 목록</x:v>
      </x:c>
      <x:c r="V165" s="18" t="str">
        <x:v>https://v.daum.net/channel/551515/contents</x:v>
      </x:c>
      <x:c r="W165" s="18" t="str">
        <x:v>resolved_excluded</x:v>
      </x:c>
      <x:c r="X165" s="18" t="str">
        <x:v>excluded</x:v>
      </x:c>
      <x:c r="Y165" s="18" t="str">
        <x:v>광고성</x:v>
      </x:c>
      <x:c r="Z165" s="18" t="str"/>
      <x:c r="AA165" s="18" t="str">
        <x:v>단일 신상품 모음 또는 판매성 소개만 확인돼 관심·언급 증가와 다채널 확산을 입증하지 못했다.</x:v>
      </x:c>
    </x:row>
    <x:row r="166">
      <x:c r="A166" s="18" t="n">
        <x:v>163</x:v>
      </x:c>
      <x:c r="B166" s="18" t="str">
        <x:v>kr_202608_candidate_163</x:v>
      </x:c>
      <x:c r="C166" s="18" t="str">
        <x:v>몬치치 두바이 하트초코틴</x:v>
      </x:c>
      <x:c r="D166" s="18" t="str">
        <x:v>[]</x:v>
      </x:c>
      <x:c r="E166" s="18" t="str">
        <x:v>food</x:v>
      </x:c>
      <x:c r="F166" s="18" t="str">
        <x:v>consumer_product</x:v>
      </x:c>
      <x:c r="G166" s="19" t="n">
        <x:v>46207.625</x:v>
      </x:c>
      <x:c r="H166" s="18" t="str"/>
      <x:c r="I166" s="18" t="str"/>
      <x:c r="J166" s="18" t="str">
        <x:v>Y</x:v>
      </x:c>
      <x:c r="K166" s="18" t="str">
        <x:v>7월1주차 편의점신상 (GS25,CU,세븐일레븐)에서 구체적인 상품·현상으로 관찰돼 후속 검색·언급 증가 여부를 검증할 후보로 수집했다.</x:v>
      </x:c>
      <x:c r="L166" s="18" t="str">
        <x:v>공개 자료에서 몬치치 두바이 하트초코틴 관찰</x:v>
      </x:c>
      <x:c r="M166" s="18" t="str">
        <x:v>other</x:v>
      </x:c>
      <x:c r="N166" s="18" t="str">
        <x:v>다먹어라이언</x:v>
      </x:c>
      <x:c r="O166" s="19" t="n">
        <x:v>46207.625</x:v>
      </x:c>
      <x:c r="P166" s="18" t="str">
        <x:v>7월1주차 편의점신상 (GS25,CU,세븐일레븐)</x:v>
      </x:c>
      <x:c r="Q166" s="18" t="str">
        <x:v>https://v.daum.net/v/2ANyb0e4hm</x:v>
      </x:c>
      <x:c r="R166" s="18" t="str">
        <x:v>other</x:v>
      </x:c>
      <x:c r="S166" s="18" t="str">
        <x:v>편의점 신제품리뷰 채널</x:v>
      </x:c>
      <x:c r="T166" s="19" t="n">
        <x:v>46247.625</x:v>
      </x:c>
      <x:c r="U166" s="18" t="str">
        <x:v>편의점 신제품리뷰 공개 목록</x:v>
      </x:c>
      <x:c r="V166" s="18" t="str">
        <x:v>https://v.daum.net/channel/551515/contents</x:v>
      </x:c>
      <x:c r="W166" s="18" t="str">
        <x:v>resolved_excluded</x:v>
      </x:c>
      <x:c r="X166" s="18" t="str">
        <x:v>excluded</x:v>
      </x:c>
      <x:c r="Y166" s="18" t="str">
        <x:v>광고성</x:v>
      </x:c>
      <x:c r="Z166" s="18" t="str"/>
      <x:c r="AA166" s="18" t="str">
        <x:v>단일 신상품 모음 또는 판매성 소개만 확인돼 관심·언급 증가와 다채널 확산을 입증하지 못했다.</x:v>
      </x:c>
    </x:row>
    <x:row r="167">
      <x:c r="A167" s="18" t="n">
        <x:v>164</x:v>
      </x:c>
      <x:c r="B167" s="18" t="str">
        <x:v>kr_202608_candidate_164</x:v>
      </x:c>
      <x:c r="C167" s="18" t="str">
        <x:v>삼립 미각제빵소 밀크스팀케익</x:v>
      </x:c>
      <x:c r="D167" s="18" t="str">
        <x:v>[]</x:v>
      </x:c>
      <x:c r="E167" s="18" t="str">
        <x:v>food</x:v>
      </x:c>
      <x:c r="F167" s="18" t="str">
        <x:v>consumer_product</x:v>
      </x:c>
      <x:c r="G167" s="19" t="n">
        <x:v>46221.625</x:v>
      </x:c>
      <x:c r="H167" s="18" t="str"/>
      <x:c r="I167" s="18" t="str">
        <x:v>Y</x:v>
      </x:c>
      <x:c r="J167" s="18" t="str">
        <x:v>Y</x:v>
      </x:c>
      <x:c r="K167" s="18" t="str">
        <x:v>7월3주차 편의점신상 (GS25, CU)에서 구체적인 상품·현상으로 관찰돼 후속 검색·언급 증가 여부를 검증할 후보로 수집했다.</x:v>
      </x:c>
      <x:c r="L167" s="18" t="str">
        <x:v>공개 자료에서 삼립 미각제빵소 밀크스팀케익 관찰</x:v>
      </x:c>
      <x:c r="M167" s="18" t="str">
        <x:v>other</x:v>
      </x:c>
      <x:c r="N167" s="18" t="str">
        <x:v>다먹어라이언</x:v>
      </x:c>
      <x:c r="O167" s="19" t="n">
        <x:v>46221.625</x:v>
      </x:c>
      <x:c r="P167" s="18" t="str">
        <x:v>7월3주차 편의점신상 (GS25, CU)</x:v>
      </x:c>
      <x:c r="Q167" s="18" t="str">
        <x:v>https://v.daum.net/v/66iOCie4d4?f=p</x:v>
      </x:c>
      <x:c r="R167" s="18" t="str">
        <x:v>other</x:v>
      </x:c>
      <x:c r="S167" s="18" t="str">
        <x:v>편의점 신제품리뷰 채널</x:v>
      </x:c>
      <x:c r="T167" s="19" t="n">
        <x:v>46247.625</x:v>
      </x:c>
      <x:c r="U167" s="18" t="str">
        <x:v>편의점 신제품리뷰 공개 목록</x:v>
      </x:c>
      <x:c r="V167" s="18" t="str">
        <x:v>https://v.daum.net/channel/551515/contents</x:v>
      </x:c>
      <x:c r="W167" s="18" t="str">
        <x:v>resolved_excluded</x:v>
      </x:c>
      <x:c r="X167" s="18" t="str">
        <x:v>excluded</x:v>
      </x:c>
      <x:c r="Y167" s="18" t="str">
        <x:v>광고성</x:v>
      </x:c>
      <x:c r="Z167" s="18" t="str"/>
      <x:c r="AA167" s="18" t="str">
        <x:v>단일 신상품 모음 또는 판매성 소개만 확인돼 관심·언급 증가와 다채널 확산을 입증하지 못했다.</x:v>
      </x:c>
    </x:row>
    <x:row r="168">
      <x:c r="A168" s="18" t="n">
        <x:v>165</x:v>
      </x:c>
      <x:c r="B168" s="18" t="str">
        <x:v>kr_202608_candidate_165</x:v>
      </x:c>
      <x:c r="C168" s="18" t="str">
        <x:v>문어다리 꾸불칩</x:v>
      </x:c>
      <x:c r="D168" s="18" t="str">
        <x:v>[]</x:v>
      </x:c>
      <x:c r="E168" s="18" t="str">
        <x:v>food</x:v>
      </x:c>
      <x:c r="F168" s="18" t="str">
        <x:v>consumer_product</x:v>
      </x:c>
      <x:c r="G168" s="19" t="n">
        <x:v>46228.625</x:v>
      </x:c>
      <x:c r="H168" s="18" t="str"/>
      <x:c r="I168" s="18" t="str">
        <x:v>Y</x:v>
      </x:c>
      <x:c r="J168" s="18" t="str">
        <x:v>Y</x:v>
      </x:c>
      <x:c r="K168" s="18" t="str">
        <x:v>7월4주차 편의점신상 (GS25,CU)에서 구체적인 상품·현상으로 관찰돼 후속 검색·언급 증가 여부를 검증할 후보로 수집했다.</x:v>
      </x:c>
      <x:c r="L168" s="18" t="str">
        <x:v>공개 자료에서 문어다리 꾸불칩 관찰</x:v>
      </x:c>
      <x:c r="M168" s="18" t="str">
        <x:v>other</x:v>
      </x:c>
      <x:c r="N168" s="18" t="str">
        <x:v>다먹어라이언</x:v>
      </x:c>
      <x:c r="O168" s="19" t="n">
        <x:v>46228.625</x:v>
      </x:c>
      <x:c r="P168" s="18" t="str">
        <x:v>7월4주차 편의점신상 (GS25,CU)</x:v>
      </x:c>
      <x:c r="Q168" s="18" t="str">
        <x:v>https://v.daum.net/v/blzCQ0FYOh</x:v>
      </x:c>
      <x:c r="R168" s="18" t="str">
        <x:v>other</x:v>
      </x:c>
      <x:c r="S168" s="18" t="str">
        <x:v>편의점 신제품리뷰 채널</x:v>
      </x:c>
      <x:c r="T168" s="19" t="n">
        <x:v>46247.625</x:v>
      </x:c>
      <x:c r="U168" s="18" t="str">
        <x:v>편의점 신제품리뷰 공개 목록</x:v>
      </x:c>
      <x:c r="V168" s="18" t="str">
        <x:v>https://v.daum.net/channel/551515/contents</x:v>
      </x:c>
      <x:c r="W168" s="18" t="str">
        <x:v>resolved_excluded</x:v>
      </x:c>
      <x:c r="X168" s="18" t="str">
        <x:v>excluded</x:v>
      </x:c>
      <x:c r="Y168" s="18" t="str">
        <x:v>광고성</x:v>
      </x:c>
      <x:c r="Z168" s="18" t="str"/>
      <x:c r="AA168" s="18" t="str">
        <x:v>단일 신상품 모음 또는 판매성 소개만 확인돼 관심·언급 증가와 다채널 확산을 입증하지 못했다.</x:v>
      </x:c>
    </x:row>
    <x:row r="169">
      <x:c r="A169" s="18" t="n">
        <x:v>166</x:v>
      </x:c>
      <x:c r="B169" s="18" t="str">
        <x:v>kr_202608_candidate_166</x:v>
      </x:c>
      <x:c r="C169" s="18" t="str">
        <x:v>기린 효케츠 레몬캔</x:v>
      </x:c>
      <x:c r="D169" s="18" t="str">
        <x:v>[]</x:v>
      </x:c>
      <x:c r="E169" s="18" t="str">
        <x:v>food</x:v>
      </x:c>
      <x:c r="F169" s="18" t="str">
        <x:v>consumer_product</x:v>
      </x:c>
      <x:c r="G169" s="19" t="n">
        <x:v>46234.625</x:v>
      </x:c>
      <x:c r="H169" s="18" t="str"/>
      <x:c r="I169" s="18" t="str">
        <x:v>Y</x:v>
      </x:c>
      <x:c r="J169" s="18" t="str">
        <x:v>Y</x:v>
      </x:c>
      <x:c r="K169" s="18" t="str">
        <x:v>8월1주차 편의점신상 TOP10 (GS25,CU)에서 구체적인 상품·현상으로 관찰돼 후속 검색·언급 증가 여부를 검증할 후보로 수집했다.</x:v>
      </x:c>
      <x:c r="L169" s="18" t="str">
        <x:v>공개 자료에서 기린 효케츠 레몬캔 관찰</x:v>
      </x:c>
      <x:c r="M169" s="18" t="str">
        <x:v>other</x:v>
      </x:c>
      <x:c r="N169" s="18" t="str">
        <x:v>다먹어라이언</x:v>
      </x:c>
      <x:c r="O169" s="19" t="n">
        <x:v>46234.625</x:v>
      </x:c>
      <x:c r="P169" s="18" t="str">
        <x:v>8월1주차 편의점신상 TOP10 (GS25,CU)</x:v>
      </x:c>
      <x:c r="Q169" s="18" t="str">
        <x:v>https://v.daum.net/v/qTN9uChDIK</x:v>
      </x:c>
      <x:c r="R169" s="18" t="str">
        <x:v>other</x:v>
      </x:c>
      <x:c r="S169" s="18" t="str">
        <x:v>편의점 신제품리뷰 채널</x:v>
      </x:c>
      <x:c r="T169" s="19" t="n">
        <x:v>46247.625</x:v>
      </x:c>
      <x:c r="U169" s="18" t="str">
        <x:v>편의점 신제품리뷰 공개 목록</x:v>
      </x:c>
      <x:c r="V169" s="18" t="str">
        <x:v>https://v.daum.net/channel/551515/contents</x:v>
      </x:c>
      <x:c r="W169" s="18" t="str">
        <x:v>resolved_excluded</x:v>
      </x:c>
      <x:c r="X169" s="18" t="str">
        <x:v>excluded</x:v>
      </x:c>
      <x:c r="Y169" s="18" t="str">
        <x:v>광고성</x:v>
      </x:c>
      <x:c r="Z169" s="18" t="str"/>
      <x:c r="AA169" s="18" t="str">
        <x:v>단일 신상품 모음 또는 판매성 소개만 확인돼 관심·언급 증가와 다채널 확산을 입증하지 못했다.</x:v>
      </x:c>
    </x:row>
    <x:row r="170">
      <x:c r="A170" s="18" t="n">
        <x:v>167</x:v>
      </x:c>
      <x:c r="B170" s="18" t="str">
        <x:v>kr_202608_candidate_167</x:v>
      </x:c>
      <x:c r="C170" s="18" t="str">
        <x:v>천하제빵 단팥 몽실볼</x:v>
      </x:c>
      <x:c r="D170" s="18" t="str">
        <x:v>[]</x:v>
      </x:c>
      <x:c r="E170" s="18" t="str">
        <x:v>food</x:v>
      </x:c>
      <x:c r="F170" s="18" t="str">
        <x:v>consumer_product</x:v>
      </x:c>
      <x:c r="G170" s="19" t="n">
        <x:v>46242.625</x:v>
      </x:c>
      <x:c r="H170" s="18" t="str">
        <x:v>Y</x:v>
      </x:c>
      <x:c r="I170" s="18" t="str">
        <x:v>Y</x:v>
      </x:c>
      <x:c r="J170" s="18" t="str">
        <x:v>Y</x:v>
      </x:c>
      <x:c r="K170" s="18" t="str">
        <x:v>8월2주차 편의점신상 (GS25,CU,세븐일레븐,이마트24)에서 구체적인 상품·현상으로 관찰돼 후속 검색·언급 증가 여부를 검증할 후보로 수집했다.</x:v>
      </x:c>
      <x:c r="L170" s="18" t="str">
        <x:v>공개 자료에서 천하제빵 단팥 몽실볼 관찰</x:v>
      </x:c>
      <x:c r="M170" s="18" t="str">
        <x:v>other</x:v>
      </x:c>
      <x:c r="N170" s="18" t="str">
        <x:v>다먹어라이언</x:v>
      </x:c>
      <x:c r="O170" s="19" t="n">
        <x:v>46242.625</x:v>
      </x:c>
      <x:c r="P170" s="18" t="str">
        <x:v>8월2주차 편의점신상 (GS25,CU,세븐일레븐,이마트24)</x:v>
      </x:c>
      <x:c r="Q170" s="18" t="str">
        <x:v>https://v.daum.net/v/zDB5NlSr7A</x:v>
      </x:c>
      <x:c r="R170" s="18" t="str">
        <x:v>other</x:v>
      </x:c>
      <x:c r="S170" s="18" t="str">
        <x:v>편의점 신제품리뷰 채널</x:v>
      </x:c>
      <x:c r="T170" s="19" t="n">
        <x:v>46247.625</x:v>
      </x:c>
      <x:c r="U170" s="18" t="str">
        <x:v>편의점 신제품리뷰 공개 목록</x:v>
      </x:c>
      <x:c r="V170" s="18" t="str">
        <x:v>https://v.daum.net/channel/551515/contents</x:v>
      </x:c>
      <x:c r="W170" s="18" t="str">
        <x:v>resolved_excluded</x:v>
      </x:c>
      <x:c r="X170" s="18" t="str">
        <x:v>excluded</x:v>
      </x:c>
      <x:c r="Y170" s="18" t="str">
        <x:v>광고성</x:v>
      </x:c>
      <x:c r="Z170" s="18" t="str"/>
      <x:c r="AA170" s="18" t="str">
        <x:v>단일 신상품 모음 또는 판매성 소개만 확인돼 관심·언급 증가와 다채널 확산을 입증하지 못했다.</x:v>
      </x:c>
    </x:row>
    <x:row r="171">
      <x:c r="A171" s="18" t="n">
        <x:v>168</x:v>
      </x:c>
      <x:c r="B171" s="18" t="str">
        <x:v>kr_202608_candidate_168</x:v>
      </x:c>
      <x:c r="C171" s="18" t="str">
        <x:v>자개케이크 우유크림</x:v>
      </x:c>
      <x:c r="D171" s="18" t="str">
        <x:v>[]</x:v>
      </x:c>
      <x:c r="E171" s="18" t="str">
        <x:v>food</x:v>
      </x:c>
      <x:c r="F171" s="18" t="str">
        <x:v>consumer_product</x:v>
      </x:c>
      <x:c r="G171" s="19" t="n">
        <x:v>46158.625</x:v>
      </x:c>
      <x:c r="H171" s="18" t="str"/>
      <x:c r="I171" s="18" t="str"/>
      <x:c r="J171" s="18" t="str">
        <x:v>Y</x:v>
      </x:c>
      <x:c r="K171" s="18" t="str">
        <x:v>5월3주차 편의점신상 (GS25,CU,이마트24)에서 구체적인 상품·현상으로 관찰돼 후속 검색·언급 증가 여부를 검증할 후보로 수집했다.</x:v>
      </x:c>
      <x:c r="L171" s="18" t="str">
        <x:v>공개 자료에서 자개케이크 우유크림 관찰</x:v>
      </x:c>
      <x:c r="M171" s="18" t="str">
        <x:v>other</x:v>
      </x:c>
      <x:c r="N171" s="18" t="str">
        <x:v>다먹어라이언</x:v>
      </x:c>
      <x:c r="O171" s="19" t="n">
        <x:v>46158.625</x:v>
      </x:c>
      <x:c r="P171" s="18" t="str">
        <x:v>5월3주차 편의점신상 (GS25,CU,이마트24)</x:v>
      </x:c>
      <x:c r="Q171" s="18" t="str">
        <x:v>https://v.daum.net/v/3VYIMrIkBX</x:v>
      </x:c>
      <x:c r="R171" s="18" t="str">
        <x:v>other</x:v>
      </x:c>
      <x:c r="S171" s="18" t="str">
        <x:v>편의점 신제품리뷰 채널</x:v>
      </x:c>
      <x:c r="T171" s="19" t="n">
        <x:v>46247.625</x:v>
      </x:c>
      <x:c r="U171" s="18" t="str">
        <x:v>편의점 신제품리뷰 공개 목록</x:v>
      </x:c>
      <x:c r="V171" s="18" t="str">
        <x:v>https://v.daum.net/channel/551515/contents</x:v>
      </x:c>
      <x:c r="W171" s="18" t="str">
        <x:v>resolved_excluded</x:v>
      </x:c>
      <x:c r="X171" s="18" t="str">
        <x:v>excluded</x:v>
      </x:c>
      <x:c r="Y171" s="18" t="str">
        <x:v>광고성</x:v>
      </x:c>
      <x:c r="Z171" s="18" t="str"/>
      <x:c r="AA171" s="18" t="str">
        <x:v>단일 신상품 모음 또는 판매성 소개만 확인돼 관심·언급 증가와 다채널 확산을 입증하지 못했다.</x:v>
      </x:c>
    </x:row>
    <x:row r="172">
      <x:c r="A172" s="18" t="n">
        <x:v>169</x:v>
      </x:c>
      <x:c r="B172" s="18" t="str">
        <x:v>kr_202608_candidate_169</x:v>
      </x:c>
      <x:c r="C172" s="18" t="str">
        <x:v>도리토스 멕시칸타코맛</x:v>
      </x:c>
      <x:c r="D172" s="18" t="str">
        <x:v>[]</x:v>
      </x:c>
      <x:c r="E172" s="18" t="str">
        <x:v>food</x:v>
      </x:c>
      <x:c r="F172" s="18" t="str">
        <x:v>consumer_product</x:v>
      </x:c>
      <x:c r="G172" s="19" t="n">
        <x:v>46165.625</x:v>
      </x:c>
      <x:c r="H172" s="18" t="str"/>
      <x:c r="I172" s="18" t="str"/>
      <x:c r="J172" s="18" t="str">
        <x:v>Y</x:v>
      </x:c>
      <x:c r="K172" s="18" t="str">
        <x:v>5월4주차 편의점신상 (GS25, CU)에서 구체적인 상품·현상으로 관찰돼 후속 검색·언급 증가 여부를 검증할 후보로 수집했다.</x:v>
      </x:c>
      <x:c r="L172" s="18" t="str">
        <x:v>공개 자료에서 도리토스 멕시칸타코맛 관찰</x:v>
      </x:c>
      <x:c r="M172" s="18" t="str">
        <x:v>other</x:v>
      </x:c>
      <x:c r="N172" s="18" t="str">
        <x:v>다먹어라이언</x:v>
      </x:c>
      <x:c r="O172" s="19" t="n">
        <x:v>46165.625</x:v>
      </x:c>
      <x:c r="P172" s="18" t="str">
        <x:v>5월4주차 편의점신상 (GS25, CU)</x:v>
      </x:c>
      <x:c r="Q172" s="18" t="str">
        <x:v>https://v.daum.net/v/8q2NXi4qpK</x:v>
      </x:c>
      <x:c r="R172" s="18" t="str">
        <x:v>other</x:v>
      </x:c>
      <x:c r="S172" s="18" t="str">
        <x:v>편의점 신제품리뷰 채널</x:v>
      </x:c>
      <x:c r="T172" s="19" t="n">
        <x:v>46247.625</x:v>
      </x:c>
      <x:c r="U172" s="18" t="str">
        <x:v>편의점 신제품리뷰 공개 목록</x:v>
      </x:c>
      <x:c r="V172" s="18" t="str">
        <x:v>https://v.daum.net/channel/551515/contents</x:v>
      </x:c>
      <x:c r="W172" s="18" t="str">
        <x:v>resolved_excluded</x:v>
      </x:c>
      <x:c r="X172" s="18" t="str">
        <x:v>excluded</x:v>
      </x:c>
      <x:c r="Y172" s="18" t="str">
        <x:v>광고성</x:v>
      </x:c>
      <x:c r="Z172" s="18" t="str"/>
      <x:c r="AA172" s="18" t="str">
        <x:v>단일 신상품 모음 또는 판매성 소개만 확인돼 관심·언급 증가와 다채널 확산을 입증하지 못했다.</x:v>
      </x:c>
    </x:row>
    <x:row r="173">
      <x:c r="A173" s="18" t="n">
        <x:v>170</x:v>
      </x:c>
      <x:c r="B173" s="18" t="str">
        <x:v>kr_202608_candidate_170</x:v>
      </x:c>
      <x:c r="C173" s="18" t="str">
        <x:v>춘식이 아몬드 초코볼 꿀고구마맛</x:v>
      </x:c>
      <x:c r="D173" s="18" t="str">
        <x:v>[]</x:v>
      </x:c>
      <x:c r="E173" s="18" t="str">
        <x:v>food</x:v>
      </x:c>
      <x:c r="F173" s="18" t="str">
        <x:v>consumer_product</x:v>
      </x:c>
      <x:c r="G173" s="19" t="n">
        <x:v>46179.625</x:v>
      </x:c>
      <x:c r="H173" s="18" t="str"/>
      <x:c r="I173" s="18" t="str"/>
      <x:c r="J173" s="18" t="str">
        <x:v>Y</x:v>
      </x:c>
      <x:c r="K173" s="18" t="str">
        <x:v>6월1주차 편의점신상 (GS25, CU)에서 구체적인 상품·현상으로 관찰돼 후속 검색·언급 증가 여부를 검증할 후보로 수집했다.</x:v>
      </x:c>
      <x:c r="L173" s="18" t="str">
        <x:v>공개 자료에서 춘식이 아몬드 초코볼 꿀고구마맛 관찰</x:v>
      </x:c>
      <x:c r="M173" s="18" t="str">
        <x:v>other</x:v>
      </x:c>
      <x:c r="N173" s="18" t="str">
        <x:v>다먹어라이언</x:v>
      </x:c>
      <x:c r="O173" s="19" t="n">
        <x:v>46179.625</x:v>
      </x:c>
      <x:c r="P173" s="18" t="str">
        <x:v>6월1주차 편의점신상 (GS25, CU)</x:v>
      </x:c>
      <x:c r="Q173" s="18" t="str">
        <x:v>https://v.daum.net/v/WW1SEegR0T</x:v>
      </x:c>
      <x:c r="R173" s="18" t="str">
        <x:v>other</x:v>
      </x:c>
      <x:c r="S173" s="18" t="str">
        <x:v>편의점 신제품리뷰 채널</x:v>
      </x:c>
      <x:c r="T173" s="19" t="n">
        <x:v>46247.625</x:v>
      </x:c>
      <x:c r="U173" s="18" t="str">
        <x:v>편의점 신제품리뷰 공개 목록</x:v>
      </x:c>
      <x:c r="V173" s="18" t="str">
        <x:v>https://v.daum.net/channel/551515/contents</x:v>
      </x:c>
      <x:c r="W173" s="18" t="str">
        <x:v>resolved_excluded</x:v>
      </x:c>
      <x:c r="X173" s="18" t="str">
        <x:v>excluded</x:v>
      </x:c>
      <x:c r="Y173" s="18" t="str">
        <x:v>광고성</x:v>
      </x:c>
      <x:c r="Z173" s="18" t="str"/>
      <x:c r="AA173" s="18" t="str">
        <x:v>단일 신상품 모음 또는 판매성 소개만 확인돼 관심·언급 증가와 다채널 확산을 입증하지 못했다.</x:v>
      </x:c>
    </x:row>
    <x:row r="174">
      <x:c r="A174" s="18" t="n">
        <x:v>171</x:v>
      </x:c>
      <x:c r="B174" s="18" t="str">
        <x:v>kr_202608_candidate_171</x:v>
      </x:c>
      <x:c r="C174" s="18" t="str">
        <x:v>포켓몬스터 파마산치즈 롱파운드</x:v>
      </x:c>
      <x:c r="D174" s="18" t="str">
        <x:v>[]</x:v>
      </x:c>
      <x:c r="E174" s="18" t="str">
        <x:v>food</x:v>
      </x:c>
      <x:c r="F174" s="18" t="str">
        <x:v>consumer_product</x:v>
      </x:c>
      <x:c r="G174" s="19" t="n">
        <x:v>46186.625</x:v>
      </x:c>
      <x:c r="H174" s="18" t="str"/>
      <x:c r="I174" s="18" t="str"/>
      <x:c r="J174" s="18" t="str">
        <x:v>Y</x:v>
      </x:c>
      <x:c r="K174" s="18" t="str">
        <x:v>6월2주차 편의점신상 (GS25,CU)에서 구체적인 상품·현상으로 관찰돼 후속 검색·언급 증가 여부를 검증할 후보로 수집했다.</x:v>
      </x:c>
      <x:c r="L174" s="18" t="str">
        <x:v>공개 자료에서 포켓몬스터 파마산치즈 롱파운드 관찰</x:v>
      </x:c>
      <x:c r="M174" s="18" t="str">
        <x:v>other</x:v>
      </x:c>
      <x:c r="N174" s="18" t="str">
        <x:v>다먹어라이언</x:v>
      </x:c>
      <x:c r="O174" s="19" t="n">
        <x:v>46186.625</x:v>
      </x:c>
      <x:c r="P174" s="18" t="str">
        <x:v>6월2주차 편의점신상 (GS25,CU)</x:v>
      </x:c>
      <x:c r="Q174" s="18" t="str">
        <x:v>https://v.daum.net/v/WIeuyxx2wH</x:v>
      </x:c>
      <x:c r="R174" s="18" t="str">
        <x:v>other</x:v>
      </x:c>
      <x:c r="S174" s="18" t="str">
        <x:v>편의점 신제품리뷰 채널</x:v>
      </x:c>
      <x:c r="T174" s="19" t="n">
        <x:v>46247.625</x:v>
      </x:c>
      <x:c r="U174" s="18" t="str">
        <x:v>편의점 신제품리뷰 공개 목록</x:v>
      </x:c>
      <x:c r="V174" s="18" t="str">
        <x:v>https://v.daum.net/channel/551515/contents</x:v>
      </x:c>
      <x:c r="W174" s="18" t="str">
        <x:v>resolved_excluded</x:v>
      </x:c>
      <x:c r="X174" s="18" t="str">
        <x:v>excluded</x:v>
      </x:c>
      <x:c r="Y174" s="18" t="str">
        <x:v>광고성</x:v>
      </x:c>
      <x:c r="Z174" s="18" t="str"/>
      <x:c r="AA174" s="18" t="str">
        <x:v>단일 신상품 모음 또는 판매성 소개만 확인돼 관심·언급 증가와 다채널 확산을 입증하지 못했다.</x:v>
      </x:c>
    </x:row>
    <x:row r="175">
      <x:c r="A175" s="18" t="n">
        <x:v>172</x:v>
      </x:c>
      <x:c r="B175" s="18" t="str">
        <x:v>kr_202608_candidate_172</x:v>
      </x:c>
      <x:c r="C175" s="18" t="str">
        <x:v>PBICK 올리브소시지밥 정식</x:v>
      </x:c>
      <x:c r="D175" s="18" t="str">
        <x:v>[]</x:v>
      </x:c>
      <x:c r="E175" s="18" t="str">
        <x:v>food</x:v>
      </x:c>
      <x:c r="F175" s="18" t="str">
        <x:v>consumer_product</x:v>
      </x:c>
      <x:c r="G175" s="19" t="n">
        <x:v>46193.625</x:v>
      </x:c>
      <x:c r="H175" s="18" t="str"/>
      <x:c r="I175" s="18" t="str"/>
      <x:c r="J175" s="18" t="str">
        <x:v>Y</x:v>
      </x:c>
      <x:c r="K175" s="18" t="str">
        <x:v>6월3주차 편의점신상 (GS25, CU, 세븐일레븐)에서 구체적인 상품·현상으로 관찰돼 후속 검색·언급 증가 여부를 검증할 후보로 수집했다.</x:v>
      </x:c>
      <x:c r="L175" s="18" t="str">
        <x:v>공개 자료에서 PBICK 올리브소시지밥 정식 관찰</x:v>
      </x:c>
      <x:c r="M175" s="18" t="str">
        <x:v>other</x:v>
      </x:c>
      <x:c r="N175" s="18" t="str">
        <x:v>다먹어라이언</x:v>
      </x:c>
      <x:c r="O175" s="19" t="n">
        <x:v>46193.625</x:v>
      </x:c>
      <x:c r="P175" s="18" t="str">
        <x:v>6월3주차 편의점신상 (GS25, CU, 세븐일레븐)</x:v>
      </x:c>
      <x:c r="Q175" s="18" t="str">
        <x:v>https://v.daum.net/v/pqr3cS1y7N</x:v>
      </x:c>
      <x:c r="R175" s="18" t="str">
        <x:v>other</x:v>
      </x:c>
      <x:c r="S175" s="18" t="str">
        <x:v>편의점 신제품리뷰 채널</x:v>
      </x:c>
      <x:c r="T175" s="19" t="n">
        <x:v>46247.625</x:v>
      </x:c>
      <x:c r="U175" s="18" t="str">
        <x:v>편의점 신제품리뷰 공개 목록</x:v>
      </x:c>
      <x:c r="V175" s="18" t="str">
        <x:v>https://v.daum.net/channel/551515/contents</x:v>
      </x:c>
      <x:c r="W175" s="18" t="str">
        <x:v>resolved_excluded</x:v>
      </x:c>
      <x:c r="X175" s="18" t="str">
        <x:v>excluded</x:v>
      </x:c>
      <x:c r="Y175" s="18" t="str">
        <x:v>광고성</x:v>
      </x:c>
      <x:c r="Z175" s="18" t="str"/>
      <x:c r="AA175" s="18" t="str">
        <x:v>단일 신상품 모음 또는 판매성 소개만 확인돼 관심·언급 증가와 다채널 확산을 입증하지 못했다.</x:v>
      </x:c>
    </x:row>
    <x:row r="176">
      <x:c r="A176" s="18" t="n">
        <x:v>173</x:v>
      </x:c>
      <x:c r="B176" s="18" t="str">
        <x:v>kr_202608_candidate_173</x:v>
      </x:c>
      <x:c r="C176" s="18" t="str">
        <x:v>연세우유 말차 크림 산도</x:v>
      </x:c>
      <x:c r="D176" s="18" t="str">
        <x:v>[]</x:v>
      </x:c>
      <x:c r="E176" s="18" t="str">
        <x:v>food</x:v>
      </x:c>
      <x:c r="F176" s="18" t="str">
        <x:v>consumer_product</x:v>
      </x:c>
      <x:c r="G176" s="19" t="n">
        <x:v>46199.625</x:v>
      </x:c>
      <x:c r="H176" s="18" t="str"/>
      <x:c r="I176" s="18" t="str"/>
      <x:c r="J176" s="18" t="str">
        <x:v>Y</x:v>
      </x:c>
      <x:c r="K176" s="18" t="str">
        <x:v>6월4주차 편의점신상 (GS25,CU)에서 구체적인 상품·현상으로 관찰돼 후속 검색·언급 증가 여부를 검증할 후보로 수집했다.</x:v>
      </x:c>
      <x:c r="L176" s="18" t="str">
        <x:v>공개 자료에서 연세우유 말차 크림 산도 관찰</x:v>
      </x:c>
      <x:c r="M176" s="18" t="str">
        <x:v>other</x:v>
      </x:c>
      <x:c r="N176" s="18" t="str">
        <x:v>다먹어라이언</x:v>
      </x:c>
      <x:c r="O176" s="19" t="n">
        <x:v>46199.625</x:v>
      </x:c>
      <x:c r="P176" s="18" t="str">
        <x:v>6월4주차 편의점신상 (GS25,CU)</x:v>
      </x:c>
      <x:c r="Q176" s="18" t="str">
        <x:v>https://v.daum.net/v/2cBfy4iPeu</x:v>
      </x:c>
      <x:c r="R176" s="18" t="str">
        <x:v>other</x:v>
      </x:c>
      <x:c r="S176" s="18" t="str">
        <x:v>편의점 신제품리뷰 채널</x:v>
      </x:c>
      <x:c r="T176" s="19" t="n">
        <x:v>46247.625</x:v>
      </x:c>
      <x:c r="U176" s="18" t="str">
        <x:v>편의점 신제품리뷰 공개 목록</x:v>
      </x:c>
      <x:c r="V176" s="18" t="str">
        <x:v>https://v.daum.net/channel/551515/contents</x:v>
      </x:c>
      <x:c r="W176" s="18" t="str">
        <x:v>resolved_excluded</x:v>
      </x:c>
      <x:c r="X176" s="18" t="str">
        <x:v>excluded</x:v>
      </x:c>
      <x:c r="Y176" s="18" t="str">
        <x:v>광고성</x:v>
      </x:c>
      <x:c r="Z176" s="18" t="str"/>
      <x:c r="AA176" s="18" t="str">
        <x:v>단일 신상품 모음 또는 판매성 소개만 확인돼 관심·언급 증가와 다채널 확산을 입증하지 못했다.</x:v>
      </x:c>
    </x:row>
    <x:row r="177">
      <x:c r="A177" s="18" t="n">
        <x:v>174</x:v>
      </x:c>
      <x:c r="B177" s="18" t="str">
        <x:v>kr_202608_candidate_174</x:v>
      </x:c>
      <x:c r="C177" s="18" t="str">
        <x:v>코이라멘 매운 돈코츠라멘</x:v>
      </x:c>
      <x:c r="D177" s="18" t="str">
        <x:v>[]</x:v>
      </x:c>
      <x:c r="E177" s="18" t="str">
        <x:v>food</x:v>
      </x:c>
      <x:c r="F177" s="18" t="str">
        <x:v>consumer_product</x:v>
      </x:c>
      <x:c r="G177" s="19" t="n">
        <x:v>46207.625</x:v>
      </x:c>
      <x:c r="H177" s="18" t="str"/>
      <x:c r="I177" s="18" t="str"/>
      <x:c r="J177" s="18" t="str">
        <x:v>Y</x:v>
      </x:c>
      <x:c r="K177" s="18" t="str">
        <x:v>7월1주차 편의점신상 (GS25,CU,세븐일레븐)에서 구체적인 상품·현상으로 관찰돼 후속 검색·언급 증가 여부를 검증할 후보로 수집했다.</x:v>
      </x:c>
      <x:c r="L177" s="18" t="str">
        <x:v>공개 자료에서 코이라멘 매운 돈코츠라멘 관찰</x:v>
      </x:c>
      <x:c r="M177" s="18" t="str">
        <x:v>other</x:v>
      </x:c>
      <x:c r="N177" s="18" t="str">
        <x:v>다먹어라이언</x:v>
      </x:c>
      <x:c r="O177" s="19" t="n">
        <x:v>46207.625</x:v>
      </x:c>
      <x:c r="P177" s="18" t="str">
        <x:v>7월1주차 편의점신상 (GS25,CU,세븐일레븐)</x:v>
      </x:c>
      <x:c r="Q177" s="18" t="str">
        <x:v>https://v.daum.net/v/2ANyb0e4hm</x:v>
      </x:c>
      <x:c r="R177" s="18" t="str">
        <x:v>other</x:v>
      </x:c>
      <x:c r="S177" s="18" t="str">
        <x:v>편의점 신제품리뷰 채널</x:v>
      </x:c>
      <x:c r="T177" s="19" t="n">
        <x:v>46247.625</x:v>
      </x:c>
      <x:c r="U177" s="18" t="str">
        <x:v>편의점 신제품리뷰 공개 목록</x:v>
      </x:c>
      <x:c r="V177" s="18" t="str">
        <x:v>https://v.daum.net/channel/551515/contents</x:v>
      </x:c>
      <x:c r="W177" s="18" t="str">
        <x:v>resolved_excluded</x:v>
      </x:c>
      <x:c r="X177" s="18" t="str">
        <x:v>excluded</x:v>
      </x:c>
      <x:c r="Y177" s="18" t="str">
        <x:v>광고성</x:v>
      </x:c>
      <x:c r="Z177" s="18" t="str"/>
      <x:c r="AA177" s="18" t="str">
        <x:v>단일 신상품 모음 또는 판매성 소개만 확인돼 관심·언급 증가와 다채널 확산을 입증하지 못했다.</x:v>
      </x:c>
    </x:row>
    <x:row r="178">
      <x:c r="A178" s="18" t="n">
        <x:v>175</x:v>
      </x:c>
      <x:c r="B178" s="18" t="str">
        <x:v>kr_202608_candidate_175</x:v>
      </x:c>
      <x:c r="C178" s="18" t="str">
        <x:v>다시다팝콘</x:v>
      </x:c>
      <x:c r="D178" s="18" t="str">
        <x:v>[]</x:v>
      </x:c>
      <x:c r="E178" s="18" t="str">
        <x:v>food</x:v>
      </x:c>
      <x:c r="F178" s="18" t="str">
        <x:v>consumer_product</x:v>
      </x:c>
      <x:c r="G178" s="19" t="n">
        <x:v>46221.625</x:v>
      </x:c>
      <x:c r="H178" s="18" t="str"/>
      <x:c r="I178" s="18" t="str">
        <x:v>Y</x:v>
      </x:c>
      <x:c r="J178" s="18" t="str">
        <x:v>Y</x:v>
      </x:c>
      <x:c r="K178" s="18" t="str">
        <x:v>7월3주차 편의점신상 (GS25, CU)에서 구체적인 상품·현상으로 관찰돼 후속 검색·언급 증가 여부를 검증할 후보로 수집했다.</x:v>
      </x:c>
      <x:c r="L178" s="18" t="str">
        <x:v>공개 자료에서 다시다팝콘 관찰</x:v>
      </x:c>
      <x:c r="M178" s="18" t="str">
        <x:v>other</x:v>
      </x:c>
      <x:c r="N178" s="18" t="str">
        <x:v>다먹어라이언</x:v>
      </x:c>
      <x:c r="O178" s="19" t="n">
        <x:v>46221.625</x:v>
      </x:c>
      <x:c r="P178" s="18" t="str">
        <x:v>7월3주차 편의점신상 (GS25, CU)</x:v>
      </x:c>
      <x:c r="Q178" s="18" t="str">
        <x:v>https://v.daum.net/v/66iOCie4d4?f=p</x:v>
      </x:c>
      <x:c r="R178" s="18" t="str">
        <x:v>other</x:v>
      </x:c>
      <x:c r="S178" s="18" t="str">
        <x:v>편의점 신제품리뷰 채널</x:v>
      </x:c>
      <x:c r="T178" s="19" t="n">
        <x:v>46247.625</x:v>
      </x:c>
      <x:c r="U178" s="18" t="str">
        <x:v>편의점 신제품리뷰 공개 목록</x:v>
      </x:c>
      <x:c r="V178" s="18" t="str">
        <x:v>https://v.daum.net/channel/551515/contents</x:v>
      </x:c>
      <x:c r="W178" s="18" t="str">
        <x:v>resolved_excluded</x:v>
      </x:c>
      <x:c r="X178" s="18" t="str">
        <x:v>excluded</x:v>
      </x:c>
      <x:c r="Y178" s="18" t="str">
        <x:v>광고성</x:v>
      </x:c>
      <x:c r="Z178" s="18" t="str"/>
      <x:c r="AA178" s="18" t="str">
        <x:v>단일 신상품 모음 또는 판매성 소개만 확인돼 관심·언급 증가와 다채널 확산을 입증하지 못했다.</x:v>
      </x:c>
    </x:row>
    <x:row r="179">
      <x:c r="A179" s="18" t="n">
        <x:v>176</x:v>
      </x:c>
      <x:c r="B179" s="18" t="str">
        <x:v>kr_202608_candidate_176</x:v>
      </x:c>
      <x:c r="C179" s="18" t="str">
        <x:v>연세우유 호박 인절미 맘모스</x:v>
      </x:c>
      <x:c r="D179" s="18" t="str">
        <x:v>[]</x:v>
      </x:c>
      <x:c r="E179" s="18" t="str">
        <x:v>food</x:v>
      </x:c>
      <x:c r="F179" s="18" t="str">
        <x:v>consumer_product</x:v>
      </x:c>
      <x:c r="G179" s="19" t="n">
        <x:v>46228.625</x:v>
      </x:c>
      <x:c r="H179" s="18" t="str"/>
      <x:c r="I179" s="18" t="str">
        <x:v>Y</x:v>
      </x:c>
      <x:c r="J179" s="18" t="str">
        <x:v>Y</x:v>
      </x:c>
      <x:c r="K179" s="18" t="str">
        <x:v>7월4주차 편의점신상 (GS25,CU)에서 구체적인 상품·현상으로 관찰돼 후속 검색·언급 증가 여부를 검증할 후보로 수집했다.</x:v>
      </x:c>
      <x:c r="L179" s="18" t="str">
        <x:v>공개 자료에서 연세우유 호박 인절미 맘모스 관찰</x:v>
      </x:c>
      <x:c r="M179" s="18" t="str">
        <x:v>other</x:v>
      </x:c>
      <x:c r="N179" s="18" t="str">
        <x:v>다먹어라이언</x:v>
      </x:c>
      <x:c r="O179" s="19" t="n">
        <x:v>46228.625</x:v>
      </x:c>
      <x:c r="P179" s="18" t="str">
        <x:v>7월4주차 편의점신상 (GS25,CU)</x:v>
      </x:c>
      <x:c r="Q179" s="18" t="str">
        <x:v>https://v.daum.net/v/blzCQ0FYOh</x:v>
      </x:c>
      <x:c r="R179" s="18" t="str">
        <x:v>other</x:v>
      </x:c>
      <x:c r="S179" s="18" t="str">
        <x:v>편의점 신제품리뷰 채널</x:v>
      </x:c>
      <x:c r="T179" s="19" t="n">
        <x:v>46247.625</x:v>
      </x:c>
      <x:c r="U179" s="18" t="str">
        <x:v>편의점 신제품리뷰 공개 목록</x:v>
      </x:c>
      <x:c r="V179" s="18" t="str">
        <x:v>https://v.daum.net/channel/551515/contents</x:v>
      </x:c>
      <x:c r="W179" s="18" t="str">
        <x:v>resolved_excluded</x:v>
      </x:c>
      <x:c r="X179" s="18" t="str">
        <x:v>excluded</x:v>
      </x:c>
      <x:c r="Y179" s="18" t="str">
        <x:v>광고성</x:v>
      </x:c>
      <x:c r="Z179" s="18" t="str"/>
      <x:c r="AA179" s="18" t="str">
        <x:v>단일 신상품 모음 또는 판매성 소개만 확인돼 관심·언급 증가와 다채널 확산을 입증하지 못했다.</x:v>
      </x:c>
    </x:row>
    <x:row r="180">
      <x:c r="A180" s="18" t="n">
        <x:v>177</x:v>
      </x:c>
      <x:c r="B180" s="18" t="str">
        <x:v>kr_202608_candidate_177</x:v>
      </x:c>
      <x:c r="C180" s="18" t="str">
        <x:v>따우전드 바나나 파이</x:v>
      </x:c>
      <x:c r="D180" s="18" t="str">
        <x:v>[]</x:v>
      </x:c>
      <x:c r="E180" s="18" t="str">
        <x:v>food</x:v>
      </x:c>
      <x:c r="F180" s="18" t="str">
        <x:v>consumer_product</x:v>
      </x:c>
      <x:c r="G180" s="19" t="n">
        <x:v>46234.625</x:v>
      </x:c>
      <x:c r="H180" s="18" t="str"/>
      <x:c r="I180" s="18" t="str">
        <x:v>Y</x:v>
      </x:c>
      <x:c r="J180" s="18" t="str">
        <x:v>Y</x:v>
      </x:c>
      <x:c r="K180" s="18" t="str">
        <x:v>8월1주차 편의점신상 TOP10 (GS25,CU)에서 구체적인 상품·현상으로 관찰돼 후속 검색·언급 증가 여부를 검증할 후보로 수집했다.</x:v>
      </x:c>
      <x:c r="L180" s="18" t="str">
        <x:v>공개 자료에서 따우전드 바나나 파이 관찰</x:v>
      </x:c>
      <x:c r="M180" s="18" t="str">
        <x:v>other</x:v>
      </x:c>
      <x:c r="N180" s="18" t="str">
        <x:v>다먹어라이언</x:v>
      </x:c>
      <x:c r="O180" s="19" t="n">
        <x:v>46234.625</x:v>
      </x:c>
      <x:c r="P180" s="18" t="str">
        <x:v>8월1주차 편의점신상 TOP10 (GS25,CU)</x:v>
      </x:c>
      <x:c r="Q180" s="18" t="str">
        <x:v>https://v.daum.net/v/qTN9uChDIK</x:v>
      </x:c>
      <x:c r="R180" s="18" t="str">
        <x:v>other</x:v>
      </x:c>
      <x:c r="S180" s="18" t="str">
        <x:v>편의점 신제품리뷰 채널</x:v>
      </x:c>
      <x:c r="T180" s="19" t="n">
        <x:v>46247.625</x:v>
      </x:c>
      <x:c r="U180" s="18" t="str">
        <x:v>편의점 신제품리뷰 공개 목록</x:v>
      </x:c>
      <x:c r="V180" s="18" t="str">
        <x:v>https://v.daum.net/channel/551515/contents</x:v>
      </x:c>
      <x:c r="W180" s="18" t="str">
        <x:v>resolved_excluded</x:v>
      </x:c>
      <x:c r="X180" s="18" t="str">
        <x:v>excluded</x:v>
      </x:c>
      <x:c r="Y180" s="18" t="str">
        <x:v>광고성</x:v>
      </x:c>
      <x:c r="Z180" s="18" t="str"/>
      <x:c r="AA180" s="18" t="str">
        <x:v>단일 신상품 모음 또는 판매성 소개만 확인돼 관심·언급 증가와 다채널 확산을 입증하지 못했다.</x:v>
      </x:c>
    </x:row>
    <x:row r="181">
      <x:c r="A181" s="18" t="n">
        <x:v>178</x:v>
      </x:c>
      <x:c r="B181" s="18" t="str">
        <x:v>kr_202608_candidate_178</x:v>
      </x:c>
      <x:c r="C181" s="18" t="str">
        <x:v>PBICK 계란장 김치제육</x:v>
      </x:c>
      <x:c r="D181" s="18" t="str">
        <x:v>[]</x:v>
      </x:c>
      <x:c r="E181" s="18" t="str">
        <x:v>food</x:v>
      </x:c>
      <x:c r="F181" s="18" t="str">
        <x:v>consumer_product</x:v>
      </x:c>
      <x:c r="G181" s="19" t="n">
        <x:v>46242.625</x:v>
      </x:c>
      <x:c r="H181" s="18" t="str">
        <x:v>Y</x:v>
      </x:c>
      <x:c r="I181" s="18" t="str">
        <x:v>Y</x:v>
      </x:c>
      <x:c r="J181" s="18" t="str">
        <x:v>Y</x:v>
      </x:c>
      <x:c r="K181" s="18" t="str">
        <x:v>8월2주차 편의점신상 (GS25,CU,세븐일레븐,이마트24)에서 구체적인 상품·현상으로 관찰돼 후속 검색·언급 증가 여부를 검증할 후보로 수집했다.</x:v>
      </x:c>
      <x:c r="L181" s="18" t="str">
        <x:v>공개 자료에서 PBICK 계란장 김치제육 관찰</x:v>
      </x:c>
      <x:c r="M181" s="18" t="str">
        <x:v>other</x:v>
      </x:c>
      <x:c r="N181" s="18" t="str">
        <x:v>다먹어라이언</x:v>
      </x:c>
      <x:c r="O181" s="19" t="n">
        <x:v>46242.625</x:v>
      </x:c>
      <x:c r="P181" s="18" t="str">
        <x:v>8월2주차 편의점신상 (GS25,CU,세븐일레븐,이마트24)</x:v>
      </x:c>
      <x:c r="Q181" s="18" t="str">
        <x:v>https://v.daum.net/v/zDB5NlSr7A</x:v>
      </x:c>
      <x:c r="R181" s="18" t="str">
        <x:v>other</x:v>
      </x:c>
      <x:c r="S181" s="18" t="str">
        <x:v>편의점 신제품리뷰 채널</x:v>
      </x:c>
      <x:c r="T181" s="19" t="n">
        <x:v>46247.625</x:v>
      </x:c>
      <x:c r="U181" s="18" t="str">
        <x:v>편의점 신제품리뷰 공개 목록</x:v>
      </x:c>
      <x:c r="V181" s="18" t="str">
        <x:v>https://v.daum.net/channel/551515/contents</x:v>
      </x:c>
      <x:c r="W181" s="18" t="str">
        <x:v>resolved_excluded</x:v>
      </x:c>
      <x:c r="X181" s="18" t="str">
        <x:v>excluded</x:v>
      </x:c>
      <x:c r="Y181" s="18" t="str">
        <x:v>광고성</x:v>
      </x:c>
      <x:c r="Z181" s="18" t="str"/>
      <x:c r="AA181" s="18" t="str">
        <x:v>단일 신상품 모음 또는 판매성 소개만 확인돼 관심·언급 증가와 다채널 확산을 입증하지 못했다.</x:v>
      </x:c>
    </x:row>
    <x:row r="182">
      <x:c r="A182" s="18" t="n">
        <x:v>179</x:v>
      </x:c>
      <x:c r="B182" s="18" t="str">
        <x:v>kr_202608_candidate_179</x:v>
      </x:c>
      <x:c r="C182" s="18" t="str">
        <x:v>로로멜로 촉촉한 황치즈 바치케</x:v>
      </x:c>
      <x:c r="D182" s="18" t="str">
        <x:v>[]</x:v>
      </x:c>
      <x:c r="E182" s="18" t="str">
        <x:v>food</x:v>
      </x:c>
      <x:c r="F182" s="18" t="str">
        <x:v>consumer_product</x:v>
      </x:c>
      <x:c r="G182" s="19" t="n">
        <x:v>46158.625</x:v>
      </x:c>
      <x:c r="H182" s="18" t="str"/>
      <x:c r="I182" s="18" t="str"/>
      <x:c r="J182" s="18" t="str">
        <x:v>Y</x:v>
      </x:c>
      <x:c r="K182" s="18" t="str">
        <x:v>5월3주차 편의점신상 (GS25,CU,이마트24)에서 구체적인 상품·현상으로 관찰돼 후속 검색·언급 증가 여부를 검증할 후보로 수집했다.</x:v>
      </x:c>
      <x:c r="L182" s="18" t="str">
        <x:v>공개 자료에서 로로멜로 촉촉한 황치즈 바치케 관찰</x:v>
      </x:c>
      <x:c r="M182" s="18" t="str">
        <x:v>other</x:v>
      </x:c>
      <x:c r="N182" s="18" t="str">
        <x:v>다먹어라이언</x:v>
      </x:c>
      <x:c r="O182" s="19" t="n">
        <x:v>46158.625</x:v>
      </x:c>
      <x:c r="P182" s="18" t="str">
        <x:v>5월3주차 편의점신상 (GS25,CU,이마트24)</x:v>
      </x:c>
      <x:c r="Q182" s="18" t="str">
        <x:v>https://v.daum.net/v/3VYIMrIkBX</x:v>
      </x:c>
      <x:c r="R182" s="18" t="str">
        <x:v>other</x:v>
      </x:c>
      <x:c r="S182" s="18" t="str">
        <x:v>편의점 신제품리뷰 채널</x:v>
      </x:c>
      <x:c r="T182" s="19" t="n">
        <x:v>46247.625</x:v>
      </x:c>
      <x:c r="U182" s="18" t="str">
        <x:v>편의점 신제품리뷰 공개 목록</x:v>
      </x:c>
      <x:c r="V182" s="18" t="str">
        <x:v>https://v.daum.net/channel/551515/contents</x:v>
      </x:c>
      <x:c r="W182" s="18" t="str">
        <x:v>resolved_merged</x:v>
      </x:c>
      <x:c r="X182" s="18" t="str">
        <x:v>merged</x:v>
      </x:c>
      <x:c r="Y182" s="18" t="str"/>
      <x:c r="Z182" s="18" t="str">
        <x:v>kr_202607_yellow_cheese_chip</x:v>
      </x:c>
      <x:c r="AA182" s="18" t="str">
        <x:v>검증된 상위 트렌드의 제품·표현 변형으로 병합했다.</x:v>
      </x:c>
    </x:row>
    <x:row r="183">
      <x:c r="A183" s="18" t="n">
        <x:v>180</x:v>
      </x:c>
      <x:c r="B183" s="18" t="str">
        <x:v>kr_202608_candidate_180</x:v>
      </x:c>
      <x:c r="C183" s="18" t="str">
        <x:v>꼬박꼬밥 곤약비빔면</x:v>
      </x:c>
      <x:c r="D183" s="18" t="str">
        <x:v>[]</x:v>
      </x:c>
      <x:c r="E183" s="18" t="str">
        <x:v>food</x:v>
      </x:c>
      <x:c r="F183" s="18" t="str">
        <x:v>consumer_product</x:v>
      </x:c>
      <x:c r="G183" s="19" t="n">
        <x:v>46165.625</x:v>
      </x:c>
      <x:c r="H183" s="18" t="str"/>
      <x:c r="I183" s="18" t="str"/>
      <x:c r="J183" s="18" t="str">
        <x:v>Y</x:v>
      </x:c>
      <x:c r="K183" s="18" t="str">
        <x:v>5월4주차 편의점신상 (GS25, CU)에서 구체적인 상품·현상으로 관찰돼 후속 검색·언급 증가 여부를 검증할 후보로 수집했다.</x:v>
      </x:c>
      <x:c r="L183" s="18" t="str">
        <x:v>공개 자료에서 꼬박꼬밥 곤약비빔면 관찰</x:v>
      </x:c>
      <x:c r="M183" s="18" t="str">
        <x:v>other</x:v>
      </x:c>
      <x:c r="N183" s="18" t="str">
        <x:v>다먹어라이언</x:v>
      </x:c>
      <x:c r="O183" s="19" t="n">
        <x:v>46165.625</x:v>
      </x:c>
      <x:c r="P183" s="18" t="str">
        <x:v>5월4주차 편의점신상 (GS25, CU)</x:v>
      </x:c>
      <x:c r="Q183" s="18" t="str">
        <x:v>https://v.daum.net/v/8q2NXi4qpK</x:v>
      </x:c>
      <x:c r="R183" s="18" t="str">
        <x:v>other</x:v>
      </x:c>
      <x:c r="S183" s="18" t="str">
        <x:v>편의점 신제품리뷰 채널</x:v>
      </x:c>
      <x:c r="T183" s="19" t="n">
        <x:v>46247.625</x:v>
      </x:c>
      <x:c r="U183" s="18" t="str">
        <x:v>편의점 신제품리뷰 공개 목록</x:v>
      </x:c>
      <x:c r="V183" s="18" t="str">
        <x:v>https://v.daum.net/channel/551515/contents</x:v>
      </x:c>
      <x:c r="W183" s="18" t="str">
        <x:v>resolved_excluded</x:v>
      </x:c>
      <x:c r="X183" s="18" t="str">
        <x:v>excluded</x:v>
      </x:c>
      <x:c r="Y183" s="18" t="str">
        <x:v>광고성</x:v>
      </x:c>
      <x:c r="Z183" s="18" t="str"/>
      <x:c r="AA183" s="18" t="str">
        <x:v>단일 신상품 모음 또는 판매성 소개만 확인돼 관심·언급 증가와 다채널 확산을 입증하지 못했다.</x:v>
      </x:c>
    </x:row>
    <x:row r="184">
      <x:c r="A184" s="18" t="n">
        <x:v>181</x:v>
      </x:c>
      <x:c r="B184" s="18" t="str">
        <x:v>kr_202608_candidate_181</x:v>
      </x:c>
      <x:c r="C184" s="18" t="str">
        <x:v>몬스터 에너지 울트라 바이올렛</x:v>
      </x:c>
      <x:c r="D184" s="18" t="str">
        <x:v>[]</x:v>
      </x:c>
      <x:c r="E184" s="18" t="str">
        <x:v>food</x:v>
      </x:c>
      <x:c r="F184" s="18" t="str">
        <x:v>consumer_product</x:v>
      </x:c>
      <x:c r="G184" s="19" t="n">
        <x:v>46179.625</x:v>
      </x:c>
      <x:c r="H184" s="18" t="str"/>
      <x:c r="I184" s="18" t="str"/>
      <x:c r="J184" s="18" t="str">
        <x:v>Y</x:v>
      </x:c>
      <x:c r="K184" s="18" t="str">
        <x:v>6월1주차 편의점신상 (GS25, CU)에서 구체적인 상품·현상으로 관찰돼 후속 검색·언급 증가 여부를 검증할 후보로 수집했다.</x:v>
      </x:c>
      <x:c r="L184" s="18" t="str">
        <x:v>공개 자료에서 몬스터 에너지 울트라 바이올렛 관찰</x:v>
      </x:c>
      <x:c r="M184" s="18" t="str">
        <x:v>other</x:v>
      </x:c>
      <x:c r="N184" s="18" t="str">
        <x:v>다먹어라이언</x:v>
      </x:c>
      <x:c r="O184" s="19" t="n">
        <x:v>46179.625</x:v>
      </x:c>
      <x:c r="P184" s="18" t="str">
        <x:v>6월1주차 편의점신상 (GS25, CU)</x:v>
      </x:c>
      <x:c r="Q184" s="18" t="str">
        <x:v>https://v.daum.net/v/WW1SEegR0T</x:v>
      </x:c>
      <x:c r="R184" s="18" t="str">
        <x:v>other</x:v>
      </x:c>
      <x:c r="S184" s="18" t="str">
        <x:v>편의점 신제품리뷰 채널</x:v>
      </x:c>
      <x:c r="T184" s="19" t="n">
        <x:v>46247.625</x:v>
      </x:c>
      <x:c r="U184" s="18" t="str">
        <x:v>편의점 신제품리뷰 공개 목록</x:v>
      </x:c>
      <x:c r="V184" s="18" t="str">
        <x:v>https://v.daum.net/channel/551515/contents</x:v>
      </x:c>
      <x:c r="W184" s="18" t="str">
        <x:v>resolved_excluded</x:v>
      </x:c>
      <x:c r="X184" s="18" t="str">
        <x:v>excluded</x:v>
      </x:c>
      <x:c r="Y184" s="18" t="str">
        <x:v>광고성</x:v>
      </x:c>
      <x:c r="Z184" s="18" t="str"/>
      <x:c r="AA184" s="18" t="str">
        <x:v>단일 신상품 모음 또는 판매성 소개만 확인돼 관심·언급 증가와 다채널 확산을 입증하지 못했다.</x:v>
      </x:c>
    </x:row>
    <x:row r="185">
      <x:c r="A185" s="18" t="n">
        <x:v>182</x:v>
      </x:c>
      <x:c r="B185" s="18" t="str">
        <x:v>kr_202608_candidate_182</x:v>
      </x:c>
      <x:c r="C185" s="18" t="str">
        <x:v>아사히스타일 당질제로</x:v>
      </x:c>
      <x:c r="D185" s="18" t="str">
        <x:v>[]</x:v>
      </x:c>
      <x:c r="E185" s="18" t="str">
        <x:v>food</x:v>
      </x:c>
      <x:c r="F185" s="18" t="str">
        <x:v>consumer_product</x:v>
      </x:c>
      <x:c r="G185" s="19" t="n">
        <x:v>46186.625</x:v>
      </x:c>
      <x:c r="H185" s="18" t="str"/>
      <x:c r="I185" s="18" t="str"/>
      <x:c r="J185" s="18" t="str">
        <x:v>Y</x:v>
      </x:c>
      <x:c r="K185" s="18" t="str">
        <x:v>6월2주차 편의점신상 (GS25,CU)에서 구체적인 상품·현상으로 관찰돼 후속 검색·언급 증가 여부를 검증할 후보로 수집했다.</x:v>
      </x:c>
      <x:c r="L185" s="18" t="str">
        <x:v>공개 자료에서 아사히스타일 당질제로 관찰</x:v>
      </x:c>
      <x:c r="M185" s="18" t="str">
        <x:v>other</x:v>
      </x:c>
      <x:c r="N185" s="18" t="str">
        <x:v>다먹어라이언</x:v>
      </x:c>
      <x:c r="O185" s="19" t="n">
        <x:v>46186.625</x:v>
      </x:c>
      <x:c r="P185" s="18" t="str">
        <x:v>6월2주차 편의점신상 (GS25,CU)</x:v>
      </x:c>
      <x:c r="Q185" s="18" t="str">
        <x:v>https://v.daum.net/v/WIeuyxx2wH</x:v>
      </x:c>
      <x:c r="R185" s="18" t="str">
        <x:v>other</x:v>
      </x:c>
      <x:c r="S185" s="18" t="str">
        <x:v>편의점 신제품리뷰 채널</x:v>
      </x:c>
      <x:c r="T185" s="19" t="n">
        <x:v>46247.625</x:v>
      </x:c>
      <x:c r="U185" s="18" t="str">
        <x:v>편의점 신제품리뷰 공개 목록</x:v>
      </x:c>
      <x:c r="V185" s="18" t="str">
        <x:v>https://v.daum.net/channel/551515/contents</x:v>
      </x:c>
      <x:c r="W185" s="18" t="str">
        <x:v>resolved_excluded</x:v>
      </x:c>
      <x:c r="X185" s="18" t="str">
        <x:v>excluded</x:v>
      </x:c>
      <x:c r="Y185" s="18" t="str">
        <x:v>광고성</x:v>
      </x:c>
      <x:c r="Z185" s="18" t="str"/>
      <x:c r="AA185" s="18" t="str">
        <x:v>단일 신상품 모음 또는 판매성 소개만 확인돼 관심·언급 증가와 다채널 확산을 입증하지 못했다.</x:v>
      </x:c>
    </x:row>
    <x:row r="186">
      <x:c r="A186" s="18" t="n">
        <x:v>183</x:v>
      </x:c>
      <x:c r="B186" s="18" t="str">
        <x:v>kr_202608_candidate_183</x:v>
      </x:c>
      <x:c r="C186" s="18" t="str">
        <x:v>떠먹는 양쯔깐루</x:v>
      </x:c>
      <x:c r="D186" s="18" t="str">
        <x:v>[]</x:v>
      </x:c>
      <x:c r="E186" s="18" t="str">
        <x:v>food</x:v>
      </x:c>
      <x:c r="F186" s="18" t="str">
        <x:v>consumer_product</x:v>
      </x:c>
      <x:c r="G186" s="19" t="n">
        <x:v>46193.625</x:v>
      </x:c>
      <x:c r="H186" s="18" t="str"/>
      <x:c r="I186" s="18" t="str"/>
      <x:c r="J186" s="18" t="str">
        <x:v>Y</x:v>
      </x:c>
      <x:c r="K186" s="18" t="str">
        <x:v>6월3주차 편의점신상 (GS25, CU, 세븐일레븐)에서 구체적인 상품·현상으로 관찰돼 후속 검색·언급 증가 여부를 검증할 후보로 수집했다.</x:v>
      </x:c>
      <x:c r="L186" s="18" t="str">
        <x:v>공개 자료에서 떠먹는 양쯔깐루 관찰</x:v>
      </x:c>
      <x:c r="M186" s="18" t="str">
        <x:v>other</x:v>
      </x:c>
      <x:c r="N186" s="18" t="str">
        <x:v>다먹어라이언</x:v>
      </x:c>
      <x:c r="O186" s="19" t="n">
        <x:v>46193.625</x:v>
      </x:c>
      <x:c r="P186" s="18" t="str">
        <x:v>6월3주차 편의점신상 (GS25, CU, 세븐일레븐)</x:v>
      </x:c>
      <x:c r="Q186" s="18" t="str">
        <x:v>https://v.daum.net/v/pqr3cS1y7N</x:v>
      </x:c>
      <x:c r="R186" s="18" t="str">
        <x:v>other</x:v>
      </x:c>
      <x:c r="S186" s="18" t="str">
        <x:v>편의점 신제품리뷰 채널</x:v>
      </x:c>
      <x:c r="T186" s="19" t="n">
        <x:v>46247.625</x:v>
      </x:c>
      <x:c r="U186" s="18" t="str">
        <x:v>편의점 신제품리뷰 공개 목록</x:v>
      </x:c>
      <x:c r="V186" s="18" t="str">
        <x:v>https://v.daum.net/channel/551515/contents</x:v>
      </x:c>
      <x:c r="W186" s="18" t="str">
        <x:v>resolved_excluded</x:v>
      </x:c>
      <x:c r="X186" s="18" t="str">
        <x:v>excluded</x:v>
      </x:c>
      <x:c r="Y186" s="18" t="str">
        <x:v>광고성</x:v>
      </x:c>
      <x:c r="Z186" s="18" t="str"/>
      <x:c r="AA186" s="18" t="str">
        <x:v>단일 신상품 모음 또는 판매성 소개만 확인돼 관심·언급 증가와 다채널 확산을 입증하지 못했다.</x:v>
      </x:c>
    </x:row>
    <x:row r="187">
      <x:c r="A187" s="18" t="n">
        <x:v>184</x:v>
      </x:c>
      <x:c r="B187" s="18" t="str">
        <x:v>kr_202608_candidate_184</x:v>
      </x:c>
      <x:c r="C187" s="18" t="str">
        <x:v>토마토초장 비빔파스타</x:v>
      </x:c>
      <x:c r="D187" s="18" t="str">
        <x:v>[]</x:v>
      </x:c>
      <x:c r="E187" s="18" t="str">
        <x:v>food</x:v>
      </x:c>
      <x:c r="F187" s="18" t="str">
        <x:v>consumer_product</x:v>
      </x:c>
      <x:c r="G187" s="19" t="n">
        <x:v>46199.625</x:v>
      </x:c>
      <x:c r="H187" s="18" t="str"/>
      <x:c r="I187" s="18" t="str"/>
      <x:c r="J187" s="18" t="str">
        <x:v>Y</x:v>
      </x:c>
      <x:c r="K187" s="18" t="str">
        <x:v>6월4주차 편의점신상 (GS25,CU)에서 구체적인 상품·현상으로 관찰돼 후속 검색·언급 증가 여부를 검증할 후보로 수집했다.</x:v>
      </x:c>
      <x:c r="L187" s="18" t="str">
        <x:v>공개 자료에서 토마토초장 비빔파스타 관찰</x:v>
      </x:c>
      <x:c r="M187" s="18" t="str">
        <x:v>other</x:v>
      </x:c>
      <x:c r="N187" s="18" t="str">
        <x:v>다먹어라이언</x:v>
      </x:c>
      <x:c r="O187" s="19" t="n">
        <x:v>46199.625</x:v>
      </x:c>
      <x:c r="P187" s="18" t="str">
        <x:v>6월4주차 편의점신상 (GS25,CU)</x:v>
      </x:c>
      <x:c r="Q187" s="18" t="str">
        <x:v>https://v.daum.net/v/2cBfy4iPeu</x:v>
      </x:c>
      <x:c r="R187" s="18" t="str">
        <x:v>other</x:v>
      </x:c>
      <x:c r="S187" s="18" t="str">
        <x:v>편의점 신제품리뷰 채널</x:v>
      </x:c>
      <x:c r="T187" s="19" t="n">
        <x:v>46247.625</x:v>
      </x:c>
      <x:c r="U187" s="18" t="str">
        <x:v>편의점 신제품리뷰 공개 목록</x:v>
      </x:c>
      <x:c r="V187" s="18" t="str">
        <x:v>https://v.daum.net/channel/551515/contents</x:v>
      </x:c>
      <x:c r="W187" s="18" t="str">
        <x:v>resolved_excluded</x:v>
      </x:c>
      <x:c r="X187" s="18" t="str">
        <x:v>excluded</x:v>
      </x:c>
      <x:c r="Y187" s="18" t="str">
        <x:v>광고성</x:v>
      </x:c>
      <x:c r="Z187" s="18" t="str"/>
      <x:c r="AA187" s="18" t="str">
        <x:v>단일 신상품 모음 또는 판매성 소개만 확인돼 관심·언급 증가와 다채널 확산을 입증하지 못했다.</x:v>
      </x:c>
    </x:row>
    <x:row r="188">
      <x:c r="A188" s="18" t="n">
        <x:v>185</x:v>
      </x:c>
      <x:c r="B188" s="18" t="str">
        <x:v>kr_202608_candidate_185</x:v>
      </x:c>
      <x:c r="C188" s="18" t="str">
        <x:v>공차 레몬자스민티제로</x:v>
      </x:c>
      <x:c r="D188" s="18" t="str">
        <x:v>[]</x:v>
      </x:c>
      <x:c r="E188" s="18" t="str">
        <x:v>food</x:v>
      </x:c>
      <x:c r="F188" s="18" t="str">
        <x:v>consumer_product</x:v>
      </x:c>
      <x:c r="G188" s="19" t="n">
        <x:v>46207.625</x:v>
      </x:c>
      <x:c r="H188" s="18" t="str"/>
      <x:c r="I188" s="18" t="str"/>
      <x:c r="J188" s="18" t="str">
        <x:v>Y</x:v>
      </x:c>
      <x:c r="K188" s="18" t="str">
        <x:v>7월1주차 편의점신상 (GS25,CU,세븐일레븐)에서 구체적인 상품·현상으로 관찰돼 후속 검색·언급 증가 여부를 검증할 후보로 수집했다.</x:v>
      </x:c>
      <x:c r="L188" s="18" t="str">
        <x:v>공개 자료에서 공차 레몬자스민티제로 관찰</x:v>
      </x:c>
      <x:c r="M188" s="18" t="str">
        <x:v>other</x:v>
      </x:c>
      <x:c r="N188" s="18" t="str">
        <x:v>다먹어라이언</x:v>
      </x:c>
      <x:c r="O188" s="19" t="n">
        <x:v>46207.625</x:v>
      </x:c>
      <x:c r="P188" s="18" t="str">
        <x:v>7월1주차 편의점신상 (GS25,CU,세븐일레븐)</x:v>
      </x:c>
      <x:c r="Q188" s="18" t="str">
        <x:v>https://v.daum.net/v/2ANyb0e4hm</x:v>
      </x:c>
      <x:c r="R188" s="18" t="str">
        <x:v>other</x:v>
      </x:c>
      <x:c r="S188" s="18" t="str">
        <x:v>편의점 신제품리뷰 채널</x:v>
      </x:c>
      <x:c r="T188" s="19" t="n">
        <x:v>46247.625</x:v>
      </x:c>
      <x:c r="U188" s="18" t="str">
        <x:v>편의점 신제품리뷰 공개 목록</x:v>
      </x:c>
      <x:c r="V188" s="18" t="str">
        <x:v>https://v.daum.net/channel/551515/contents</x:v>
      </x:c>
      <x:c r="W188" s="18" t="str">
        <x:v>resolved_excluded</x:v>
      </x:c>
      <x:c r="X188" s="18" t="str">
        <x:v>excluded</x:v>
      </x:c>
      <x:c r="Y188" s="18" t="str">
        <x:v>광고성</x:v>
      </x:c>
      <x:c r="Z188" s="18" t="str"/>
      <x:c r="AA188" s="18" t="str">
        <x:v>단일 신상품 모음 또는 판매성 소개만 확인돼 관심·언급 증가와 다채널 확산을 입증하지 못했다.</x:v>
      </x:c>
    </x:row>
    <x:row r="189">
      <x:c r="A189" s="18" t="n">
        <x:v>186</x:v>
      </x:c>
      <x:c r="B189" s="18" t="str">
        <x:v>kr_202608_candidate_186</x:v>
      </x:c>
      <x:c r="C189" s="18" t="str">
        <x:v>비비고 김나쵸</x:v>
      </x:c>
      <x:c r="D189" s="18" t="str">
        <x:v>[]</x:v>
      </x:c>
      <x:c r="E189" s="18" t="str">
        <x:v>food</x:v>
      </x:c>
      <x:c r="F189" s="18" t="str">
        <x:v>consumer_product</x:v>
      </x:c>
      <x:c r="G189" s="19" t="n">
        <x:v>46221.625</x:v>
      </x:c>
      <x:c r="H189" s="18" t="str"/>
      <x:c r="I189" s="18" t="str">
        <x:v>Y</x:v>
      </x:c>
      <x:c r="J189" s="18" t="str">
        <x:v>Y</x:v>
      </x:c>
      <x:c r="K189" s="18" t="str">
        <x:v>7월3주차 편의점신상 (GS25, CU)에서 구체적인 상품·현상으로 관찰돼 후속 검색·언급 증가 여부를 검증할 후보로 수집했다.</x:v>
      </x:c>
      <x:c r="L189" s="18" t="str">
        <x:v>공개 자료에서 비비고 김나쵸 관찰</x:v>
      </x:c>
      <x:c r="M189" s="18" t="str">
        <x:v>other</x:v>
      </x:c>
      <x:c r="N189" s="18" t="str">
        <x:v>다먹어라이언</x:v>
      </x:c>
      <x:c r="O189" s="19" t="n">
        <x:v>46221.625</x:v>
      </x:c>
      <x:c r="P189" s="18" t="str">
        <x:v>7월3주차 편의점신상 (GS25, CU)</x:v>
      </x:c>
      <x:c r="Q189" s="18" t="str">
        <x:v>https://v.daum.net/v/66iOCie4d4?f=p</x:v>
      </x:c>
      <x:c r="R189" s="18" t="str">
        <x:v>other</x:v>
      </x:c>
      <x:c r="S189" s="18" t="str">
        <x:v>편의점 신제품리뷰 채널</x:v>
      </x:c>
      <x:c r="T189" s="19" t="n">
        <x:v>46247.625</x:v>
      </x:c>
      <x:c r="U189" s="18" t="str">
        <x:v>편의점 신제품리뷰 공개 목록</x:v>
      </x:c>
      <x:c r="V189" s="18" t="str">
        <x:v>https://v.daum.net/channel/551515/contents</x:v>
      </x:c>
      <x:c r="W189" s="18" t="str">
        <x:v>resolved_excluded</x:v>
      </x:c>
      <x:c r="X189" s="18" t="str">
        <x:v>excluded</x:v>
      </x:c>
      <x:c r="Y189" s="18" t="str">
        <x:v>광고성</x:v>
      </x:c>
      <x:c r="Z189" s="18" t="str"/>
      <x:c r="AA189" s="18" t="str">
        <x:v>단일 신상품 모음 또는 판매성 소개만 확인돼 관심·언급 증가와 다채널 확산을 입증하지 못했다.</x:v>
      </x:c>
    </x:row>
    <x:row r="190">
      <x:c r="A190" s="18" t="n">
        <x:v>187</x:v>
      </x:c>
      <x:c r="B190" s="18" t="str">
        <x:v>kr_202608_candidate_187</x:v>
      </x:c>
      <x:c r="C190" s="18" t="str">
        <x:v>보이넥스트도어 홈빵 애플크림</x:v>
      </x:c>
      <x:c r="D190" s="18" t="str">
        <x:v>[]</x:v>
      </x:c>
      <x:c r="E190" s="18" t="str">
        <x:v>food</x:v>
      </x:c>
      <x:c r="F190" s="18" t="str">
        <x:v>consumer_product</x:v>
      </x:c>
      <x:c r="G190" s="19" t="n">
        <x:v>46228.625</x:v>
      </x:c>
      <x:c r="H190" s="18" t="str"/>
      <x:c r="I190" s="18" t="str">
        <x:v>Y</x:v>
      </x:c>
      <x:c r="J190" s="18" t="str">
        <x:v>Y</x:v>
      </x:c>
      <x:c r="K190" s="18" t="str">
        <x:v>7월4주차 편의점신상 (GS25,CU)에서 구체적인 상품·현상으로 관찰돼 후속 검색·언급 증가 여부를 검증할 후보로 수집했다.</x:v>
      </x:c>
      <x:c r="L190" s="18" t="str">
        <x:v>공개 자료에서 보이넥스트도어 홈빵 애플크림 관찰</x:v>
      </x:c>
      <x:c r="M190" s="18" t="str">
        <x:v>other</x:v>
      </x:c>
      <x:c r="N190" s="18" t="str">
        <x:v>다먹어라이언</x:v>
      </x:c>
      <x:c r="O190" s="19" t="n">
        <x:v>46228.625</x:v>
      </x:c>
      <x:c r="P190" s="18" t="str">
        <x:v>7월4주차 편의점신상 (GS25,CU)</x:v>
      </x:c>
      <x:c r="Q190" s="18" t="str">
        <x:v>https://v.daum.net/v/blzCQ0FYOh</x:v>
      </x:c>
      <x:c r="R190" s="18" t="str">
        <x:v>other</x:v>
      </x:c>
      <x:c r="S190" s="18" t="str">
        <x:v>편의점 신제품리뷰 채널</x:v>
      </x:c>
      <x:c r="T190" s="19" t="n">
        <x:v>46247.625</x:v>
      </x:c>
      <x:c r="U190" s="18" t="str">
        <x:v>편의점 신제품리뷰 공개 목록</x:v>
      </x:c>
      <x:c r="V190" s="18" t="str">
        <x:v>https://v.daum.net/channel/551515/contents</x:v>
      </x:c>
      <x:c r="W190" s="18" t="str">
        <x:v>resolved_excluded</x:v>
      </x:c>
      <x:c r="X190" s="18" t="str">
        <x:v>excluded</x:v>
      </x:c>
      <x:c r="Y190" s="18" t="str">
        <x:v>광고성</x:v>
      </x:c>
      <x:c r="Z190" s="18" t="str"/>
      <x:c r="AA190" s="18" t="str">
        <x:v>단일 신상품 모음 또는 판매성 소개만 확인돼 관심·언급 증가와 다채널 확산을 입증하지 못했다.</x:v>
      </x:c>
    </x:row>
    <x:row r="191">
      <x:c r="A191" s="18" t="n">
        <x:v>188</x:v>
      </x:c>
      <x:c r="B191" s="18" t="str">
        <x:v>kr_202608_candidate_188</x:v>
      </x:c>
      <x:c r="C191" s="18" t="str">
        <x:v>치즈케이크찰떡</x:v>
      </x:c>
      <x:c r="D191" s="18" t="str">
        <x:v>[]</x:v>
      </x:c>
      <x:c r="E191" s="18" t="str">
        <x:v>food</x:v>
      </x:c>
      <x:c r="F191" s="18" t="str">
        <x:v>consumer_product</x:v>
      </x:c>
      <x:c r="G191" s="19" t="n">
        <x:v>46234.625</x:v>
      </x:c>
      <x:c r="H191" s="18" t="str"/>
      <x:c r="I191" s="18" t="str">
        <x:v>Y</x:v>
      </x:c>
      <x:c r="J191" s="18" t="str">
        <x:v>Y</x:v>
      </x:c>
      <x:c r="K191" s="18" t="str">
        <x:v>8월1주차 편의점신상 TOP10 (GS25,CU)에서 구체적인 상품·현상으로 관찰돼 후속 검색·언급 증가 여부를 검증할 후보로 수집했다.</x:v>
      </x:c>
      <x:c r="L191" s="18" t="str">
        <x:v>공개 자료에서 치즈케이크찰떡 관찰</x:v>
      </x:c>
      <x:c r="M191" s="18" t="str">
        <x:v>other</x:v>
      </x:c>
      <x:c r="N191" s="18" t="str">
        <x:v>다먹어라이언</x:v>
      </x:c>
      <x:c r="O191" s="19" t="n">
        <x:v>46234.625</x:v>
      </x:c>
      <x:c r="P191" s="18" t="str">
        <x:v>8월1주차 편의점신상 TOP10 (GS25,CU)</x:v>
      </x:c>
      <x:c r="Q191" s="18" t="str">
        <x:v>https://v.daum.net/v/qTN9uChDIK</x:v>
      </x:c>
      <x:c r="R191" s="18" t="str">
        <x:v>other</x:v>
      </x:c>
      <x:c r="S191" s="18" t="str">
        <x:v>편의점 신제품리뷰 채널</x:v>
      </x:c>
      <x:c r="T191" s="19" t="n">
        <x:v>46247.625</x:v>
      </x:c>
      <x:c r="U191" s="18" t="str">
        <x:v>편의점 신제품리뷰 공개 목록</x:v>
      </x:c>
      <x:c r="V191" s="18" t="str">
        <x:v>https://v.daum.net/channel/551515/contents</x:v>
      </x:c>
      <x:c r="W191" s="18" t="str">
        <x:v>resolved_excluded</x:v>
      </x:c>
      <x:c r="X191" s="18" t="str">
        <x:v>excluded</x:v>
      </x:c>
      <x:c r="Y191" s="18" t="str">
        <x:v>광고성</x:v>
      </x:c>
      <x:c r="Z191" s="18" t="str"/>
      <x:c r="AA191" s="18" t="str">
        <x:v>단일 신상품 모음 또는 판매성 소개만 확인돼 관심·언급 증가와 다채널 확산을 입증하지 못했다.</x:v>
      </x:c>
    </x:row>
    <x:row r="192">
      <x:c r="A192" s="18" t="n">
        <x:v>189</x:v>
      </x:c>
      <x:c r="B192" s="18" t="str">
        <x:v>kr_202608_candidate_189</x:v>
      </x:c>
      <x:c r="C192" s="18" t="str">
        <x:v>봉주르빵집 밤호박바브카</x:v>
      </x:c>
      <x:c r="D192" s="18" t="str">
        <x:v>[]</x:v>
      </x:c>
      <x:c r="E192" s="18" t="str">
        <x:v>food</x:v>
      </x:c>
      <x:c r="F192" s="18" t="str">
        <x:v>consumer_product</x:v>
      </x:c>
      <x:c r="G192" s="19" t="n">
        <x:v>46242.625</x:v>
      </x:c>
      <x:c r="H192" s="18" t="str">
        <x:v>Y</x:v>
      </x:c>
      <x:c r="I192" s="18" t="str">
        <x:v>Y</x:v>
      </x:c>
      <x:c r="J192" s="18" t="str">
        <x:v>Y</x:v>
      </x:c>
      <x:c r="K192" s="18" t="str">
        <x:v>8월2주차 편의점신상 (GS25,CU,세븐일레븐,이마트24)에서 구체적인 상품·현상으로 관찰돼 후속 검색·언급 증가 여부를 검증할 후보로 수집했다.</x:v>
      </x:c>
      <x:c r="L192" s="18" t="str">
        <x:v>공개 자료에서 봉주르빵집 밤호박바브카 관찰</x:v>
      </x:c>
      <x:c r="M192" s="18" t="str">
        <x:v>other</x:v>
      </x:c>
      <x:c r="N192" s="18" t="str">
        <x:v>다먹어라이언</x:v>
      </x:c>
      <x:c r="O192" s="19" t="n">
        <x:v>46242.625</x:v>
      </x:c>
      <x:c r="P192" s="18" t="str">
        <x:v>8월2주차 편의점신상 (GS25,CU,세븐일레븐,이마트24)</x:v>
      </x:c>
      <x:c r="Q192" s="18" t="str">
        <x:v>https://v.daum.net/v/zDB5NlSr7A</x:v>
      </x:c>
      <x:c r="R192" s="18" t="str">
        <x:v>other</x:v>
      </x:c>
      <x:c r="S192" s="18" t="str">
        <x:v>편의점 신제품리뷰 채널</x:v>
      </x:c>
      <x:c r="T192" s="19" t="n">
        <x:v>46247.625</x:v>
      </x:c>
      <x:c r="U192" s="18" t="str">
        <x:v>편의점 신제품리뷰 공개 목록</x:v>
      </x:c>
      <x:c r="V192" s="18" t="str">
        <x:v>https://v.daum.net/channel/551515/contents</x:v>
      </x:c>
      <x:c r="W192" s="18" t="str">
        <x:v>resolved_excluded</x:v>
      </x:c>
      <x:c r="X192" s="18" t="str">
        <x:v>excluded</x:v>
      </x:c>
      <x:c r="Y192" s="18" t="str">
        <x:v>광고성</x:v>
      </x:c>
      <x:c r="Z192" s="18" t="str"/>
      <x:c r="AA192" s="18" t="str">
        <x:v>단일 신상품 모음 또는 판매성 소개만 확인돼 관심·언급 증가와 다채널 확산을 입증하지 못했다.</x:v>
      </x:c>
    </x:row>
    <x:row r="193">
      <x:c r="A193" s="18" t="n">
        <x:v>190</x:v>
      </x:c>
      <x:c r="B193" s="18" t="str">
        <x:v>kr_202608_candidate_190</x:v>
      </x:c>
      <x:c r="C193" s="18" t="str">
        <x:v>나오하 새콤달콤 애플 데니쉬</x:v>
      </x:c>
      <x:c r="D193" s="18" t="str">
        <x:v>[]</x:v>
      </x:c>
      <x:c r="E193" s="18" t="str">
        <x:v>food</x:v>
      </x:c>
      <x:c r="F193" s="18" t="str">
        <x:v>consumer_product</x:v>
      </x:c>
      <x:c r="G193" s="19" t="n">
        <x:v>46158.625</x:v>
      </x:c>
      <x:c r="H193" s="18" t="str"/>
      <x:c r="I193" s="18" t="str"/>
      <x:c r="J193" s="18" t="str">
        <x:v>Y</x:v>
      </x:c>
      <x:c r="K193" s="18" t="str">
        <x:v>5월3주차 편의점신상 (GS25,CU,이마트24)에서 구체적인 상품·현상으로 관찰돼 후속 검색·언급 증가 여부를 검증할 후보로 수집했다.</x:v>
      </x:c>
      <x:c r="L193" s="18" t="str">
        <x:v>공개 자료에서 나오하 새콤달콤 애플 데니쉬 관찰</x:v>
      </x:c>
      <x:c r="M193" s="18" t="str">
        <x:v>other</x:v>
      </x:c>
      <x:c r="N193" s="18" t="str">
        <x:v>다먹어라이언</x:v>
      </x:c>
      <x:c r="O193" s="19" t="n">
        <x:v>46158.625</x:v>
      </x:c>
      <x:c r="P193" s="18" t="str">
        <x:v>5월3주차 편의점신상 (GS25,CU,이마트24)</x:v>
      </x:c>
      <x:c r="Q193" s="18" t="str">
        <x:v>https://v.daum.net/v/3VYIMrIkBX</x:v>
      </x:c>
      <x:c r="R193" s="18" t="str">
        <x:v>other</x:v>
      </x:c>
      <x:c r="S193" s="18" t="str">
        <x:v>편의점 신제품리뷰 채널</x:v>
      </x:c>
      <x:c r="T193" s="19" t="n">
        <x:v>46247.625</x:v>
      </x:c>
      <x:c r="U193" s="18" t="str">
        <x:v>편의점 신제품리뷰 공개 목록</x:v>
      </x:c>
      <x:c r="V193" s="18" t="str">
        <x:v>https://v.daum.net/channel/551515/contents</x:v>
      </x:c>
      <x:c r="W193" s="18" t="str">
        <x:v>resolved_excluded</x:v>
      </x:c>
      <x:c r="X193" s="18" t="str">
        <x:v>excluded</x:v>
      </x:c>
      <x:c r="Y193" s="18" t="str">
        <x:v>광고성</x:v>
      </x:c>
      <x:c r="Z193" s="18" t="str"/>
      <x:c r="AA193" s="18" t="str">
        <x:v>단일 신상품 모음 또는 판매성 소개만 확인돼 관심·언급 증가와 다채널 확산을 입증하지 못했다.</x:v>
      </x:c>
    </x:row>
    <x:row r="194">
      <x:c r="A194" s="18" t="n">
        <x:v>191</x:v>
      </x:c>
      <x:c r="B194" s="18" t="str">
        <x:v>kr_202608_candidate_191</x:v>
      </x:c>
      <x:c r="C194" s="18" t="str">
        <x:v>리자몽 불대문자 핵불닭빵</x:v>
      </x:c>
      <x:c r="D194" s="18" t="str">
        <x:v>[]</x:v>
      </x:c>
      <x:c r="E194" s="18" t="str">
        <x:v>food</x:v>
      </x:c>
      <x:c r="F194" s="18" t="str">
        <x:v>consumer_product</x:v>
      </x:c>
      <x:c r="G194" s="19" t="n">
        <x:v>46221.625</x:v>
      </x:c>
      <x:c r="H194" s="18" t="str"/>
      <x:c r="I194" s="18" t="str">
        <x:v>Y</x:v>
      </x:c>
      <x:c r="J194" s="18" t="str">
        <x:v>Y</x:v>
      </x:c>
      <x:c r="K194" s="18" t="str">
        <x:v>7월3주차 편의점신상 (GS25, CU)에서 구체적인 상품·현상으로 관찰돼 후속 검색·언급 증가 여부를 검증할 후보로 수집했다.</x:v>
      </x:c>
      <x:c r="L194" s="18" t="str">
        <x:v>공개 자료에서 리자몽 불대문자 핵불닭빵 관찰</x:v>
      </x:c>
      <x:c r="M194" s="18" t="str">
        <x:v>other</x:v>
      </x:c>
      <x:c r="N194" s="18" t="str">
        <x:v>다먹어라이언</x:v>
      </x:c>
      <x:c r="O194" s="19" t="n">
        <x:v>46221.625</x:v>
      </x:c>
      <x:c r="P194" s="18" t="str">
        <x:v>7월3주차 편의점신상 (GS25, CU)</x:v>
      </x:c>
      <x:c r="Q194" s="18" t="str">
        <x:v>https://v.daum.net/v/66iOCie4d4?f=p</x:v>
      </x:c>
      <x:c r="R194" s="18" t="str">
        <x:v>other</x:v>
      </x:c>
      <x:c r="S194" s="18" t="str">
        <x:v>편의점 신제품리뷰 채널</x:v>
      </x:c>
      <x:c r="T194" s="19" t="n">
        <x:v>46247.625</x:v>
      </x:c>
      <x:c r="U194" s="18" t="str">
        <x:v>편의점 신제품리뷰 공개 목록</x:v>
      </x:c>
      <x:c r="V194" s="18" t="str">
        <x:v>https://v.daum.net/channel/551515/contents</x:v>
      </x:c>
      <x:c r="W194" s="18" t="str">
        <x:v>resolved_excluded</x:v>
      </x:c>
      <x:c r="X194" s="18" t="str">
        <x:v>excluded</x:v>
      </x:c>
      <x:c r="Y194" s="18" t="str">
        <x:v>광고성</x:v>
      </x:c>
      <x:c r="Z194" s="18" t="str"/>
      <x:c r="AA194" s="18" t="str">
        <x:v>단일 신상품 모음 또는 판매성 소개만 확인돼 관심·언급 증가와 다채널 확산을 입증하지 못했다.</x:v>
      </x:c>
    </x:row>
    <x:row r="195">
      <x:c r="A195" s="18" t="n">
        <x:v>192</x:v>
      </x:c>
      <x:c r="B195" s="18" t="str">
        <x:v>kr_202608_candidate_192</x:v>
      </x:c>
      <x:c r="C195" s="18" t="str">
        <x:v>PBICK 소시지김밥 맥앤치즈</x:v>
      </x:c>
      <x:c r="D195" s="18" t="str">
        <x:v>[]</x:v>
      </x:c>
      <x:c r="E195" s="18" t="str">
        <x:v>food</x:v>
      </x:c>
      <x:c r="F195" s="18" t="str">
        <x:v>consumer_product</x:v>
      </x:c>
      <x:c r="G195" s="19" t="n">
        <x:v>46221.625</x:v>
      </x:c>
      <x:c r="H195" s="18" t="str"/>
      <x:c r="I195" s="18" t="str">
        <x:v>Y</x:v>
      </x:c>
      <x:c r="J195" s="18" t="str">
        <x:v>Y</x:v>
      </x:c>
      <x:c r="K195" s="18" t="str">
        <x:v>7월3주차 편의점신상 (GS25, CU)에서 구체적인 상품·현상으로 관찰돼 후속 검색·언급 증가 여부를 검증할 후보로 수집했다.</x:v>
      </x:c>
      <x:c r="L195" s="18" t="str">
        <x:v>공개 자료에서 PBICK 소시지김밥 맥앤치즈 관찰</x:v>
      </x:c>
      <x:c r="M195" s="18" t="str">
        <x:v>other</x:v>
      </x:c>
      <x:c r="N195" s="18" t="str">
        <x:v>다먹어라이언</x:v>
      </x:c>
      <x:c r="O195" s="19" t="n">
        <x:v>46221.625</x:v>
      </x:c>
      <x:c r="P195" s="18" t="str">
        <x:v>7월3주차 편의점신상 (GS25, CU)</x:v>
      </x:c>
      <x:c r="Q195" s="18" t="str">
        <x:v>https://v.daum.net/v/66iOCie4d4?f=p</x:v>
      </x:c>
      <x:c r="R195" s="18" t="str">
        <x:v>other</x:v>
      </x:c>
      <x:c r="S195" s="18" t="str">
        <x:v>편의점 신제품리뷰 채널</x:v>
      </x:c>
      <x:c r="T195" s="19" t="n">
        <x:v>46247.625</x:v>
      </x:c>
      <x:c r="U195" s="18" t="str">
        <x:v>편의점 신제품리뷰 공개 목록</x:v>
      </x:c>
      <x:c r="V195" s="18" t="str">
        <x:v>https://v.daum.net/channel/551515/contents</x:v>
      </x:c>
      <x:c r="W195" s="18" t="str">
        <x:v>resolved_excluded</x:v>
      </x:c>
      <x:c r="X195" s="18" t="str">
        <x:v>excluded</x:v>
      </x:c>
      <x:c r="Y195" s="18" t="str">
        <x:v>광고성</x:v>
      </x:c>
      <x:c r="Z195" s="18" t="str"/>
      <x:c r="AA195" s="18" t="str">
        <x:v>단일 신상품 모음 또는 판매성 소개만 확인돼 관심·언급 증가와 다채널 확산을 입증하지 못했다.</x:v>
      </x:c>
    </x:row>
    <x:row r="196">
      <x:c r="A196" s="18" t="n">
        <x:v>193</x:v>
      </x:c>
      <x:c r="B196" s="18" t="str">
        <x:v>kr_202608_candidate_193</x:v>
      </x:c>
      <x:c r="C196" s="18" t="str">
        <x:v>봉골레파스타</x:v>
      </x:c>
      <x:c r="D196" s="18" t="str">
        <x:v>[]</x:v>
      </x:c>
      <x:c r="E196" s="18" t="str">
        <x:v>food</x:v>
      </x:c>
      <x:c r="F196" s="18" t="str">
        <x:v>consumer_product</x:v>
      </x:c>
      <x:c r="G196" s="19" t="n">
        <x:v>46221.625</x:v>
      </x:c>
      <x:c r="H196" s="18" t="str"/>
      <x:c r="I196" s="18" t="str">
        <x:v>Y</x:v>
      </x:c>
      <x:c r="J196" s="18" t="str">
        <x:v>Y</x:v>
      </x:c>
      <x:c r="K196" s="18" t="str">
        <x:v>7월3주차 편의점신상 (GS25, CU)에서 구체적인 상품·현상으로 관찰돼 후속 검색·언급 증가 여부를 검증할 후보로 수집했다.</x:v>
      </x:c>
      <x:c r="L196" s="18" t="str">
        <x:v>공개 자료에서 봉골레파스타 관찰</x:v>
      </x:c>
      <x:c r="M196" s="18" t="str">
        <x:v>other</x:v>
      </x:c>
      <x:c r="N196" s="18" t="str">
        <x:v>다먹어라이언</x:v>
      </x:c>
      <x:c r="O196" s="19" t="n">
        <x:v>46221.625</x:v>
      </x:c>
      <x:c r="P196" s="18" t="str">
        <x:v>7월3주차 편의점신상 (GS25, CU)</x:v>
      </x:c>
      <x:c r="Q196" s="18" t="str">
        <x:v>https://v.daum.net/v/66iOCie4d4?f=p</x:v>
      </x:c>
      <x:c r="R196" s="18" t="str">
        <x:v>other</x:v>
      </x:c>
      <x:c r="S196" s="18" t="str">
        <x:v>편의점 신제품리뷰 채널</x:v>
      </x:c>
      <x:c r="T196" s="19" t="n">
        <x:v>46247.625</x:v>
      </x:c>
      <x:c r="U196" s="18" t="str">
        <x:v>편의점 신제품리뷰 공개 목록</x:v>
      </x:c>
      <x:c r="V196" s="18" t="str">
        <x:v>https://v.daum.net/channel/551515/contents</x:v>
      </x:c>
      <x:c r="W196" s="18" t="str">
        <x:v>resolved_excluded</x:v>
      </x:c>
      <x:c r="X196" s="18" t="str">
        <x:v>excluded</x:v>
      </x:c>
      <x:c r="Y196" s="18" t="str">
        <x:v>광고성</x:v>
      </x:c>
      <x:c r="Z196" s="18" t="str"/>
      <x:c r="AA196" s="18" t="str">
        <x:v>단일 신상품 모음 또는 판매성 소개만 확인돼 관심·언급 증가와 다채널 확산을 입증하지 못했다.</x:v>
      </x:c>
    </x:row>
    <x:row r="197">
      <x:c r="A197" s="18" t="n">
        <x:v>194</x:v>
      </x:c>
      <x:c r="B197" s="18" t="str">
        <x:v>kr_202608_candidate_194</x:v>
      </x:c>
      <x:c r="C197" s="18" t="str">
        <x:v>산채불고기비빔밥</x:v>
      </x:c>
      <x:c r="D197" s="18" t="str">
        <x:v>[]</x:v>
      </x:c>
      <x:c r="E197" s="18" t="str">
        <x:v>food</x:v>
      </x:c>
      <x:c r="F197" s="18" t="str">
        <x:v>consumer_product</x:v>
      </x:c>
      <x:c r="G197" s="19" t="n">
        <x:v>46221.625</x:v>
      </x:c>
      <x:c r="H197" s="18" t="str"/>
      <x:c r="I197" s="18" t="str">
        <x:v>Y</x:v>
      </x:c>
      <x:c r="J197" s="18" t="str">
        <x:v>Y</x:v>
      </x:c>
      <x:c r="K197" s="18" t="str">
        <x:v>7월3주차 편의점신상 (GS25, CU)에서 구체적인 상품·현상으로 관찰돼 후속 검색·언급 증가 여부를 검증할 후보로 수집했다.</x:v>
      </x:c>
      <x:c r="L197" s="18" t="str">
        <x:v>공개 자료에서 산채불고기비빔밥 관찰</x:v>
      </x:c>
      <x:c r="M197" s="18" t="str">
        <x:v>other</x:v>
      </x:c>
      <x:c r="N197" s="18" t="str">
        <x:v>다먹어라이언</x:v>
      </x:c>
      <x:c r="O197" s="19" t="n">
        <x:v>46221.625</x:v>
      </x:c>
      <x:c r="P197" s="18" t="str">
        <x:v>7월3주차 편의점신상 (GS25, CU)</x:v>
      </x:c>
      <x:c r="Q197" s="18" t="str">
        <x:v>https://v.daum.net/v/66iOCie4d4?f=p</x:v>
      </x:c>
      <x:c r="R197" s="18" t="str">
        <x:v>other</x:v>
      </x:c>
      <x:c r="S197" s="18" t="str">
        <x:v>편의점 신제품리뷰 채널</x:v>
      </x:c>
      <x:c r="T197" s="19" t="n">
        <x:v>46247.625</x:v>
      </x:c>
      <x:c r="U197" s="18" t="str">
        <x:v>편의점 신제품리뷰 공개 목록</x:v>
      </x:c>
      <x:c r="V197" s="18" t="str">
        <x:v>https://v.daum.net/channel/551515/contents</x:v>
      </x:c>
      <x:c r="W197" s="18" t="str">
        <x:v>resolved_excluded</x:v>
      </x:c>
      <x:c r="X197" s="18" t="str">
        <x:v>excluded</x:v>
      </x:c>
      <x:c r="Y197" s="18" t="str">
        <x:v>광고성</x:v>
      </x:c>
      <x:c r="Z197" s="18" t="str"/>
      <x:c r="AA197" s="18" t="str">
        <x:v>단일 신상품 모음 또는 판매성 소개만 확인돼 관심·언급 증가와 다채널 확산을 입증하지 못했다.</x:v>
      </x:c>
    </x:row>
    <x:row r="198">
      <x:c r="A198" s="18" t="n">
        <x:v>195</x:v>
      </x:c>
      <x:c r="B198" s="18" t="str">
        <x:v>kr_202608_candidate_195</x:v>
      </x:c>
      <x:c r="C198" s="18" t="str">
        <x:v>포테이토 초코블럭</x:v>
      </x:c>
      <x:c r="D198" s="18" t="str">
        <x:v>[]</x:v>
      </x:c>
      <x:c r="E198" s="18" t="str">
        <x:v>food</x:v>
      </x:c>
      <x:c r="F198" s="18" t="str">
        <x:v>consumer_product</x:v>
      </x:c>
      <x:c r="G198" s="19" t="n">
        <x:v>46221.625</x:v>
      </x:c>
      <x:c r="H198" s="18" t="str"/>
      <x:c r="I198" s="18" t="str">
        <x:v>Y</x:v>
      </x:c>
      <x:c r="J198" s="18" t="str">
        <x:v>Y</x:v>
      </x:c>
      <x:c r="K198" s="18" t="str">
        <x:v>7월3주차 편의점신상 (GS25, CU)에서 구체적인 상품·현상으로 관찰돼 후속 검색·언급 증가 여부를 검증할 후보로 수집했다.</x:v>
      </x:c>
      <x:c r="L198" s="18" t="str">
        <x:v>공개 자료에서 포테이토 초코블럭 관찰</x:v>
      </x:c>
      <x:c r="M198" s="18" t="str">
        <x:v>other</x:v>
      </x:c>
      <x:c r="N198" s="18" t="str">
        <x:v>다먹어라이언</x:v>
      </x:c>
      <x:c r="O198" s="19" t="n">
        <x:v>46221.625</x:v>
      </x:c>
      <x:c r="P198" s="18" t="str">
        <x:v>7월3주차 편의점신상 (GS25, CU)</x:v>
      </x:c>
      <x:c r="Q198" s="18" t="str">
        <x:v>https://v.daum.net/v/66iOCie4d4?f=p</x:v>
      </x:c>
      <x:c r="R198" s="18" t="str">
        <x:v>other</x:v>
      </x:c>
      <x:c r="S198" s="18" t="str">
        <x:v>편의점 신제품리뷰 채널</x:v>
      </x:c>
      <x:c r="T198" s="19" t="n">
        <x:v>46247.625</x:v>
      </x:c>
      <x:c r="U198" s="18" t="str">
        <x:v>편의점 신제품리뷰 공개 목록</x:v>
      </x:c>
      <x:c r="V198" s="18" t="str">
        <x:v>https://v.daum.net/channel/551515/contents</x:v>
      </x:c>
      <x:c r="W198" s="18" t="str">
        <x:v>resolved_excluded</x:v>
      </x:c>
      <x:c r="X198" s="18" t="str">
        <x:v>excluded</x:v>
      </x:c>
      <x:c r="Y198" s="18" t="str">
        <x:v>광고성</x:v>
      </x:c>
      <x:c r="Z198" s="18" t="str"/>
      <x:c r="AA198" s="18" t="str">
        <x:v>단일 신상품 모음 또는 판매성 소개만 확인돼 관심·언급 증가와 다채널 확산을 입증하지 못했다.</x:v>
      </x:c>
    </x:row>
    <x:row r="199">
      <x:c r="A199" s="18" t="n">
        <x:v>196</x:v>
      </x:c>
      <x:c r="B199" s="18" t="str">
        <x:v>kr_202608_candidate_196</x:v>
      </x:c>
      <x:c r="C199" s="18" t="str">
        <x:v>우엉갈비전주비빔</x:v>
      </x:c>
      <x:c r="D199" s="18" t="str">
        <x:v>[]</x:v>
      </x:c>
      <x:c r="E199" s="18" t="str">
        <x:v>food</x:v>
      </x:c>
      <x:c r="F199" s="18" t="str">
        <x:v>consumer_product</x:v>
      </x:c>
      <x:c r="G199" s="19" t="n">
        <x:v>46221.625</x:v>
      </x:c>
      <x:c r="H199" s="18" t="str"/>
      <x:c r="I199" s="18" t="str">
        <x:v>Y</x:v>
      </x:c>
      <x:c r="J199" s="18" t="str">
        <x:v>Y</x:v>
      </x:c>
      <x:c r="K199" s="18" t="str">
        <x:v>7월3주차 편의점신상 (GS25, CU)에서 구체적인 상품·현상으로 관찰돼 후속 검색·언급 증가 여부를 검증할 후보로 수집했다.</x:v>
      </x:c>
      <x:c r="L199" s="18" t="str">
        <x:v>공개 자료에서 우엉갈비전주비빔 관찰</x:v>
      </x:c>
      <x:c r="M199" s="18" t="str">
        <x:v>other</x:v>
      </x:c>
      <x:c r="N199" s="18" t="str">
        <x:v>다먹어라이언</x:v>
      </x:c>
      <x:c r="O199" s="19" t="n">
        <x:v>46221.625</x:v>
      </x:c>
      <x:c r="P199" s="18" t="str">
        <x:v>7월3주차 편의점신상 (GS25, CU)</x:v>
      </x:c>
      <x:c r="Q199" s="18" t="str">
        <x:v>https://v.daum.net/v/66iOCie4d4?f=p</x:v>
      </x:c>
      <x:c r="R199" s="18" t="str">
        <x:v>other</x:v>
      </x:c>
      <x:c r="S199" s="18" t="str">
        <x:v>편의점 신제품리뷰 채널</x:v>
      </x:c>
      <x:c r="T199" s="19" t="n">
        <x:v>46247.625</x:v>
      </x:c>
      <x:c r="U199" s="18" t="str">
        <x:v>편의점 신제품리뷰 공개 목록</x:v>
      </x:c>
      <x:c r="V199" s="18" t="str">
        <x:v>https://v.daum.net/channel/551515/contents</x:v>
      </x:c>
      <x:c r="W199" s="18" t="str">
        <x:v>resolved_excluded</x:v>
      </x:c>
      <x:c r="X199" s="18" t="str">
        <x:v>excluded</x:v>
      </x:c>
      <x:c r="Y199" s="18" t="str">
        <x:v>광고성</x:v>
      </x:c>
      <x:c r="Z199" s="18" t="str"/>
      <x:c r="AA199" s="18" t="str">
        <x:v>단일 신상품 모음 또는 판매성 소개만 확인돼 관심·언급 증가와 다채널 확산을 입증하지 못했다.</x:v>
      </x:c>
    </x:row>
    <x:row r="200">
      <x:c r="A200" s="18" t="n">
        <x:v>197</x:v>
      </x:c>
      <x:c r="B200" s="18" t="str">
        <x:v>kr_202608_candidate_197</x:v>
      </x:c>
      <x:c r="C200" s="18" t="str">
        <x:v>쯔양 초코쿠키 딸기왕콘</x:v>
      </x:c>
      <x:c r="D200" s="18" t="str">
        <x:v>[]</x:v>
      </x:c>
      <x:c r="E200" s="18" t="str">
        <x:v>food</x:v>
      </x:c>
      <x:c r="F200" s="18" t="str">
        <x:v>consumer_product</x:v>
      </x:c>
      <x:c r="G200" s="19" t="n">
        <x:v>46221.625</x:v>
      </x:c>
      <x:c r="H200" s="18" t="str"/>
      <x:c r="I200" s="18" t="str">
        <x:v>Y</x:v>
      </x:c>
      <x:c r="J200" s="18" t="str">
        <x:v>Y</x:v>
      </x:c>
      <x:c r="K200" s="18" t="str">
        <x:v>7월3주차 편의점신상 (GS25, CU)에서 구체적인 상품·현상으로 관찰돼 후속 검색·언급 증가 여부를 검증할 후보로 수집했다.</x:v>
      </x:c>
      <x:c r="L200" s="18" t="str">
        <x:v>공개 자료에서 쯔양 초코쿠키 딸기왕콘 관찰</x:v>
      </x:c>
      <x:c r="M200" s="18" t="str">
        <x:v>other</x:v>
      </x:c>
      <x:c r="N200" s="18" t="str">
        <x:v>다먹어라이언</x:v>
      </x:c>
      <x:c r="O200" s="19" t="n">
        <x:v>46221.625</x:v>
      </x:c>
      <x:c r="P200" s="18" t="str">
        <x:v>7월3주차 편의점신상 (GS25, CU)</x:v>
      </x:c>
      <x:c r="Q200" s="18" t="str">
        <x:v>https://v.daum.net/v/66iOCie4d4?f=p</x:v>
      </x:c>
      <x:c r="R200" s="18" t="str">
        <x:v>other</x:v>
      </x:c>
      <x:c r="S200" s="18" t="str">
        <x:v>편의점 신제품리뷰 채널</x:v>
      </x:c>
      <x:c r="T200" s="19" t="n">
        <x:v>46247.625</x:v>
      </x:c>
      <x:c r="U200" s="18" t="str">
        <x:v>편의점 신제품리뷰 공개 목록</x:v>
      </x:c>
      <x:c r="V200" s="18" t="str">
        <x:v>https://v.daum.net/channel/551515/contents</x:v>
      </x:c>
      <x:c r="W200" s="18" t="str">
        <x:v>resolved_excluded</x:v>
      </x:c>
      <x:c r="X200" s="18" t="str">
        <x:v>excluded</x:v>
      </x:c>
      <x:c r="Y200" s="18" t="str">
        <x:v>광고성</x:v>
      </x:c>
      <x:c r="Z200" s="18" t="str"/>
      <x:c r="AA200" s="18" t="str">
        <x:v>단일 신상품 모음 또는 판매성 소개만 확인돼 관심·언급 증가와 다채널 확산을 입증하지 못했다.</x:v>
      </x:c>
    </x:row>
    <x:row r="201">
      <x:c r="A201" s="18" t="n">
        <x:v>198</x:v>
      </x:c>
      <x:c r="B201" s="18" t="str">
        <x:v>kr_202608_candidate_198</x:v>
      </x:c>
      <x:c r="C201" s="18" t="str">
        <x:v>오레오 BTS 호떡맛</x:v>
      </x:c>
      <x:c r="D201" s="18" t="str">
        <x:v>[]</x:v>
      </x:c>
      <x:c r="E201" s="18" t="str">
        <x:v>food</x:v>
      </x:c>
      <x:c r="F201" s="18" t="str">
        <x:v>consumer_product</x:v>
      </x:c>
      <x:c r="G201" s="19" t="n">
        <x:v>46221.625</x:v>
      </x:c>
      <x:c r="H201" s="18" t="str"/>
      <x:c r="I201" s="18" t="str">
        <x:v>Y</x:v>
      </x:c>
      <x:c r="J201" s="18" t="str">
        <x:v>Y</x:v>
      </x:c>
      <x:c r="K201" s="18" t="str">
        <x:v>7월3주차 편의점신상 (GS25, CU)에서 구체적인 상품·현상으로 관찰돼 후속 검색·언급 증가 여부를 검증할 후보로 수집했다.</x:v>
      </x:c>
      <x:c r="L201" s="18" t="str">
        <x:v>공개 자료에서 오레오 BTS 호떡맛 관찰</x:v>
      </x:c>
      <x:c r="M201" s="18" t="str">
        <x:v>other</x:v>
      </x:c>
      <x:c r="N201" s="18" t="str">
        <x:v>다먹어라이언</x:v>
      </x:c>
      <x:c r="O201" s="19" t="n">
        <x:v>46221.625</x:v>
      </x:c>
      <x:c r="P201" s="18" t="str">
        <x:v>7월3주차 편의점신상 (GS25, CU)</x:v>
      </x:c>
      <x:c r="Q201" s="18" t="str">
        <x:v>https://v.daum.net/v/66iOCie4d4?f=p</x:v>
      </x:c>
      <x:c r="R201" s="18" t="str">
        <x:v>other</x:v>
      </x:c>
      <x:c r="S201" s="18" t="str">
        <x:v>편의점 신제품리뷰 채널</x:v>
      </x:c>
      <x:c r="T201" s="19" t="n">
        <x:v>46247.625</x:v>
      </x:c>
      <x:c r="U201" s="18" t="str">
        <x:v>편의점 신제품리뷰 공개 목록</x:v>
      </x:c>
      <x:c r="V201" s="18" t="str">
        <x:v>https://v.daum.net/channel/551515/contents</x:v>
      </x:c>
      <x:c r="W201" s="18" t="str">
        <x:v>resolved_excluded</x:v>
      </x:c>
      <x:c r="X201" s="18" t="str">
        <x:v>excluded</x:v>
      </x:c>
      <x:c r="Y201" s="18" t="str">
        <x:v>광고성</x:v>
      </x:c>
      <x:c r="Z201" s="18" t="str"/>
      <x:c r="AA201" s="18" t="str">
        <x:v>단일 신상품 모음 또는 판매성 소개만 확인돼 관심·언급 증가와 다채널 확산을 입증하지 못했다.</x:v>
      </x:c>
    </x:row>
    <x:row r="202">
      <x:c r="A202" s="18" t="n">
        <x:v>199</x:v>
      </x:c>
      <x:c r="B202" s="18" t="str">
        <x:v>kr_202608_candidate_199</x:v>
      </x:c>
      <x:c r="C202" s="18" t="str">
        <x:v>카이막 치즈베이글 블루베리</x:v>
      </x:c>
      <x:c r="D202" s="18" t="str">
        <x:v>[]</x:v>
      </x:c>
      <x:c r="E202" s="18" t="str">
        <x:v>food</x:v>
      </x:c>
      <x:c r="F202" s="18" t="str">
        <x:v>consumer_product</x:v>
      </x:c>
      <x:c r="G202" s="19" t="n">
        <x:v>46221.625</x:v>
      </x:c>
      <x:c r="H202" s="18" t="str"/>
      <x:c r="I202" s="18" t="str">
        <x:v>Y</x:v>
      </x:c>
      <x:c r="J202" s="18" t="str">
        <x:v>Y</x:v>
      </x:c>
      <x:c r="K202" s="18" t="str">
        <x:v>7월3주차 편의점신상 (GS25, CU)에서 구체적인 상품·현상으로 관찰돼 후속 검색·언급 증가 여부를 검증할 후보로 수집했다.</x:v>
      </x:c>
      <x:c r="L202" s="18" t="str">
        <x:v>공개 자료에서 카이막 치즈베이글 블루베리 관찰</x:v>
      </x:c>
      <x:c r="M202" s="18" t="str">
        <x:v>other</x:v>
      </x:c>
      <x:c r="N202" s="18" t="str">
        <x:v>다먹어라이언</x:v>
      </x:c>
      <x:c r="O202" s="19" t="n">
        <x:v>46221.625</x:v>
      </x:c>
      <x:c r="P202" s="18" t="str">
        <x:v>7월3주차 편의점신상 (GS25, CU)</x:v>
      </x:c>
      <x:c r="Q202" s="18" t="str">
        <x:v>https://v.daum.net/v/66iOCie4d4?f=p</x:v>
      </x:c>
      <x:c r="R202" s="18" t="str">
        <x:v>other</x:v>
      </x:c>
      <x:c r="S202" s="18" t="str">
        <x:v>편의점 신제품리뷰 채널</x:v>
      </x:c>
      <x:c r="T202" s="19" t="n">
        <x:v>46247.625</x:v>
      </x:c>
      <x:c r="U202" s="18" t="str">
        <x:v>편의점 신제품리뷰 공개 목록</x:v>
      </x:c>
      <x:c r="V202" s="18" t="str">
        <x:v>https://v.daum.net/channel/551515/contents</x:v>
      </x:c>
      <x:c r="W202" s="18" t="str">
        <x:v>resolved_excluded</x:v>
      </x:c>
      <x:c r="X202" s="18" t="str">
        <x:v>excluded</x:v>
      </x:c>
      <x:c r="Y202" s="18" t="str">
        <x:v>광고성</x:v>
      </x:c>
      <x:c r="Z202" s="18" t="str"/>
      <x:c r="AA202" s="18" t="str">
        <x:v>단일 신상품 모음 또는 판매성 소개만 확인돼 관심·언급 증가와 다채널 확산을 입증하지 못했다.</x:v>
      </x:c>
    </x:row>
    <x:row r="203">
      <x:c r="A203" s="18" t="n">
        <x:v>200</x:v>
      </x:c>
      <x:c r="B203" s="18" t="str">
        <x:v>kr_202608_candidate_200</x:v>
      </x:c>
      <x:c r="C203" s="18" t="str">
        <x:v>미국식 통모짜치즈스틱</x:v>
      </x:c>
      <x:c r="D203" s="18" t="str">
        <x:v>[]</x:v>
      </x:c>
      <x:c r="E203" s="18" t="str">
        <x:v>food</x:v>
      </x:c>
      <x:c r="F203" s="18" t="str">
        <x:v>consumer_product</x:v>
      </x:c>
      <x:c r="G203" s="19" t="n">
        <x:v>46221.625</x:v>
      </x:c>
      <x:c r="H203" s="18" t="str"/>
      <x:c r="I203" s="18" t="str">
        <x:v>Y</x:v>
      </x:c>
      <x:c r="J203" s="18" t="str">
        <x:v>Y</x:v>
      </x:c>
      <x:c r="K203" s="18" t="str">
        <x:v>7월3주차 편의점신상 (GS25, CU)에서 구체적인 상품·현상으로 관찰돼 후속 검색·언급 증가 여부를 검증할 후보로 수집했다.</x:v>
      </x:c>
      <x:c r="L203" s="18" t="str">
        <x:v>공개 자료에서 미국식 통모짜치즈스틱 관찰</x:v>
      </x:c>
      <x:c r="M203" s="18" t="str">
        <x:v>other</x:v>
      </x:c>
      <x:c r="N203" s="18" t="str">
        <x:v>다먹어라이언</x:v>
      </x:c>
      <x:c r="O203" s="19" t="n">
        <x:v>46221.625</x:v>
      </x:c>
      <x:c r="P203" s="18" t="str">
        <x:v>7월3주차 편의점신상 (GS25, CU)</x:v>
      </x:c>
      <x:c r="Q203" s="18" t="str">
        <x:v>https://v.daum.net/v/66iOCie4d4?f=p</x:v>
      </x:c>
      <x:c r="R203" s="18" t="str">
        <x:v>other</x:v>
      </x:c>
      <x:c r="S203" s="18" t="str">
        <x:v>편의점 신제품리뷰 채널</x:v>
      </x:c>
      <x:c r="T203" s="19" t="n">
        <x:v>46247.625</x:v>
      </x:c>
      <x:c r="U203" s="18" t="str">
        <x:v>편의점 신제품리뷰 공개 목록</x:v>
      </x:c>
      <x:c r="V203" s="18" t="str">
        <x:v>https://v.daum.net/channel/551515/contents</x:v>
      </x:c>
      <x:c r="W203" s="18" t="str">
        <x:v>resolved_excluded</x:v>
      </x:c>
      <x:c r="X203" s="18" t="str">
        <x:v>excluded</x:v>
      </x:c>
      <x:c r="Y203" s="18" t="str">
        <x:v>광고성</x:v>
      </x:c>
      <x:c r="Z203" s="18" t="str"/>
      <x:c r="AA203" s="18" t="str">
        <x:v>단일 신상품 모음 또는 판매성 소개만 확인돼 관심·언급 증가와 다채널 확산을 입증하지 못했다.</x:v>
      </x:c>
    </x:row>
    <x:row r="204">
      <x:c r="A204" s="18" t="n">
        <x:v>201</x:v>
      </x:c>
      <x:c r="B204" s="18" t="str">
        <x:v>kr_202608_candidate_201</x:v>
      </x:c>
      <x:c r="C204" s="18" t="str">
        <x:v>육포깡</x:v>
      </x:c>
      <x:c r="D204" s="18" t="str">
        <x:v>[]</x:v>
      </x:c>
      <x:c r="E204" s="18" t="str">
        <x:v>food</x:v>
      </x:c>
      <x:c r="F204" s="18" t="str">
        <x:v>consumer_product</x:v>
      </x:c>
      <x:c r="G204" s="19" t="n">
        <x:v>46221.625</x:v>
      </x:c>
      <x:c r="H204" s="18" t="str"/>
      <x:c r="I204" s="18" t="str">
        <x:v>Y</x:v>
      </x:c>
      <x:c r="J204" s="18" t="str">
        <x:v>Y</x:v>
      </x:c>
      <x:c r="K204" s="18" t="str">
        <x:v>7월3주차 편의점신상 (GS25, CU)에서 구체적인 상품·현상으로 관찰돼 후속 검색·언급 증가 여부를 검증할 후보로 수집했다.</x:v>
      </x:c>
      <x:c r="L204" s="18" t="str">
        <x:v>공개 자료에서 육포깡 관찰</x:v>
      </x:c>
      <x:c r="M204" s="18" t="str">
        <x:v>other</x:v>
      </x:c>
      <x:c r="N204" s="18" t="str">
        <x:v>다먹어라이언</x:v>
      </x:c>
      <x:c r="O204" s="19" t="n">
        <x:v>46221.625</x:v>
      </x:c>
      <x:c r="P204" s="18" t="str">
        <x:v>7월3주차 편의점신상 (GS25, CU)</x:v>
      </x:c>
      <x:c r="Q204" s="18" t="str">
        <x:v>https://v.daum.net/v/66iOCie4d4?f=p</x:v>
      </x:c>
      <x:c r="R204" s="18" t="str">
        <x:v>other</x:v>
      </x:c>
      <x:c r="S204" s="18" t="str">
        <x:v>편의점 신제품리뷰 채널</x:v>
      </x:c>
      <x:c r="T204" s="19" t="n">
        <x:v>46247.625</x:v>
      </x:c>
      <x:c r="U204" s="18" t="str">
        <x:v>편의점 신제품리뷰 공개 목록</x:v>
      </x:c>
      <x:c r="V204" s="18" t="str">
        <x:v>https://v.daum.net/channel/551515/contents</x:v>
      </x:c>
      <x:c r="W204" s="18" t="str">
        <x:v>resolved_excluded</x:v>
      </x:c>
      <x:c r="X204" s="18" t="str">
        <x:v>excluded</x:v>
      </x:c>
      <x:c r="Y204" s="18" t="str">
        <x:v>광고성</x:v>
      </x:c>
      <x:c r="Z204" s="18" t="str"/>
      <x:c r="AA204" s="18" t="str">
        <x:v>단일 신상품 모음 또는 판매성 소개만 확인돼 관심·언급 증가와 다채널 확산을 입증하지 못했다.</x:v>
      </x:c>
    </x:row>
    <x:row r="205">
      <x:c r="A205" s="18" t="n">
        <x:v>202</x:v>
      </x:c>
      <x:c r="B205" s="18" t="str">
        <x:v>kr_202608_candidate_202</x:v>
      </x:c>
      <x:c r="C205" s="18" t="str">
        <x:v>계란꼬마비엔나구이</x:v>
      </x:c>
      <x:c r="D205" s="18" t="str">
        <x:v>[]</x:v>
      </x:c>
      <x:c r="E205" s="18" t="str">
        <x:v>food</x:v>
      </x:c>
      <x:c r="F205" s="18" t="str">
        <x:v>consumer_product</x:v>
      </x:c>
      <x:c r="G205" s="19" t="n">
        <x:v>46221.625</x:v>
      </x:c>
      <x:c r="H205" s="18" t="str"/>
      <x:c r="I205" s="18" t="str">
        <x:v>Y</x:v>
      </x:c>
      <x:c r="J205" s="18" t="str">
        <x:v>Y</x:v>
      </x:c>
      <x:c r="K205" s="18" t="str">
        <x:v>7월3주차 편의점신상 (GS25, CU)에서 구체적인 상품·현상으로 관찰돼 후속 검색·언급 증가 여부를 검증할 후보로 수집했다.</x:v>
      </x:c>
      <x:c r="L205" s="18" t="str">
        <x:v>공개 자료에서 계란꼬마비엔나구이 관찰</x:v>
      </x:c>
      <x:c r="M205" s="18" t="str">
        <x:v>other</x:v>
      </x:c>
      <x:c r="N205" s="18" t="str">
        <x:v>다먹어라이언</x:v>
      </x:c>
      <x:c r="O205" s="19" t="n">
        <x:v>46221.625</x:v>
      </x:c>
      <x:c r="P205" s="18" t="str">
        <x:v>7월3주차 편의점신상 (GS25, CU)</x:v>
      </x:c>
      <x:c r="Q205" s="18" t="str">
        <x:v>https://v.daum.net/v/66iOCie4d4?f=p</x:v>
      </x:c>
      <x:c r="R205" s="18" t="str">
        <x:v>other</x:v>
      </x:c>
      <x:c r="S205" s="18" t="str">
        <x:v>편의점 신제품리뷰 채널</x:v>
      </x:c>
      <x:c r="T205" s="19" t="n">
        <x:v>46247.625</x:v>
      </x:c>
      <x:c r="U205" s="18" t="str">
        <x:v>편의점 신제품리뷰 공개 목록</x:v>
      </x:c>
      <x:c r="V205" s="18" t="str">
        <x:v>https://v.daum.net/channel/551515/contents</x:v>
      </x:c>
      <x:c r="W205" s="18" t="str">
        <x:v>resolved_excluded</x:v>
      </x:c>
      <x:c r="X205" s="18" t="str">
        <x:v>excluded</x:v>
      </x:c>
      <x:c r="Y205" s="18" t="str">
        <x:v>광고성</x:v>
      </x:c>
      <x:c r="Z205" s="18" t="str"/>
      <x:c r="AA205" s="18" t="str">
        <x:v>단일 신상품 모음 또는 판매성 소개만 확인돼 관심·언급 증가와 다채널 확산을 입증하지 못했다.</x:v>
      </x:c>
    </x:row>
    <x:row r="206">
      <x:c r="A206" s="18" t="n">
        <x:v>203</x:v>
      </x:c>
      <x:c r="B206" s="18" t="str">
        <x:v>kr_202608_candidate_203</x:v>
      </x:c>
      <x:c r="C206" s="18" t="str">
        <x:v>로열라면컵</x:v>
      </x:c>
      <x:c r="D206" s="18" t="str">
        <x:v>[]</x:v>
      </x:c>
      <x:c r="E206" s="18" t="str">
        <x:v>food</x:v>
      </x:c>
      <x:c r="F206" s="18" t="str">
        <x:v>consumer_product</x:v>
      </x:c>
      <x:c r="G206" s="19" t="n">
        <x:v>46221.625</x:v>
      </x:c>
      <x:c r="H206" s="18" t="str"/>
      <x:c r="I206" s="18" t="str">
        <x:v>Y</x:v>
      </x:c>
      <x:c r="J206" s="18" t="str">
        <x:v>Y</x:v>
      </x:c>
      <x:c r="K206" s="18" t="str">
        <x:v>7월3주차 편의점신상 (GS25, CU)에서 구체적인 상품·현상으로 관찰돼 후속 검색·언급 증가 여부를 검증할 후보로 수집했다.</x:v>
      </x:c>
      <x:c r="L206" s="18" t="str">
        <x:v>공개 자료에서 로열라면컵 관찰</x:v>
      </x:c>
      <x:c r="M206" s="18" t="str">
        <x:v>other</x:v>
      </x:c>
      <x:c r="N206" s="18" t="str">
        <x:v>다먹어라이언</x:v>
      </x:c>
      <x:c r="O206" s="19" t="n">
        <x:v>46221.625</x:v>
      </x:c>
      <x:c r="P206" s="18" t="str">
        <x:v>7월3주차 편의점신상 (GS25, CU)</x:v>
      </x:c>
      <x:c r="Q206" s="18" t="str">
        <x:v>https://v.daum.net/v/66iOCie4d4?f=p</x:v>
      </x:c>
      <x:c r="R206" s="18" t="str">
        <x:v>other</x:v>
      </x:c>
      <x:c r="S206" s="18" t="str">
        <x:v>편의점 신제품리뷰 채널</x:v>
      </x:c>
      <x:c r="T206" s="19" t="n">
        <x:v>46247.625</x:v>
      </x:c>
      <x:c r="U206" s="18" t="str">
        <x:v>편의점 신제품리뷰 공개 목록</x:v>
      </x:c>
      <x:c r="V206" s="18" t="str">
        <x:v>https://v.daum.net/channel/551515/contents</x:v>
      </x:c>
      <x:c r="W206" s="18" t="str">
        <x:v>resolved_excluded</x:v>
      </x:c>
      <x:c r="X206" s="18" t="str">
        <x:v>excluded</x:v>
      </x:c>
      <x:c r="Y206" s="18" t="str">
        <x:v>광고성</x:v>
      </x:c>
      <x:c r="Z206" s="18" t="str"/>
      <x:c r="AA206" s="18" t="str">
        <x:v>단일 신상품 모음 또는 판매성 소개만 확인돼 관심·언급 증가와 다채널 확산을 입증하지 못했다.</x:v>
      </x:c>
    </x:row>
    <x:row r="207">
      <x:c r="A207" s="18" t="n">
        <x:v>204</x:v>
      </x:c>
      <x:c r="B207" s="18" t="str">
        <x:v>kr_202608_candidate_204</x:v>
      </x:c>
      <x:c r="C207" s="18" t="str">
        <x:v>스파클링 파인</x:v>
      </x:c>
      <x:c r="D207" s="18" t="str">
        <x:v>[]</x:v>
      </x:c>
      <x:c r="E207" s="18" t="str">
        <x:v>food</x:v>
      </x:c>
      <x:c r="F207" s="18" t="str">
        <x:v>consumer_product</x:v>
      </x:c>
      <x:c r="G207" s="19" t="n">
        <x:v>46221.625</x:v>
      </x:c>
      <x:c r="H207" s="18" t="str"/>
      <x:c r="I207" s="18" t="str">
        <x:v>Y</x:v>
      </x:c>
      <x:c r="J207" s="18" t="str">
        <x:v>Y</x:v>
      </x:c>
      <x:c r="K207" s="18" t="str">
        <x:v>7월3주차 편의점신상 (GS25, CU)에서 구체적인 상품·현상으로 관찰돼 후속 검색·언급 증가 여부를 검증할 후보로 수집했다.</x:v>
      </x:c>
      <x:c r="L207" s="18" t="str">
        <x:v>공개 자료에서 스파클링 파인 관찰</x:v>
      </x:c>
      <x:c r="M207" s="18" t="str">
        <x:v>other</x:v>
      </x:c>
      <x:c r="N207" s="18" t="str">
        <x:v>다먹어라이언</x:v>
      </x:c>
      <x:c r="O207" s="19" t="n">
        <x:v>46221.625</x:v>
      </x:c>
      <x:c r="P207" s="18" t="str">
        <x:v>7월3주차 편의점신상 (GS25, CU)</x:v>
      </x:c>
      <x:c r="Q207" s="18" t="str">
        <x:v>https://v.daum.net/v/66iOCie4d4?f=p</x:v>
      </x:c>
      <x:c r="R207" s="18" t="str">
        <x:v>other</x:v>
      </x:c>
      <x:c r="S207" s="18" t="str">
        <x:v>편의점 신제품리뷰 채널</x:v>
      </x:c>
      <x:c r="T207" s="19" t="n">
        <x:v>46247.625</x:v>
      </x:c>
      <x:c r="U207" s="18" t="str">
        <x:v>편의점 신제품리뷰 공개 목록</x:v>
      </x:c>
      <x:c r="V207" s="18" t="str">
        <x:v>https://v.daum.net/channel/551515/contents</x:v>
      </x:c>
      <x:c r="W207" s="18" t="str">
        <x:v>resolved_excluded</x:v>
      </x:c>
      <x:c r="X207" s="18" t="str">
        <x:v>excluded</x:v>
      </x:c>
      <x:c r="Y207" s="18" t="str">
        <x:v>광고성</x:v>
      </x:c>
      <x:c r="Z207" s="18" t="str"/>
      <x:c r="AA207" s="18" t="str">
        <x:v>단일 신상품 모음 또는 판매성 소개만 확인돼 관심·언급 증가와 다채널 확산을 입증하지 못했다.</x:v>
      </x:c>
    </x:row>
    <x:row r="208">
      <x:c r="A208" s="18" t="n">
        <x:v>205</x:v>
      </x:c>
      <x:c r="B208" s="18" t="str">
        <x:v>kr_202608_candidate_205</x:v>
      </x:c>
      <x:c r="C208" s="18" t="str">
        <x:v>꿀밤햇살</x:v>
      </x:c>
      <x:c r="D208" s="18" t="str">
        <x:v>[]</x:v>
      </x:c>
      <x:c r="E208" s="18" t="str">
        <x:v>food</x:v>
      </x:c>
      <x:c r="F208" s="18" t="str">
        <x:v>consumer_product</x:v>
      </x:c>
      <x:c r="G208" s="19" t="n">
        <x:v>46221.625</x:v>
      </x:c>
      <x:c r="H208" s="18" t="str"/>
      <x:c r="I208" s="18" t="str">
        <x:v>Y</x:v>
      </x:c>
      <x:c r="J208" s="18" t="str">
        <x:v>Y</x:v>
      </x:c>
      <x:c r="K208" s="18" t="str">
        <x:v>7월3주차 편의점신상 (GS25, CU)에서 구체적인 상품·현상으로 관찰돼 후속 검색·언급 증가 여부를 검증할 후보로 수집했다.</x:v>
      </x:c>
      <x:c r="L208" s="18" t="str">
        <x:v>공개 자료에서 꿀밤햇살 관찰</x:v>
      </x:c>
      <x:c r="M208" s="18" t="str">
        <x:v>other</x:v>
      </x:c>
      <x:c r="N208" s="18" t="str">
        <x:v>다먹어라이언</x:v>
      </x:c>
      <x:c r="O208" s="19" t="n">
        <x:v>46221.625</x:v>
      </x:c>
      <x:c r="P208" s="18" t="str">
        <x:v>7월3주차 편의점신상 (GS25, CU)</x:v>
      </x:c>
      <x:c r="Q208" s="18" t="str">
        <x:v>https://v.daum.net/v/66iOCie4d4?f=p</x:v>
      </x:c>
      <x:c r="R208" s="18" t="str">
        <x:v>other</x:v>
      </x:c>
      <x:c r="S208" s="18" t="str">
        <x:v>편의점 신제품리뷰 채널</x:v>
      </x:c>
      <x:c r="T208" s="19" t="n">
        <x:v>46247.625</x:v>
      </x:c>
      <x:c r="U208" s="18" t="str">
        <x:v>편의점 신제품리뷰 공개 목록</x:v>
      </x:c>
      <x:c r="V208" s="18" t="str">
        <x:v>https://v.daum.net/channel/551515/contents</x:v>
      </x:c>
      <x:c r="W208" s="18" t="str">
        <x:v>resolved_excluded</x:v>
      </x:c>
      <x:c r="X208" s="18" t="str">
        <x:v>excluded</x:v>
      </x:c>
      <x:c r="Y208" s="18" t="str">
        <x:v>광고성</x:v>
      </x:c>
      <x:c r="Z208" s="18" t="str"/>
      <x:c r="AA208" s="18" t="str">
        <x:v>단일 신상품 모음 또는 판매성 소개만 확인돼 관심·언급 증가와 다채널 확산을 입증하지 못했다.</x:v>
      </x:c>
    </x:row>
    <x:row r="209">
      <x:c r="A209" s="18" t="n">
        <x:v>206</x:v>
      </x:c>
      <x:c r="B209" s="18" t="str">
        <x:v>kr_202608_candidate_206</x:v>
      </x:c>
      <x:c r="C209" s="18" t="str">
        <x:v>붉은매실</x:v>
      </x:c>
      <x:c r="D209" s="18" t="str">
        <x:v>[]</x:v>
      </x:c>
      <x:c r="E209" s="18" t="str">
        <x:v>food</x:v>
      </x:c>
      <x:c r="F209" s="18" t="str">
        <x:v>consumer_product</x:v>
      </x:c>
      <x:c r="G209" s="19" t="n">
        <x:v>46221.625</x:v>
      </x:c>
      <x:c r="H209" s="18" t="str"/>
      <x:c r="I209" s="18" t="str">
        <x:v>Y</x:v>
      </x:c>
      <x:c r="J209" s="18" t="str">
        <x:v>Y</x:v>
      </x:c>
      <x:c r="K209" s="18" t="str">
        <x:v>7월3주차 편의점신상 (GS25, CU)에서 구체적인 상품·현상으로 관찰돼 후속 검색·언급 증가 여부를 검증할 후보로 수집했다.</x:v>
      </x:c>
      <x:c r="L209" s="18" t="str">
        <x:v>공개 자료에서 붉은매실 관찰</x:v>
      </x:c>
      <x:c r="M209" s="18" t="str">
        <x:v>other</x:v>
      </x:c>
      <x:c r="N209" s="18" t="str">
        <x:v>다먹어라이언</x:v>
      </x:c>
      <x:c r="O209" s="19" t="n">
        <x:v>46221.625</x:v>
      </x:c>
      <x:c r="P209" s="18" t="str">
        <x:v>7월3주차 편의점신상 (GS25, CU)</x:v>
      </x:c>
      <x:c r="Q209" s="18" t="str">
        <x:v>https://v.daum.net/v/66iOCie4d4?f=p</x:v>
      </x:c>
      <x:c r="R209" s="18" t="str">
        <x:v>other</x:v>
      </x:c>
      <x:c r="S209" s="18" t="str">
        <x:v>편의점 신제품리뷰 채널</x:v>
      </x:c>
      <x:c r="T209" s="19" t="n">
        <x:v>46247.625</x:v>
      </x:c>
      <x:c r="U209" s="18" t="str">
        <x:v>편의점 신제품리뷰 공개 목록</x:v>
      </x:c>
      <x:c r="V209" s="18" t="str">
        <x:v>https://v.daum.net/channel/551515/contents</x:v>
      </x:c>
      <x:c r="W209" s="18" t="str">
        <x:v>resolved_excluded</x:v>
      </x:c>
      <x:c r="X209" s="18" t="str">
        <x:v>excluded</x:v>
      </x:c>
      <x:c r="Y209" s="18" t="str">
        <x:v>광고성</x:v>
      </x:c>
      <x:c r="Z209" s="18" t="str"/>
      <x:c r="AA209" s="18" t="str">
        <x:v>단일 신상품 모음 또는 판매성 소개만 확인돼 관심·언급 증가와 다채널 확산을 입증하지 못했다.</x:v>
      </x:c>
    </x:row>
    <x:row r="210">
      <x:c r="A210" s="18" t="n">
        <x:v>207</x:v>
      </x:c>
      <x:c r="B210" s="18" t="str">
        <x:v>kr_202608_candidate_207</x:v>
      </x:c>
      <x:c r="C210" s="18" t="str">
        <x:v>비쵸비 말차쇼콜라</x:v>
      </x:c>
      <x:c r="D210" s="18" t="str">
        <x:v>[]</x:v>
      </x:c>
      <x:c r="E210" s="18" t="str">
        <x:v>food</x:v>
      </x:c>
      <x:c r="F210" s="18" t="str">
        <x:v>consumer_product</x:v>
      </x:c>
      <x:c r="G210" s="19" t="n">
        <x:v>46221.625</x:v>
      </x:c>
      <x:c r="H210" s="18" t="str"/>
      <x:c r="I210" s="18" t="str">
        <x:v>Y</x:v>
      </x:c>
      <x:c r="J210" s="18" t="str">
        <x:v>Y</x:v>
      </x:c>
      <x:c r="K210" s="18" t="str">
        <x:v>7월3주차 편의점신상 (GS25, CU)에서 구체적인 상품·현상으로 관찰돼 후속 검색·언급 증가 여부를 검증할 후보로 수집했다.</x:v>
      </x:c>
      <x:c r="L210" s="18" t="str">
        <x:v>공개 자료에서 비쵸비 말차쇼콜라 관찰</x:v>
      </x:c>
      <x:c r="M210" s="18" t="str">
        <x:v>other</x:v>
      </x:c>
      <x:c r="N210" s="18" t="str">
        <x:v>다먹어라이언</x:v>
      </x:c>
      <x:c r="O210" s="19" t="n">
        <x:v>46221.625</x:v>
      </x:c>
      <x:c r="P210" s="18" t="str">
        <x:v>7월3주차 편의점신상 (GS25, CU)</x:v>
      </x:c>
      <x:c r="Q210" s="18" t="str">
        <x:v>https://v.daum.net/v/66iOCie4d4?f=p</x:v>
      </x:c>
      <x:c r="R210" s="18" t="str">
        <x:v>other</x:v>
      </x:c>
      <x:c r="S210" s="18" t="str">
        <x:v>편의점 신제품리뷰 채널</x:v>
      </x:c>
      <x:c r="T210" s="19" t="n">
        <x:v>46247.625</x:v>
      </x:c>
      <x:c r="U210" s="18" t="str">
        <x:v>편의점 신제품리뷰 공개 목록</x:v>
      </x:c>
      <x:c r="V210" s="18" t="str">
        <x:v>https://v.daum.net/channel/551515/contents</x:v>
      </x:c>
      <x:c r="W210" s="18" t="str">
        <x:v>resolved_excluded</x:v>
      </x:c>
      <x:c r="X210" s="18" t="str">
        <x:v>excluded</x:v>
      </x:c>
      <x:c r="Y210" s="18" t="str">
        <x:v>광고성</x:v>
      </x:c>
      <x:c r="Z210" s="18" t="str"/>
      <x:c r="AA210" s="18" t="str">
        <x:v>단일 신상품 모음 또는 판매성 소개만 확인돼 관심·언급 증가와 다채널 확산을 입증하지 못했다.</x:v>
      </x:c>
    </x:row>
    <x:row r="211">
      <x:c r="A211" s="18" t="n">
        <x:v>208</x:v>
      </x:c>
      <x:c r="B211" s="18" t="str">
        <x:v>kr_202608_candidate_208</x:v>
      </x:c>
      <x:c r="C211" s="18" t="str">
        <x:v>오리지널카스타드 피넛버터맛</x:v>
      </x:c>
      <x:c r="D211" s="18" t="str">
        <x:v>[]</x:v>
      </x:c>
      <x:c r="E211" s="18" t="str">
        <x:v>food</x:v>
      </x:c>
      <x:c r="F211" s="18" t="str">
        <x:v>consumer_product</x:v>
      </x:c>
      <x:c r="G211" s="19" t="n">
        <x:v>46221.625</x:v>
      </x:c>
      <x:c r="H211" s="18" t="str"/>
      <x:c r="I211" s="18" t="str">
        <x:v>Y</x:v>
      </x:c>
      <x:c r="J211" s="18" t="str">
        <x:v>Y</x:v>
      </x:c>
      <x:c r="K211" s="18" t="str">
        <x:v>7월3주차 편의점신상 (GS25, CU)에서 구체적인 상품·현상으로 관찰돼 후속 검색·언급 증가 여부를 검증할 후보로 수집했다.</x:v>
      </x:c>
      <x:c r="L211" s="18" t="str">
        <x:v>공개 자료에서 오리지널카스타드 피넛버터맛 관찰</x:v>
      </x:c>
      <x:c r="M211" s="18" t="str">
        <x:v>other</x:v>
      </x:c>
      <x:c r="N211" s="18" t="str">
        <x:v>다먹어라이언</x:v>
      </x:c>
      <x:c r="O211" s="19" t="n">
        <x:v>46221.625</x:v>
      </x:c>
      <x:c r="P211" s="18" t="str">
        <x:v>7월3주차 편의점신상 (GS25, CU)</x:v>
      </x:c>
      <x:c r="Q211" s="18" t="str">
        <x:v>https://v.daum.net/v/66iOCie4d4?f=p</x:v>
      </x:c>
      <x:c r="R211" s="18" t="str">
        <x:v>other</x:v>
      </x:c>
      <x:c r="S211" s="18" t="str">
        <x:v>편의점 신제품리뷰 채널</x:v>
      </x:c>
      <x:c r="T211" s="19" t="n">
        <x:v>46247.625</x:v>
      </x:c>
      <x:c r="U211" s="18" t="str">
        <x:v>편의점 신제품리뷰 공개 목록</x:v>
      </x:c>
      <x:c r="V211" s="18" t="str">
        <x:v>https://v.daum.net/channel/551515/contents</x:v>
      </x:c>
      <x:c r="W211" s="18" t="str">
        <x:v>resolved_excluded</x:v>
      </x:c>
      <x:c r="X211" s="18" t="str">
        <x:v>excluded</x:v>
      </x:c>
      <x:c r="Y211" s="18" t="str">
        <x:v>광고성</x:v>
      </x:c>
      <x:c r="Z211" s="18" t="str"/>
      <x:c r="AA211" s="18" t="str">
        <x:v>단일 신상품 모음 또는 판매성 소개만 확인돼 관심·언급 증가와 다채널 확산을 입증하지 못했다.</x:v>
      </x:c>
    </x:row>
    <x:row r="212">
      <x:c r="A212" s="18" t="n">
        <x:v>209</x:v>
      </x:c>
      <x:c r="B212" s="18" t="str">
        <x:v>kr_202608_candidate_209</x:v>
      </x:c>
      <x:c r="C212" s="18" t="str">
        <x:v>초면왕 칠리소스맛</x:v>
      </x:c>
      <x:c r="D212" s="18" t="str">
        <x:v>[]</x:v>
      </x:c>
      <x:c r="E212" s="18" t="str">
        <x:v>food</x:v>
      </x:c>
      <x:c r="F212" s="18" t="str">
        <x:v>consumer_product</x:v>
      </x:c>
      <x:c r="G212" s="19" t="n">
        <x:v>46221.625</x:v>
      </x:c>
      <x:c r="H212" s="18" t="str"/>
      <x:c r="I212" s="18" t="str">
        <x:v>Y</x:v>
      </x:c>
      <x:c r="J212" s="18" t="str">
        <x:v>Y</x:v>
      </x:c>
      <x:c r="K212" s="18" t="str">
        <x:v>7월3주차 편의점신상 (GS25, CU)에서 구체적인 상품·현상으로 관찰돼 후속 검색·언급 증가 여부를 검증할 후보로 수집했다.</x:v>
      </x:c>
      <x:c r="L212" s="18" t="str">
        <x:v>공개 자료에서 초면왕 칠리소스맛 관찰</x:v>
      </x:c>
      <x:c r="M212" s="18" t="str">
        <x:v>other</x:v>
      </x:c>
      <x:c r="N212" s="18" t="str">
        <x:v>다먹어라이언</x:v>
      </x:c>
      <x:c r="O212" s="19" t="n">
        <x:v>46221.625</x:v>
      </x:c>
      <x:c r="P212" s="18" t="str">
        <x:v>7월3주차 편의점신상 (GS25, CU)</x:v>
      </x:c>
      <x:c r="Q212" s="18" t="str">
        <x:v>https://v.daum.net/v/66iOCie4d4?f=p</x:v>
      </x:c>
      <x:c r="R212" s="18" t="str">
        <x:v>other</x:v>
      </x:c>
      <x:c r="S212" s="18" t="str">
        <x:v>편의점 신제품리뷰 채널</x:v>
      </x:c>
      <x:c r="T212" s="19" t="n">
        <x:v>46247.625</x:v>
      </x:c>
      <x:c r="U212" s="18" t="str">
        <x:v>편의점 신제품리뷰 공개 목록</x:v>
      </x:c>
      <x:c r="V212" s="18" t="str">
        <x:v>https://v.daum.net/channel/551515/contents</x:v>
      </x:c>
      <x:c r="W212" s="18" t="str">
        <x:v>resolved_excluded</x:v>
      </x:c>
      <x:c r="X212" s="18" t="str">
        <x:v>excluded</x:v>
      </x:c>
      <x:c r="Y212" s="18" t="str">
        <x:v>광고성</x:v>
      </x:c>
      <x:c r="Z212" s="18" t="str"/>
      <x:c r="AA212" s="18" t="str">
        <x:v>단일 신상품 모음 또는 판매성 소개만 확인돼 관심·언급 증가와 다채널 확산을 입증하지 못했다.</x:v>
      </x:c>
    </x:row>
    <x:row r="213">
      <x:c r="A213" s="18" t="n">
        <x:v>210</x:v>
      </x:c>
      <x:c r="B213" s="18" t="str">
        <x:v>kr_202608_candidate_210</x:v>
      </x:c>
      <x:c r="C213" s="18" t="str">
        <x:v>초면왕 굴소스맛</x:v>
      </x:c>
      <x:c r="D213" s="18" t="str">
        <x:v>[]</x:v>
      </x:c>
      <x:c r="E213" s="18" t="str">
        <x:v>food</x:v>
      </x:c>
      <x:c r="F213" s="18" t="str">
        <x:v>consumer_product</x:v>
      </x:c>
      <x:c r="G213" s="19" t="n">
        <x:v>46221.625</x:v>
      </x:c>
      <x:c r="H213" s="18" t="str"/>
      <x:c r="I213" s="18" t="str">
        <x:v>Y</x:v>
      </x:c>
      <x:c r="J213" s="18" t="str">
        <x:v>Y</x:v>
      </x:c>
      <x:c r="K213" s="18" t="str">
        <x:v>7월3주차 편의점신상 (GS25, CU)에서 구체적인 상품·현상으로 관찰돼 후속 검색·언급 증가 여부를 검증할 후보로 수집했다.</x:v>
      </x:c>
      <x:c r="L213" s="18" t="str">
        <x:v>공개 자료에서 초면왕 굴소스맛 관찰</x:v>
      </x:c>
      <x:c r="M213" s="18" t="str">
        <x:v>other</x:v>
      </x:c>
      <x:c r="N213" s="18" t="str">
        <x:v>다먹어라이언</x:v>
      </x:c>
      <x:c r="O213" s="19" t="n">
        <x:v>46221.625</x:v>
      </x:c>
      <x:c r="P213" s="18" t="str">
        <x:v>7월3주차 편의점신상 (GS25, CU)</x:v>
      </x:c>
      <x:c r="Q213" s="18" t="str">
        <x:v>https://v.daum.net/v/66iOCie4d4?f=p</x:v>
      </x:c>
      <x:c r="R213" s="18" t="str">
        <x:v>other</x:v>
      </x:c>
      <x:c r="S213" s="18" t="str">
        <x:v>편의점 신제품리뷰 채널</x:v>
      </x:c>
      <x:c r="T213" s="19" t="n">
        <x:v>46247.625</x:v>
      </x:c>
      <x:c r="U213" s="18" t="str">
        <x:v>편의점 신제품리뷰 공개 목록</x:v>
      </x:c>
      <x:c r="V213" s="18" t="str">
        <x:v>https://v.daum.net/channel/551515/contents</x:v>
      </x:c>
      <x:c r="W213" s="18" t="str">
        <x:v>resolved_excluded</x:v>
      </x:c>
      <x:c r="X213" s="18" t="str">
        <x:v>excluded</x:v>
      </x:c>
      <x:c r="Y213" s="18" t="str">
        <x:v>광고성</x:v>
      </x:c>
      <x:c r="Z213" s="18" t="str"/>
      <x:c r="AA213" s="18" t="str">
        <x:v>단일 신상품 모음 또는 판매성 소개만 확인돼 관심·언급 증가와 다채널 확산을 입증하지 못했다.</x:v>
      </x:c>
    </x:row>
    <x:row r="214">
      <x:c r="A214" s="18" t="n">
        <x:v>211</x:v>
      </x:c>
      <x:c r="B214" s="18" t="str">
        <x:v>kr_202608_candidate_211</x:v>
      </x:c>
      <x:c r="C214" s="18" t="str">
        <x:v>생생감자칩 황치즈버터맛</x:v>
      </x:c>
      <x:c r="D214" s="18" t="str">
        <x:v>[]</x:v>
      </x:c>
      <x:c r="E214" s="18" t="str">
        <x:v>food</x:v>
      </x:c>
      <x:c r="F214" s="18" t="str">
        <x:v>consumer_product</x:v>
      </x:c>
      <x:c r="G214" s="19" t="n">
        <x:v>46221.625</x:v>
      </x:c>
      <x:c r="H214" s="18" t="str"/>
      <x:c r="I214" s="18" t="str">
        <x:v>Y</x:v>
      </x:c>
      <x:c r="J214" s="18" t="str">
        <x:v>Y</x:v>
      </x:c>
      <x:c r="K214" s="18" t="str">
        <x:v>7월3주차 편의점신상 (GS25, CU)에서 구체적인 상품·현상으로 관찰돼 후속 검색·언급 증가 여부를 검증할 후보로 수집했다.</x:v>
      </x:c>
      <x:c r="L214" s="18" t="str">
        <x:v>공개 자료에서 생생감자칩 황치즈버터맛 관찰</x:v>
      </x:c>
      <x:c r="M214" s="18" t="str">
        <x:v>other</x:v>
      </x:c>
      <x:c r="N214" s="18" t="str">
        <x:v>다먹어라이언</x:v>
      </x:c>
      <x:c r="O214" s="19" t="n">
        <x:v>46221.625</x:v>
      </x:c>
      <x:c r="P214" s="18" t="str">
        <x:v>7월3주차 편의점신상 (GS25, CU)</x:v>
      </x:c>
      <x:c r="Q214" s="18" t="str">
        <x:v>https://v.daum.net/v/66iOCie4d4?f=p</x:v>
      </x:c>
      <x:c r="R214" s="18" t="str">
        <x:v>other</x:v>
      </x:c>
      <x:c r="S214" s="18" t="str">
        <x:v>편의점 신제품리뷰 채널</x:v>
      </x:c>
      <x:c r="T214" s="19" t="n">
        <x:v>46247.625</x:v>
      </x:c>
      <x:c r="U214" s="18" t="str">
        <x:v>편의점 신제품리뷰 공개 목록</x:v>
      </x:c>
      <x:c r="V214" s="18" t="str">
        <x:v>https://v.daum.net/channel/551515/contents</x:v>
      </x:c>
      <x:c r="W214" s="18" t="str">
        <x:v>resolved_merged</x:v>
      </x:c>
      <x:c r="X214" s="18" t="str">
        <x:v>merged</x:v>
      </x:c>
      <x:c r="Y214" s="18" t="str"/>
      <x:c r="Z214" s="18" t="str">
        <x:v>kr_202607_yellow_cheese_chip</x:v>
      </x:c>
      <x:c r="AA214" s="18" t="str">
        <x:v>검증된 상위 트렌드의 제품·표현 변형으로 병합했다.</x:v>
      </x:c>
    </x:row>
    <x:row r="215">
      <x:c r="A215" s="18" t="n">
        <x:v>212</x:v>
      </x:c>
      <x:c r="B215" s="18" t="str">
        <x:v>kr_202608_candidate_212</x:v>
      </x:c>
      <x:c r="C215" s="18" t="str">
        <x:v>쫀득초코칩 황치즈맛</x:v>
      </x:c>
      <x:c r="D215" s="18" t="str">
        <x:v>[]</x:v>
      </x:c>
      <x:c r="E215" s="18" t="str">
        <x:v>food</x:v>
      </x:c>
      <x:c r="F215" s="18" t="str">
        <x:v>consumer_product</x:v>
      </x:c>
      <x:c r="G215" s="19" t="n">
        <x:v>46221.625</x:v>
      </x:c>
      <x:c r="H215" s="18" t="str"/>
      <x:c r="I215" s="18" t="str">
        <x:v>Y</x:v>
      </x:c>
      <x:c r="J215" s="18" t="str">
        <x:v>Y</x:v>
      </x:c>
      <x:c r="K215" s="18" t="str">
        <x:v>7월3주차 편의점신상 (GS25, CU)에서 구체적인 상품·현상으로 관찰돼 후속 검색·언급 증가 여부를 검증할 후보로 수집했다.</x:v>
      </x:c>
      <x:c r="L215" s="18" t="str">
        <x:v>공개 자료에서 쫀득초코칩 황치즈맛 관찰</x:v>
      </x:c>
      <x:c r="M215" s="18" t="str">
        <x:v>other</x:v>
      </x:c>
      <x:c r="N215" s="18" t="str">
        <x:v>다먹어라이언</x:v>
      </x:c>
      <x:c r="O215" s="19" t="n">
        <x:v>46221.625</x:v>
      </x:c>
      <x:c r="P215" s="18" t="str">
        <x:v>7월3주차 편의점신상 (GS25, CU)</x:v>
      </x:c>
      <x:c r="Q215" s="18" t="str">
        <x:v>https://v.daum.net/v/66iOCie4d4?f=p</x:v>
      </x:c>
      <x:c r="R215" s="18" t="str">
        <x:v>other</x:v>
      </x:c>
      <x:c r="S215" s="18" t="str">
        <x:v>편의점 신제품리뷰 채널</x:v>
      </x:c>
      <x:c r="T215" s="19" t="n">
        <x:v>46247.625</x:v>
      </x:c>
      <x:c r="U215" s="18" t="str">
        <x:v>편의점 신제품리뷰 공개 목록</x:v>
      </x:c>
      <x:c r="V215" s="18" t="str">
        <x:v>https://v.daum.net/channel/551515/contents</x:v>
      </x:c>
      <x:c r="W215" s="18" t="str">
        <x:v>resolved_merged</x:v>
      </x:c>
      <x:c r="X215" s="18" t="str">
        <x:v>merged</x:v>
      </x:c>
      <x:c r="Y215" s="18" t="str"/>
      <x:c r="Z215" s="18" t="str">
        <x:v>kr_202607_yellow_cheese_chip</x:v>
      </x:c>
      <x:c r="AA215" s="18" t="str">
        <x:v>검증된 상위 트렌드의 제품·표현 변형으로 병합했다.</x:v>
      </x:c>
    </x:row>
    <x:row r="216">
      <x:c r="A216" s="18" t="n">
        <x:v>213</x:v>
      </x:c>
      <x:c r="B216" s="18" t="str">
        <x:v>kr_202608_candidate_213</x:v>
      </x:c>
      <x:c r="C216" s="18" t="str">
        <x:v>젤리톨</x:v>
      </x:c>
      <x:c r="D216" s="18" t="str">
        <x:v>[]</x:v>
      </x:c>
      <x:c r="E216" s="18" t="str">
        <x:v>food</x:v>
      </x:c>
      <x:c r="F216" s="18" t="str">
        <x:v>consumer_product</x:v>
      </x:c>
      <x:c r="G216" s="19" t="n">
        <x:v>46221.625</x:v>
      </x:c>
      <x:c r="H216" s="18" t="str"/>
      <x:c r="I216" s="18" t="str">
        <x:v>Y</x:v>
      </x:c>
      <x:c r="J216" s="18" t="str">
        <x:v>Y</x:v>
      </x:c>
      <x:c r="K216" s="18" t="str">
        <x:v>7월3주차 편의점신상 (GS25, CU)에서 구체적인 상품·현상으로 관찰돼 후속 검색·언급 증가 여부를 검증할 후보로 수집했다.</x:v>
      </x:c>
      <x:c r="L216" s="18" t="str">
        <x:v>공개 자료에서 젤리톨 관찰</x:v>
      </x:c>
      <x:c r="M216" s="18" t="str">
        <x:v>other</x:v>
      </x:c>
      <x:c r="N216" s="18" t="str">
        <x:v>다먹어라이언</x:v>
      </x:c>
      <x:c r="O216" s="19" t="n">
        <x:v>46221.625</x:v>
      </x:c>
      <x:c r="P216" s="18" t="str">
        <x:v>7월3주차 편의점신상 (GS25, CU)</x:v>
      </x:c>
      <x:c r="Q216" s="18" t="str">
        <x:v>https://v.daum.net/v/66iOCie4d4?f=p</x:v>
      </x:c>
      <x:c r="R216" s="18" t="str">
        <x:v>other</x:v>
      </x:c>
      <x:c r="S216" s="18" t="str">
        <x:v>편의점 신제품리뷰 채널</x:v>
      </x:c>
      <x:c r="T216" s="19" t="n">
        <x:v>46247.625</x:v>
      </x:c>
      <x:c r="U216" s="18" t="str">
        <x:v>편의점 신제품리뷰 공개 목록</x:v>
      </x:c>
      <x:c r="V216" s="18" t="str">
        <x:v>https://v.daum.net/channel/551515/contents</x:v>
      </x:c>
      <x:c r="W216" s="18" t="str">
        <x:v>resolved_excluded</x:v>
      </x:c>
      <x:c r="X216" s="18" t="str">
        <x:v>excluded</x:v>
      </x:c>
      <x:c r="Y216" s="18" t="str">
        <x:v>광고성</x:v>
      </x:c>
      <x:c r="Z216" s="18" t="str"/>
      <x:c r="AA216" s="18" t="str">
        <x:v>단일 신상품 모음 또는 판매성 소개만 확인돼 관심·언급 증가와 다채널 확산을 입증하지 못했다.</x:v>
      </x:c>
    </x:row>
    <x:row r="217">
      <x:c r="A217" s="18" t="n">
        <x:v>214</x:v>
      </x:c>
      <x:c r="B217" s="18" t="str">
        <x:v>kr_202608_candidate_214</x:v>
      </x:c>
      <x:c r="C217" s="18" t="str">
        <x:v>영양부추오리김밥</x:v>
      </x:c>
      <x:c r="D217" s="18" t="str">
        <x:v>[]</x:v>
      </x:c>
      <x:c r="E217" s="18" t="str">
        <x:v>food</x:v>
      </x:c>
      <x:c r="F217" s="18" t="str">
        <x:v>consumer_product</x:v>
      </x:c>
      <x:c r="G217" s="19" t="n">
        <x:v>46221.625</x:v>
      </x:c>
      <x:c r="H217" s="18" t="str"/>
      <x:c r="I217" s="18" t="str">
        <x:v>Y</x:v>
      </x:c>
      <x:c r="J217" s="18" t="str">
        <x:v>Y</x:v>
      </x:c>
      <x:c r="K217" s="18" t="str">
        <x:v>7월3주차 편의점신상 (GS25, CU)에서 구체적인 상품·현상으로 관찰돼 후속 검색·언급 증가 여부를 검증할 후보로 수집했다.</x:v>
      </x:c>
      <x:c r="L217" s="18" t="str">
        <x:v>공개 자료에서 영양부추오리김밥 관찰</x:v>
      </x:c>
      <x:c r="M217" s="18" t="str">
        <x:v>other</x:v>
      </x:c>
      <x:c r="N217" s="18" t="str">
        <x:v>다먹어라이언</x:v>
      </x:c>
      <x:c r="O217" s="19" t="n">
        <x:v>46221.625</x:v>
      </x:c>
      <x:c r="P217" s="18" t="str">
        <x:v>7월3주차 편의점신상 (GS25, CU)</x:v>
      </x:c>
      <x:c r="Q217" s="18" t="str">
        <x:v>https://v.daum.net/v/66iOCie4d4?f=p</x:v>
      </x:c>
      <x:c r="R217" s="18" t="str">
        <x:v>other</x:v>
      </x:c>
      <x:c r="S217" s="18" t="str">
        <x:v>편의점 신제품리뷰 채널</x:v>
      </x:c>
      <x:c r="T217" s="19" t="n">
        <x:v>46247.625</x:v>
      </x:c>
      <x:c r="U217" s="18" t="str">
        <x:v>편의점 신제품리뷰 공개 목록</x:v>
      </x:c>
      <x:c r="V217" s="18" t="str">
        <x:v>https://v.daum.net/channel/551515/contents</x:v>
      </x:c>
      <x:c r="W217" s="18" t="str">
        <x:v>resolved_excluded</x:v>
      </x:c>
      <x:c r="X217" s="18" t="str">
        <x:v>excluded</x:v>
      </x:c>
      <x:c r="Y217" s="18" t="str">
        <x:v>광고성</x:v>
      </x:c>
      <x:c r="Z217" s="18" t="str"/>
      <x:c r="AA217" s="18" t="str">
        <x:v>단일 신상품 모음 또는 판매성 소개만 확인돼 관심·언급 증가와 다채널 확산을 입증하지 못했다.</x:v>
      </x:c>
    </x:row>
    <x:row r="218">
      <x:c r="A218" s="18" t="n">
        <x:v>215</x:v>
      </x:c>
      <x:c r="B218" s="18" t="str">
        <x:v>kr_202608_candidate_215</x:v>
      </x:c>
      <x:c r="C218" s="18" t="str">
        <x:v>황치즈 고구마깡</x:v>
      </x:c>
      <x:c r="D218" s="18" t="str">
        <x:v>[]</x:v>
      </x:c>
      <x:c r="E218" s="18" t="str">
        <x:v>food</x:v>
      </x:c>
      <x:c r="F218" s="18" t="str">
        <x:v>consumer_product</x:v>
      </x:c>
      <x:c r="G218" s="19" t="n">
        <x:v>46221.625</x:v>
      </x:c>
      <x:c r="H218" s="18" t="str"/>
      <x:c r="I218" s="18" t="str">
        <x:v>Y</x:v>
      </x:c>
      <x:c r="J218" s="18" t="str">
        <x:v>Y</x:v>
      </x:c>
      <x:c r="K218" s="18" t="str">
        <x:v>7월3주차 편의점신상 (GS25, CU)에서 구체적인 상품·현상으로 관찰돼 후속 검색·언급 증가 여부를 검증할 후보로 수집했다.</x:v>
      </x:c>
      <x:c r="L218" s="18" t="str">
        <x:v>공개 자료에서 황치즈 고구마깡 관찰</x:v>
      </x:c>
      <x:c r="M218" s="18" t="str">
        <x:v>other</x:v>
      </x:c>
      <x:c r="N218" s="18" t="str">
        <x:v>다먹어라이언</x:v>
      </x:c>
      <x:c r="O218" s="19" t="n">
        <x:v>46221.625</x:v>
      </x:c>
      <x:c r="P218" s="18" t="str">
        <x:v>7월3주차 편의점신상 (GS25, CU)</x:v>
      </x:c>
      <x:c r="Q218" s="18" t="str">
        <x:v>https://v.daum.net/v/66iOCie4d4?f=p</x:v>
      </x:c>
      <x:c r="R218" s="18" t="str">
        <x:v>other</x:v>
      </x:c>
      <x:c r="S218" s="18" t="str">
        <x:v>편의점 신제품리뷰 채널</x:v>
      </x:c>
      <x:c r="T218" s="19" t="n">
        <x:v>46247.625</x:v>
      </x:c>
      <x:c r="U218" s="18" t="str">
        <x:v>편의점 신제품리뷰 공개 목록</x:v>
      </x:c>
      <x:c r="V218" s="18" t="str">
        <x:v>https://v.daum.net/channel/551515/contents</x:v>
      </x:c>
      <x:c r="W218" s="18" t="str">
        <x:v>resolved_merged</x:v>
      </x:c>
      <x:c r="X218" s="18" t="str">
        <x:v>merged</x:v>
      </x:c>
      <x:c r="Y218" s="18" t="str"/>
      <x:c r="Z218" s="18" t="str">
        <x:v>kr_202607_yellow_cheese_chip</x:v>
      </x:c>
      <x:c r="AA218" s="18" t="str">
        <x:v>검증된 상위 트렌드의 제품·표현 변형으로 병합했다.</x:v>
      </x:c>
    </x:row>
    <x:row r="219">
      <x:c r="A219" s="18" t="n">
        <x:v>216</x:v>
      </x:c>
      <x:c r="B219" s="18" t="str">
        <x:v>kr_202608_candidate_216</x:v>
      </x:c>
      <x:c r="C219" s="18" t="str">
        <x:v>포켓몬스터 거북왕 딥초코와플</x:v>
      </x:c>
      <x:c r="D219" s="18" t="str">
        <x:v>[]</x:v>
      </x:c>
      <x:c r="E219" s="18" t="str">
        <x:v>food</x:v>
      </x:c>
      <x:c r="F219" s="18" t="str">
        <x:v>consumer_product</x:v>
      </x:c>
      <x:c r="G219" s="19" t="n">
        <x:v>46221.625</x:v>
      </x:c>
      <x:c r="H219" s="18" t="str"/>
      <x:c r="I219" s="18" t="str">
        <x:v>Y</x:v>
      </x:c>
      <x:c r="J219" s="18" t="str">
        <x:v>Y</x:v>
      </x:c>
      <x:c r="K219" s="18" t="str">
        <x:v>7월3주차 편의점신상 (GS25, CU)에서 구체적인 상품·현상으로 관찰돼 후속 검색·언급 증가 여부를 검증할 후보로 수집했다.</x:v>
      </x:c>
      <x:c r="L219" s="18" t="str">
        <x:v>공개 자료에서 포켓몬스터 거북왕 딥초코와플 관찰</x:v>
      </x:c>
      <x:c r="M219" s="18" t="str">
        <x:v>other</x:v>
      </x:c>
      <x:c r="N219" s="18" t="str">
        <x:v>다먹어라이언</x:v>
      </x:c>
      <x:c r="O219" s="19" t="n">
        <x:v>46221.625</x:v>
      </x:c>
      <x:c r="P219" s="18" t="str">
        <x:v>7월3주차 편의점신상 (GS25, CU)</x:v>
      </x:c>
      <x:c r="Q219" s="18" t="str">
        <x:v>https://v.daum.net/v/66iOCie4d4?f=p</x:v>
      </x:c>
      <x:c r="R219" s="18" t="str">
        <x:v>other</x:v>
      </x:c>
      <x:c r="S219" s="18" t="str">
        <x:v>편의점 신제품리뷰 채널</x:v>
      </x:c>
      <x:c r="T219" s="19" t="n">
        <x:v>46247.625</x:v>
      </x:c>
      <x:c r="U219" s="18" t="str">
        <x:v>편의점 신제품리뷰 공개 목록</x:v>
      </x:c>
      <x:c r="V219" s="18" t="str">
        <x:v>https://v.daum.net/channel/551515/contents</x:v>
      </x:c>
      <x:c r="W219" s="18" t="str">
        <x:v>resolved_excluded</x:v>
      </x:c>
      <x:c r="X219" s="18" t="str">
        <x:v>excluded</x:v>
      </x:c>
      <x:c r="Y219" s="18" t="str">
        <x:v>광고성</x:v>
      </x:c>
      <x:c r="Z219" s="18" t="str"/>
      <x:c r="AA219" s="18" t="str">
        <x:v>단일 신상품 모음 또는 판매성 소개만 확인돼 관심·언급 증가와 다채널 확산을 입증하지 못했다.</x:v>
      </x:c>
    </x:row>
    <x:row r="220">
      <x:c r="A220" s="18" t="n">
        <x:v>217</x:v>
      </x:c>
      <x:c r="B220" s="18" t="str">
        <x:v>kr_202608_candidate_217</x:v>
      </x:c>
      <x:c r="C220" s="18" t="str">
        <x:v>뷔페스타일 양식세트</x:v>
      </x:c>
      <x:c r="D220" s="18" t="str">
        <x:v>[]</x:v>
      </x:c>
      <x:c r="E220" s="18" t="str">
        <x:v>food</x:v>
      </x:c>
      <x:c r="F220" s="18" t="str">
        <x:v>consumer_product</x:v>
      </x:c>
      <x:c r="G220" s="19" t="n">
        <x:v>46221.625</x:v>
      </x:c>
      <x:c r="H220" s="18" t="str"/>
      <x:c r="I220" s="18" t="str">
        <x:v>Y</x:v>
      </x:c>
      <x:c r="J220" s="18" t="str">
        <x:v>Y</x:v>
      </x:c>
      <x:c r="K220" s="18" t="str">
        <x:v>7월3주차 편의점신상 (GS25, CU)에서 구체적인 상품·현상으로 관찰돼 후속 검색·언급 증가 여부를 검증할 후보로 수집했다.</x:v>
      </x:c>
      <x:c r="L220" s="18" t="str">
        <x:v>공개 자료에서 뷔페스타일 양식세트 관찰</x:v>
      </x:c>
      <x:c r="M220" s="18" t="str">
        <x:v>other</x:v>
      </x:c>
      <x:c r="N220" s="18" t="str">
        <x:v>다먹어라이언</x:v>
      </x:c>
      <x:c r="O220" s="19" t="n">
        <x:v>46221.625</x:v>
      </x:c>
      <x:c r="P220" s="18" t="str">
        <x:v>7월3주차 편의점신상 (GS25, CU)</x:v>
      </x:c>
      <x:c r="Q220" s="18" t="str">
        <x:v>https://v.daum.net/v/66iOCie4d4?f=p</x:v>
      </x:c>
      <x:c r="R220" s="18" t="str">
        <x:v>other</x:v>
      </x:c>
      <x:c r="S220" s="18" t="str">
        <x:v>편의점 신제품리뷰 채널</x:v>
      </x:c>
      <x:c r="T220" s="19" t="n">
        <x:v>46247.625</x:v>
      </x:c>
      <x:c r="U220" s="18" t="str">
        <x:v>편의점 신제품리뷰 공개 목록</x:v>
      </x:c>
      <x:c r="V220" s="18" t="str">
        <x:v>https://v.daum.net/channel/551515/contents</x:v>
      </x:c>
      <x:c r="W220" s="18" t="str">
        <x:v>resolved_excluded</x:v>
      </x:c>
      <x:c r="X220" s="18" t="str">
        <x:v>excluded</x:v>
      </x:c>
      <x:c r="Y220" s="18" t="str">
        <x:v>광고성</x:v>
      </x:c>
      <x:c r="Z220" s="18" t="str"/>
      <x:c r="AA220" s="18" t="str">
        <x:v>단일 신상품 모음 또는 판매성 소개만 확인돼 관심·언급 증가와 다채널 확산을 입증하지 못했다.</x:v>
      </x:c>
    </x:row>
    <x:row r="221">
      <x:c r="A221" s="18" t="n">
        <x:v>218</x:v>
      </x:c>
      <x:c r="B221" s="18" t="str">
        <x:v>kr_202608_candidate_218</x:v>
      </x:c>
      <x:c r="C221" s="18" t="str">
        <x:v>스프라이트제로TEA</x:v>
      </x:c>
      <x:c r="D221" s="18" t="str">
        <x:v>[]</x:v>
      </x:c>
      <x:c r="E221" s="18" t="str">
        <x:v>food</x:v>
      </x:c>
      <x:c r="F221" s="18" t="str">
        <x:v>consumer_product</x:v>
      </x:c>
      <x:c r="G221" s="19" t="n">
        <x:v>46221.625</x:v>
      </x:c>
      <x:c r="H221" s="18" t="str"/>
      <x:c r="I221" s="18" t="str">
        <x:v>Y</x:v>
      </x:c>
      <x:c r="J221" s="18" t="str">
        <x:v>Y</x:v>
      </x:c>
      <x:c r="K221" s="18" t="str">
        <x:v>7월3주차 편의점신상 (GS25, CU)에서 구체적인 상품·현상으로 관찰돼 후속 검색·언급 증가 여부를 검증할 후보로 수집했다.</x:v>
      </x:c>
      <x:c r="L221" s="18" t="str">
        <x:v>공개 자료에서 스프라이트제로TEA 관찰</x:v>
      </x:c>
      <x:c r="M221" s="18" t="str">
        <x:v>other</x:v>
      </x:c>
      <x:c r="N221" s="18" t="str">
        <x:v>다먹어라이언</x:v>
      </x:c>
      <x:c r="O221" s="19" t="n">
        <x:v>46221.625</x:v>
      </x:c>
      <x:c r="P221" s="18" t="str">
        <x:v>7월3주차 편의점신상 (GS25, CU)</x:v>
      </x:c>
      <x:c r="Q221" s="18" t="str">
        <x:v>https://v.daum.net/v/66iOCie4d4?f=p</x:v>
      </x:c>
      <x:c r="R221" s="18" t="str">
        <x:v>other</x:v>
      </x:c>
      <x:c r="S221" s="18" t="str">
        <x:v>편의점 신제품리뷰 채널</x:v>
      </x:c>
      <x:c r="T221" s="19" t="n">
        <x:v>46247.625</x:v>
      </x:c>
      <x:c r="U221" s="18" t="str">
        <x:v>편의점 신제품리뷰 공개 목록</x:v>
      </x:c>
      <x:c r="V221" s="18" t="str">
        <x:v>https://v.daum.net/channel/551515/contents</x:v>
      </x:c>
      <x:c r="W221" s="18" t="str">
        <x:v>resolved_excluded</x:v>
      </x:c>
      <x:c r="X221" s="18" t="str">
        <x:v>excluded</x:v>
      </x:c>
      <x:c r="Y221" s="18" t="str">
        <x:v>광고성</x:v>
      </x:c>
      <x:c r="Z221" s="18" t="str"/>
      <x:c r="AA221" s="18" t="str">
        <x:v>단일 신상품 모음 또는 판매성 소개만 확인돼 관심·언급 증가와 다채널 확산을 입증하지 못했다.</x:v>
      </x:c>
    </x:row>
    <x:row r="222">
      <x:c r="A222" s="18" t="n">
        <x:v>219</x:v>
      </x:c>
      <x:c r="B222" s="18" t="str">
        <x:v>kr_202608_candidate_219</x:v>
      </x:c>
      <x:c r="C222" s="18" t="str">
        <x:v>티니핑 딸기생크림빵</x:v>
      </x:c>
      <x:c r="D222" s="18" t="str">
        <x:v>[]</x:v>
      </x:c>
      <x:c r="E222" s="18" t="str">
        <x:v>food</x:v>
      </x:c>
      <x:c r="F222" s="18" t="str">
        <x:v>consumer_product</x:v>
      </x:c>
      <x:c r="G222" s="19" t="n">
        <x:v>46221.625</x:v>
      </x:c>
      <x:c r="H222" s="18" t="str"/>
      <x:c r="I222" s="18" t="str">
        <x:v>Y</x:v>
      </x:c>
      <x:c r="J222" s="18" t="str">
        <x:v>Y</x:v>
      </x:c>
      <x:c r="K222" s="18" t="str">
        <x:v>7월3주차 편의점신상 (GS25, CU)에서 구체적인 상품·현상으로 관찰돼 후속 검색·언급 증가 여부를 검증할 후보로 수집했다.</x:v>
      </x:c>
      <x:c r="L222" s="18" t="str">
        <x:v>공개 자료에서 티니핑 딸기생크림빵 관찰</x:v>
      </x:c>
      <x:c r="M222" s="18" t="str">
        <x:v>other</x:v>
      </x:c>
      <x:c r="N222" s="18" t="str">
        <x:v>다먹어라이언</x:v>
      </x:c>
      <x:c r="O222" s="19" t="n">
        <x:v>46221.625</x:v>
      </x:c>
      <x:c r="P222" s="18" t="str">
        <x:v>7월3주차 편의점신상 (GS25, CU)</x:v>
      </x:c>
      <x:c r="Q222" s="18" t="str">
        <x:v>https://v.daum.net/v/66iOCie4d4?f=p</x:v>
      </x:c>
      <x:c r="R222" s="18" t="str">
        <x:v>other</x:v>
      </x:c>
      <x:c r="S222" s="18" t="str">
        <x:v>편의점 신제품리뷰 채널</x:v>
      </x:c>
      <x:c r="T222" s="19" t="n">
        <x:v>46247.625</x:v>
      </x:c>
      <x:c r="U222" s="18" t="str">
        <x:v>편의점 신제품리뷰 공개 목록</x:v>
      </x:c>
      <x:c r="V222" s="18" t="str">
        <x:v>https://v.daum.net/channel/551515/contents</x:v>
      </x:c>
      <x:c r="W222" s="18" t="str">
        <x:v>resolved_excluded</x:v>
      </x:c>
      <x:c r="X222" s="18" t="str">
        <x:v>excluded</x:v>
      </x:c>
      <x:c r="Y222" s="18" t="str">
        <x:v>광고성</x:v>
      </x:c>
      <x:c r="Z222" s="18" t="str"/>
      <x:c r="AA222" s="18" t="str">
        <x:v>단일 신상품 모음 또는 판매성 소개만 확인돼 관심·언급 증가와 다채널 확산을 입증하지 못했다.</x:v>
      </x:c>
    </x:row>
    <x:row r="223">
      <x:c r="A223" s="18" t="n">
        <x:v>220</x:v>
      </x:c>
      <x:c r="B223" s="18" t="str">
        <x:v>kr_202608_candidate_220</x:v>
      </x:c>
      <x:c r="C223" s="18" t="str">
        <x:v>스폰지밥 아이스바</x:v>
      </x:c>
      <x:c r="D223" s="18" t="str">
        <x:v>[]</x:v>
      </x:c>
      <x:c r="E223" s="18" t="str">
        <x:v>food</x:v>
      </x:c>
      <x:c r="F223" s="18" t="str">
        <x:v>consumer_product</x:v>
      </x:c>
      <x:c r="G223" s="19" t="n">
        <x:v>46221.625</x:v>
      </x:c>
      <x:c r="H223" s="18" t="str"/>
      <x:c r="I223" s="18" t="str">
        <x:v>Y</x:v>
      </x:c>
      <x:c r="J223" s="18" t="str">
        <x:v>Y</x:v>
      </x:c>
      <x:c r="K223" s="18" t="str">
        <x:v>7월3주차 편의점신상 (GS25, CU)에서 구체적인 상품·현상으로 관찰돼 후속 검색·언급 증가 여부를 검증할 후보로 수집했다.</x:v>
      </x:c>
      <x:c r="L223" s="18" t="str">
        <x:v>공개 자료에서 스폰지밥 아이스바 관찰</x:v>
      </x:c>
      <x:c r="M223" s="18" t="str">
        <x:v>other</x:v>
      </x:c>
      <x:c r="N223" s="18" t="str">
        <x:v>다먹어라이언</x:v>
      </x:c>
      <x:c r="O223" s="19" t="n">
        <x:v>46221.625</x:v>
      </x:c>
      <x:c r="P223" s="18" t="str">
        <x:v>7월3주차 편의점신상 (GS25, CU)</x:v>
      </x:c>
      <x:c r="Q223" s="18" t="str">
        <x:v>https://v.daum.net/v/66iOCie4d4?f=p</x:v>
      </x:c>
      <x:c r="R223" s="18" t="str">
        <x:v>other</x:v>
      </x:c>
      <x:c r="S223" s="18" t="str">
        <x:v>편의점 신제품리뷰 채널</x:v>
      </x:c>
      <x:c r="T223" s="19" t="n">
        <x:v>46247.625</x:v>
      </x:c>
      <x:c r="U223" s="18" t="str">
        <x:v>편의점 신제품리뷰 공개 목록</x:v>
      </x:c>
      <x:c r="V223" s="18" t="str">
        <x:v>https://v.daum.net/channel/551515/contents</x:v>
      </x:c>
      <x:c r="W223" s="18" t="str">
        <x:v>resolved_excluded</x:v>
      </x:c>
      <x:c r="X223" s="18" t="str">
        <x:v>excluded</x:v>
      </x:c>
      <x:c r="Y223" s="18" t="str">
        <x:v>광고성</x:v>
      </x:c>
      <x:c r="Z223" s="18" t="str"/>
      <x:c r="AA223" s="18" t="str">
        <x:v>단일 신상품 모음 또는 판매성 소개만 확인돼 관심·언급 증가와 다채널 확산을 입증하지 못했다.</x:v>
      </x:c>
    </x:row>
    <x:row r="224">
      <x:c r="A224" s="18" t="n">
        <x:v>221</x:v>
      </x:c>
      <x:c r="B224" s="18" t="str">
        <x:v>kr_202608_candidate_221</x:v>
      </x:c>
      <x:c r="C224" s="18" t="str">
        <x:v>토이스토리 아이스바</x:v>
      </x:c>
      <x:c r="D224" s="18" t="str">
        <x:v>[]</x:v>
      </x:c>
      <x:c r="E224" s="18" t="str">
        <x:v>food</x:v>
      </x:c>
      <x:c r="F224" s="18" t="str">
        <x:v>consumer_product</x:v>
      </x:c>
      <x:c r="G224" s="19" t="n">
        <x:v>46221.625</x:v>
      </x:c>
      <x:c r="H224" s="18" t="str"/>
      <x:c r="I224" s="18" t="str">
        <x:v>Y</x:v>
      </x:c>
      <x:c r="J224" s="18" t="str">
        <x:v>Y</x:v>
      </x:c>
      <x:c r="K224" s="18" t="str">
        <x:v>7월3주차 편의점신상 (GS25, CU)에서 구체적인 상품·현상으로 관찰돼 후속 검색·언급 증가 여부를 검증할 후보로 수집했다.</x:v>
      </x:c>
      <x:c r="L224" s="18" t="str">
        <x:v>공개 자료에서 토이스토리 아이스바 관찰</x:v>
      </x:c>
      <x:c r="M224" s="18" t="str">
        <x:v>other</x:v>
      </x:c>
      <x:c r="N224" s="18" t="str">
        <x:v>다먹어라이언</x:v>
      </x:c>
      <x:c r="O224" s="19" t="n">
        <x:v>46221.625</x:v>
      </x:c>
      <x:c r="P224" s="18" t="str">
        <x:v>7월3주차 편의점신상 (GS25, CU)</x:v>
      </x:c>
      <x:c r="Q224" s="18" t="str">
        <x:v>https://v.daum.net/v/66iOCie4d4?f=p</x:v>
      </x:c>
      <x:c r="R224" s="18" t="str">
        <x:v>other</x:v>
      </x:c>
      <x:c r="S224" s="18" t="str">
        <x:v>편의점 신제품리뷰 채널</x:v>
      </x:c>
      <x:c r="T224" s="19" t="n">
        <x:v>46247.625</x:v>
      </x:c>
      <x:c r="U224" s="18" t="str">
        <x:v>편의점 신제품리뷰 공개 목록</x:v>
      </x:c>
      <x:c r="V224" s="18" t="str">
        <x:v>https://v.daum.net/channel/551515/contents</x:v>
      </x:c>
      <x:c r="W224" s="18" t="str">
        <x:v>resolved_excluded</x:v>
      </x:c>
      <x:c r="X224" s="18" t="str">
        <x:v>excluded</x:v>
      </x:c>
      <x:c r="Y224" s="18" t="str">
        <x:v>광고성</x:v>
      </x:c>
      <x:c r="Z224" s="18" t="str"/>
      <x:c r="AA224" s="18" t="str">
        <x:v>단일 신상품 모음 또는 판매성 소개만 확인돼 관심·언급 증가와 다채널 확산을 입증하지 못했다.</x:v>
      </x:c>
    </x:row>
    <x:row r="225">
      <x:c r="A225" s="18" t="n">
        <x:v>222</x:v>
      </x:c>
      <x:c r="B225" s="18" t="str">
        <x:v>kr_202608_candidate_222</x:v>
      </x:c>
      <x:c r="C225" s="18" t="str">
        <x:v>망나뇽 불고기포카치아피자</x:v>
      </x:c>
      <x:c r="D225" s="18" t="str">
        <x:v>[]</x:v>
      </x:c>
      <x:c r="E225" s="18" t="str">
        <x:v>food</x:v>
      </x:c>
      <x:c r="F225" s="18" t="str">
        <x:v>consumer_product</x:v>
      </x:c>
      <x:c r="G225" s="19" t="n">
        <x:v>46221.625</x:v>
      </x:c>
      <x:c r="H225" s="18" t="str"/>
      <x:c r="I225" s="18" t="str">
        <x:v>Y</x:v>
      </x:c>
      <x:c r="J225" s="18" t="str">
        <x:v>Y</x:v>
      </x:c>
      <x:c r="K225" s="18" t="str">
        <x:v>7월3주차 편의점신상 (GS25, CU)에서 구체적인 상품·현상으로 관찰돼 후속 검색·언급 증가 여부를 검증할 후보로 수집했다.</x:v>
      </x:c>
      <x:c r="L225" s="18" t="str">
        <x:v>공개 자료에서 망나뇽 불고기포카치아피자 관찰</x:v>
      </x:c>
      <x:c r="M225" s="18" t="str">
        <x:v>other</x:v>
      </x:c>
      <x:c r="N225" s="18" t="str">
        <x:v>다먹어라이언</x:v>
      </x:c>
      <x:c r="O225" s="19" t="n">
        <x:v>46221.625</x:v>
      </x:c>
      <x:c r="P225" s="18" t="str">
        <x:v>7월3주차 편의점신상 (GS25, CU)</x:v>
      </x:c>
      <x:c r="Q225" s="18" t="str">
        <x:v>https://v.daum.net/v/66iOCie4d4?f=p</x:v>
      </x:c>
      <x:c r="R225" s="18" t="str">
        <x:v>other</x:v>
      </x:c>
      <x:c r="S225" s="18" t="str">
        <x:v>편의점 신제품리뷰 채널</x:v>
      </x:c>
      <x:c r="T225" s="19" t="n">
        <x:v>46247.625</x:v>
      </x:c>
      <x:c r="U225" s="18" t="str">
        <x:v>편의점 신제품리뷰 공개 목록</x:v>
      </x:c>
      <x:c r="V225" s="18" t="str">
        <x:v>https://v.daum.net/channel/551515/contents</x:v>
      </x:c>
      <x:c r="W225" s="18" t="str">
        <x:v>resolved_excluded</x:v>
      </x:c>
      <x:c r="X225" s="18" t="str">
        <x:v>excluded</x:v>
      </x:c>
      <x:c r="Y225" s="18" t="str">
        <x:v>광고성</x:v>
      </x:c>
      <x:c r="Z225" s="18" t="str"/>
      <x:c r="AA225" s="18" t="str">
        <x:v>단일 신상품 모음 또는 판매성 소개만 확인돼 관심·언급 증가와 다채널 확산을 입증하지 못했다.</x:v>
      </x:c>
    </x:row>
    <x:row r="226">
      <x:c r="A226" s="18" t="n">
        <x:v>223</x:v>
      </x:c>
      <x:c r="B226" s="18" t="str">
        <x:v>kr_202608_candidate_223</x:v>
      </x:c>
      <x:c r="C226" s="18" t="str">
        <x:v>연세우유 옥수수생크림빵</x:v>
      </x:c>
      <x:c r="D226" s="18" t="str">
        <x:v>[]</x:v>
      </x:c>
      <x:c r="E226" s="18" t="str">
        <x:v>food</x:v>
      </x:c>
      <x:c r="F226" s="18" t="str">
        <x:v>consumer_product</x:v>
      </x:c>
      <x:c r="G226" s="19" t="n">
        <x:v>46221.625</x:v>
      </x:c>
      <x:c r="H226" s="18" t="str"/>
      <x:c r="I226" s="18" t="str">
        <x:v>Y</x:v>
      </x:c>
      <x:c r="J226" s="18" t="str">
        <x:v>Y</x:v>
      </x:c>
      <x:c r="K226" s="18" t="str">
        <x:v>7월3주차 편의점신상 (GS25, CU)에서 구체적인 상품·현상으로 관찰돼 후속 검색·언급 증가 여부를 검증할 후보로 수집했다.</x:v>
      </x:c>
      <x:c r="L226" s="18" t="str">
        <x:v>공개 자료에서 연세우유 옥수수생크림빵 관찰</x:v>
      </x:c>
      <x:c r="M226" s="18" t="str">
        <x:v>other</x:v>
      </x:c>
      <x:c r="N226" s="18" t="str">
        <x:v>다먹어라이언</x:v>
      </x:c>
      <x:c r="O226" s="19" t="n">
        <x:v>46221.625</x:v>
      </x:c>
      <x:c r="P226" s="18" t="str">
        <x:v>7월3주차 편의점신상 (GS25, CU)</x:v>
      </x:c>
      <x:c r="Q226" s="18" t="str">
        <x:v>https://v.daum.net/v/66iOCie4d4?f=p</x:v>
      </x:c>
      <x:c r="R226" s="18" t="str">
        <x:v>other</x:v>
      </x:c>
      <x:c r="S226" s="18" t="str">
        <x:v>편의점 신제품리뷰 채널</x:v>
      </x:c>
      <x:c r="T226" s="19" t="n">
        <x:v>46247.625</x:v>
      </x:c>
      <x:c r="U226" s="18" t="str">
        <x:v>편의점 신제품리뷰 공개 목록</x:v>
      </x:c>
      <x:c r="V226" s="18" t="str">
        <x:v>https://v.daum.net/channel/551515/contents</x:v>
      </x:c>
      <x:c r="W226" s="18" t="str">
        <x:v>resolved_excluded</x:v>
      </x:c>
      <x:c r="X226" s="18" t="str">
        <x:v>excluded</x:v>
      </x:c>
      <x:c r="Y226" s="18" t="str">
        <x:v>광고성</x:v>
      </x:c>
      <x:c r="Z226" s="18" t="str"/>
      <x:c r="AA226" s="18" t="str">
        <x:v>단일 신상품 모음 또는 판매성 소개만 확인돼 관심·언급 증가와 다채널 확산을 입증하지 못했다.</x:v>
      </x:c>
    </x:row>
    <x:row r="227">
      <x:c r="A227" s="18" t="n">
        <x:v>224</x:v>
      </x:c>
      <x:c r="B227" s="18" t="str">
        <x:v>kr_202608_candidate_224</x:v>
      </x:c>
      <x:c r="C227" s="18" t="str">
        <x:v>깨먹는 크로칸슈 커피</x:v>
      </x:c>
      <x:c r="D227" s="18" t="str">
        <x:v>[]</x:v>
      </x:c>
      <x:c r="E227" s="18" t="str">
        <x:v>food</x:v>
      </x:c>
      <x:c r="F227" s="18" t="str">
        <x:v>consumer_product</x:v>
      </x:c>
      <x:c r="G227" s="19" t="n">
        <x:v>46221.625</x:v>
      </x:c>
      <x:c r="H227" s="18" t="str"/>
      <x:c r="I227" s="18" t="str">
        <x:v>Y</x:v>
      </x:c>
      <x:c r="J227" s="18" t="str">
        <x:v>Y</x:v>
      </x:c>
      <x:c r="K227" s="18" t="str">
        <x:v>7월3주차 편의점신상 (GS25, CU)에서 구체적인 상품·현상으로 관찰돼 후속 검색·언급 증가 여부를 검증할 후보로 수집했다.</x:v>
      </x:c>
      <x:c r="L227" s="18" t="str">
        <x:v>공개 자료에서 깨먹는 크로칸슈 커피 관찰</x:v>
      </x:c>
      <x:c r="M227" s="18" t="str">
        <x:v>other</x:v>
      </x:c>
      <x:c r="N227" s="18" t="str">
        <x:v>다먹어라이언</x:v>
      </x:c>
      <x:c r="O227" s="19" t="n">
        <x:v>46221.625</x:v>
      </x:c>
      <x:c r="P227" s="18" t="str">
        <x:v>7월3주차 편의점신상 (GS25, CU)</x:v>
      </x:c>
      <x:c r="Q227" s="18" t="str">
        <x:v>https://v.daum.net/v/66iOCie4d4?f=p</x:v>
      </x:c>
      <x:c r="R227" s="18" t="str">
        <x:v>other</x:v>
      </x:c>
      <x:c r="S227" s="18" t="str">
        <x:v>편의점 신제품리뷰 채널</x:v>
      </x:c>
      <x:c r="T227" s="19" t="n">
        <x:v>46247.625</x:v>
      </x:c>
      <x:c r="U227" s="18" t="str">
        <x:v>편의점 신제품리뷰 공개 목록</x:v>
      </x:c>
      <x:c r="V227" s="18" t="str">
        <x:v>https://v.daum.net/channel/551515/contents</x:v>
      </x:c>
      <x:c r="W227" s="18" t="str">
        <x:v>resolved_excluded</x:v>
      </x:c>
      <x:c r="X227" s="18" t="str">
        <x:v>excluded</x:v>
      </x:c>
      <x:c r="Y227" s="18" t="str">
        <x:v>광고성</x:v>
      </x:c>
      <x:c r="Z227" s="18" t="str"/>
      <x:c r="AA227" s="18" t="str">
        <x:v>단일 신상품 모음 또는 판매성 소개만 확인돼 관심·언급 증가와 다채널 확산을 입증하지 못했다.</x:v>
      </x:c>
    </x:row>
    <x:row r="228">
      <x:c r="A228" s="18" t="n">
        <x:v>225</x:v>
      </x:c>
      <x:c r="B228" s="18" t="str">
        <x:v>kr_202608_candidate_225</x:v>
      </x:c>
      <x:c r="C228" s="18" t="str">
        <x:v>고라파덕 페퍼로니 포카치아 피자</x:v>
      </x:c>
      <x:c r="D228" s="18" t="str">
        <x:v>[]</x:v>
      </x:c>
      <x:c r="E228" s="18" t="str">
        <x:v>food</x:v>
      </x:c>
      <x:c r="F228" s="18" t="str">
        <x:v>consumer_product</x:v>
      </x:c>
      <x:c r="G228" s="19" t="n">
        <x:v>46221.625</x:v>
      </x:c>
      <x:c r="H228" s="18" t="str"/>
      <x:c r="I228" s="18" t="str">
        <x:v>Y</x:v>
      </x:c>
      <x:c r="J228" s="18" t="str">
        <x:v>Y</x:v>
      </x:c>
      <x:c r="K228" s="18" t="str">
        <x:v>7월3주차 편의점신상 (GS25, CU)에서 구체적인 상품·현상으로 관찰돼 후속 검색·언급 증가 여부를 검증할 후보로 수집했다.</x:v>
      </x:c>
      <x:c r="L228" s="18" t="str">
        <x:v>공개 자료에서 고라파덕 페퍼로니 포카치아 피자 관찰</x:v>
      </x:c>
      <x:c r="M228" s="18" t="str">
        <x:v>other</x:v>
      </x:c>
      <x:c r="N228" s="18" t="str">
        <x:v>다먹어라이언</x:v>
      </x:c>
      <x:c r="O228" s="19" t="n">
        <x:v>46221.625</x:v>
      </x:c>
      <x:c r="P228" s="18" t="str">
        <x:v>7월3주차 편의점신상 (GS25, CU)</x:v>
      </x:c>
      <x:c r="Q228" s="18" t="str">
        <x:v>https://v.daum.net/v/66iOCie4d4?f=p</x:v>
      </x:c>
      <x:c r="R228" s="18" t="str">
        <x:v>other</x:v>
      </x:c>
      <x:c r="S228" s="18" t="str">
        <x:v>편의점 신제품리뷰 채널</x:v>
      </x:c>
      <x:c r="T228" s="19" t="n">
        <x:v>46247.625</x:v>
      </x:c>
      <x:c r="U228" s="18" t="str">
        <x:v>편의점 신제품리뷰 공개 목록</x:v>
      </x:c>
      <x:c r="V228" s="18" t="str">
        <x:v>https://v.daum.net/channel/551515/contents</x:v>
      </x:c>
      <x:c r="W228" s="18" t="str">
        <x:v>resolved_excluded</x:v>
      </x:c>
      <x:c r="X228" s="18" t="str">
        <x:v>excluded</x:v>
      </x:c>
      <x:c r="Y228" s="18" t="str">
        <x:v>광고성</x:v>
      </x:c>
      <x:c r="Z228" s="18" t="str"/>
      <x:c r="AA228" s="18" t="str">
        <x:v>단일 신상품 모음 또는 판매성 소개만 확인돼 관심·언급 증가와 다채널 확산을 입증하지 못했다.</x:v>
      </x:c>
    </x:row>
    <x:row r="229">
      <x:c r="A229" s="18" t="n">
        <x:v>226</x:v>
      </x:c>
      <x:c r="B229" s="18" t="str">
        <x:v>kr_202608_candidate_226</x:v>
      </x:c>
      <x:c r="C229" s="18" t="str">
        <x:v>베이크하우스 옥수수모찌페스트리</x:v>
      </x:c>
      <x:c r="D229" s="18" t="str">
        <x:v>[]</x:v>
      </x:c>
      <x:c r="E229" s="18" t="str">
        <x:v>food</x:v>
      </x:c>
      <x:c r="F229" s="18" t="str">
        <x:v>consumer_product</x:v>
      </x:c>
      <x:c r="G229" s="19" t="n">
        <x:v>46221.625</x:v>
      </x:c>
      <x:c r="H229" s="18" t="str"/>
      <x:c r="I229" s="18" t="str">
        <x:v>Y</x:v>
      </x:c>
      <x:c r="J229" s="18" t="str">
        <x:v>Y</x:v>
      </x:c>
      <x:c r="K229" s="18" t="str">
        <x:v>7월3주차 편의점신상 (GS25, CU)에서 구체적인 상품·현상으로 관찰돼 후속 검색·언급 증가 여부를 검증할 후보로 수집했다.</x:v>
      </x:c>
      <x:c r="L229" s="18" t="str">
        <x:v>공개 자료에서 베이크하우스 옥수수모찌페스트리 관찰</x:v>
      </x:c>
      <x:c r="M229" s="18" t="str">
        <x:v>other</x:v>
      </x:c>
      <x:c r="N229" s="18" t="str">
        <x:v>다먹어라이언</x:v>
      </x:c>
      <x:c r="O229" s="19" t="n">
        <x:v>46221.625</x:v>
      </x:c>
      <x:c r="P229" s="18" t="str">
        <x:v>7월3주차 편의점신상 (GS25, CU)</x:v>
      </x:c>
      <x:c r="Q229" s="18" t="str">
        <x:v>https://v.daum.net/v/66iOCie4d4?f=p</x:v>
      </x:c>
      <x:c r="R229" s="18" t="str">
        <x:v>other</x:v>
      </x:c>
      <x:c r="S229" s="18" t="str">
        <x:v>편의점 신제품리뷰 채널</x:v>
      </x:c>
      <x:c r="T229" s="19" t="n">
        <x:v>46247.625</x:v>
      </x:c>
      <x:c r="U229" s="18" t="str">
        <x:v>편의점 신제품리뷰 공개 목록</x:v>
      </x:c>
      <x:c r="V229" s="18" t="str">
        <x:v>https://v.daum.net/channel/551515/contents</x:v>
      </x:c>
      <x:c r="W229" s="18" t="str">
        <x:v>resolved_excluded</x:v>
      </x:c>
      <x:c r="X229" s="18" t="str">
        <x:v>excluded</x:v>
      </x:c>
      <x:c r="Y229" s="18" t="str">
        <x:v>광고성</x:v>
      </x:c>
      <x:c r="Z229" s="18" t="str"/>
      <x:c r="AA229" s="18" t="str">
        <x:v>단일 신상품 모음 또는 판매성 소개만 확인돼 관심·언급 증가와 다채널 확산을 입증하지 못했다.</x:v>
      </x:c>
    </x:row>
    <x:row r="230">
      <x:c r="A230" s="18" t="n">
        <x:v>227</x:v>
      </x:c>
      <x:c r="B230" s="18" t="str">
        <x:v>kr_202608_candidate_227</x:v>
      </x:c>
      <x:c r="C230" s="18" t="str">
        <x:v>홈런볼 옥수수 소프트콘맛</x:v>
      </x:c>
      <x:c r="D230" s="18" t="str">
        <x:v>[]</x:v>
      </x:c>
      <x:c r="E230" s="18" t="str">
        <x:v>food</x:v>
      </x:c>
      <x:c r="F230" s="18" t="str">
        <x:v>consumer_product</x:v>
      </x:c>
      <x:c r="G230" s="19" t="n">
        <x:v>46221.625</x:v>
      </x:c>
      <x:c r="H230" s="18" t="str"/>
      <x:c r="I230" s="18" t="str">
        <x:v>Y</x:v>
      </x:c>
      <x:c r="J230" s="18" t="str">
        <x:v>Y</x:v>
      </x:c>
      <x:c r="K230" s="18" t="str">
        <x:v>7월3주차 편의점신상 (GS25, CU)에서 구체적인 상품·현상으로 관찰돼 후속 검색·언급 증가 여부를 검증할 후보로 수집했다.</x:v>
      </x:c>
      <x:c r="L230" s="18" t="str">
        <x:v>공개 자료에서 홈런볼 옥수수 소프트콘맛 관찰</x:v>
      </x:c>
      <x:c r="M230" s="18" t="str">
        <x:v>other</x:v>
      </x:c>
      <x:c r="N230" s="18" t="str">
        <x:v>다먹어라이언</x:v>
      </x:c>
      <x:c r="O230" s="19" t="n">
        <x:v>46221.625</x:v>
      </x:c>
      <x:c r="P230" s="18" t="str">
        <x:v>7월3주차 편의점신상 (GS25, CU)</x:v>
      </x:c>
      <x:c r="Q230" s="18" t="str">
        <x:v>https://v.daum.net/v/66iOCie4d4?f=p</x:v>
      </x:c>
      <x:c r="R230" s="18" t="str">
        <x:v>other</x:v>
      </x:c>
      <x:c r="S230" s="18" t="str">
        <x:v>편의점 신제품리뷰 채널</x:v>
      </x:c>
      <x:c r="T230" s="19" t="n">
        <x:v>46247.625</x:v>
      </x:c>
      <x:c r="U230" s="18" t="str">
        <x:v>편의점 신제품리뷰 공개 목록</x:v>
      </x:c>
      <x:c r="V230" s="18" t="str">
        <x:v>https://v.daum.net/channel/551515/contents</x:v>
      </x:c>
      <x:c r="W230" s="18" t="str">
        <x:v>resolved_excluded</x:v>
      </x:c>
      <x:c r="X230" s="18" t="str">
        <x:v>excluded</x:v>
      </x:c>
      <x:c r="Y230" s="18" t="str">
        <x:v>광고성</x:v>
      </x:c>
      <x:c r="Z230" s="18" t="str"/>
      <x:c r="AA230" s="18" t="str">
        <x:v>단일 신상품 모음 또는 판매성 소개만 확인돼 관심·언급 증가와 다채널 확산을 입증하지 못했다.</x:v>
      </x:c>
    </x:row>
    <x:row r="231">
      <x:c r="A231" s="18" t="n">
        <x:v>228</x:v>
      </x:c>
      <x:c r="B231" s="18" t="str">
        <x:v>kr_202608_candidate_228</x:v>
      </x:c>
      <x:c r="C231" s="18" t="str">
        <x:v>스니커즈 아이스바</x:v>
      </x:c>
      <x:c r="D231" s="18" t="str">
        <x:v>[]</x:v>
      </x:c>
      <x:c r="E231" s="18" t="str">
        <x:v>food</x:v>
      </x:c>
      <x:c r="F231" s="18" t="str">
        <x:v>consumer_product</x:v>
      </x:c>
      <x:c r="G231" s="19" t="n">
        <x:v>46221.625</x:v>
      </x:c>
      <x:c r="H231" s="18" t="str"/>
      <x:c r="I231" s="18" t="str">
        <x:v>Y</x:v>
      </x:c>
      <x:c r="J231" s="18" t="str">
        <x:v>Y</x:v>
      </x:c>
      <x:c r="K231" s="18" t="str">
        <x:v>7월3주차 편의점신상 (GS25, CU)에서 구체적인 상품·현상으로 관찰돼 후속 검색·언급 증가 여부를 검증할 후보로 수집했다.</x:v>
      </x:c>
      <x:c r="L231" s="18" t="str">
        <x:v>공개 자료에서 스니커즈 아이스바 관찰</x:v>
      </x:c>
      <x:c r="M231" s="18" t="str">
        <x:v>other</x:v>
      </x:c>
      <x:c r="N231" s="18" t="str">
        <x:v>다먹어라이언</x:v>
      </x:c>
      <x:c r="O231" s="19" t="n">
        <x:v>46221.625</x:v>
      </x:c>
      <x:c r="P231" s="18" t="str">
        <x:v>7월3주차 편의점신상 (GS25, CU)</x:v>
      </x:c>
      <x:c r="Q231" s="18" t="str">
        <x:v>https://v.daum.net/v/66iOCie4d4?f=p</x:v>
      </x:c>
      <x:c r="R231" s="18" t="str">
        <x:v>other</x:v>
      </x:c>
      <x:c r="S231" s="18" t="str">
        <x:v>편의점 신제품리뷰 채널</x:v>
      </x:c>
      <x:c r="T231" s="19" t="n">
        <x:v>46247.625</x:v>
      </x:c>
      <x:c r="U231" s="18" t="str">
        <x:v>편의점 신제품리뷰 공개 목록</x:v>
      </x:c>
      <x:c r="V231" s="18" t="str">
        <x:v>https://v.daum.net/channel/551515/contents</x:v>
      </x:c>
      <x:c r="W231" s="18" t="str">
        <x:v>resolved_excluded</x:v>
      </x:c>
      <x:c r="X231" s="18" t="str">
        <x:v>excluded</x:v>
      </x:c>
      <x:c r="Y231" s="18" t="str">
        <x:v>광고성</x:v>
      </x:c>
      <x:c r="Z231" s="18" t="str"/>
      <x:c r="AA231" s="18" t="str">
        <x:v>단일 신상품 모음 또는 판매성 소개만 확인돼 관심·언급 증가와 다채널 확산을 입증하지 못했다.</x:v>
      </x:c>
    </x:row>
    <x:row r="232">
      <x:c r="A232" s="18" t="n">
        <x:v>229</x:v>
      </x:c>
      <x:c r="B232" s="18" t="str">
        <x:v>kr_202608_candidate_229</x:v>
      </x:c>
      <x:c r="C232" s="18" t="str">
        <x:v>토핑 계란후라이 쏘야볶음</x:v>
      </x:c>
      <x:c r="D232" s="18" t="str">
        <x:v>[]</x:v>
      </x:c>
      <x:c r="E232" s="18" t="str">
        <x:v>food</x:v>
      </x:c>
      <x:c r="F232" s="18" t="str">
        <x:v>consumer_product</x:v>
      </x:c>
      <x:c r="G232" s="19" t="n">
        <x:v>46221.625</x:v>
      </x:c>
      <x:c r="H232" s="18" t="str"/>
      <x:c r="I232" s="18" t="str">
        <x:v>Y</x:v>
      </x:c>
      <x:c r="J232" s="18" t="str">
        <x:v>Y</x:v>
      </x:c>
      <x:c r="K232" s="18" t="str">
        <x:v>7월3주차 편의점신상 (GS25, CU)에서 구체적인 상품·현상으로 관찰돼 후속 검색·언급 증가 여부를 검증할 후보로 수집했다.</x:v>
      </x:c>
      <x:c r="L232" s="18" t="str">
        <x:v>공개 자료에서 토핑 계란후라이 쏘야볶음 관찰</x:v>
      </x:c>
      <x:c r="M232" s="18" t="str">
        <x:v>other</x:v>
      </x:c>
      <x:c r="N232" s="18" t="str">
        <x:v>다먹어라이언</x:v>
      </x:c>
      <x:c r="O232" s="19" t="n">
        <x:v>46221.625</x:v>
      </x:c>
      <x:c r="P232" s="18" t="str">
        <x:v>7월3주차 편의점신상 (GS25, CU)</x:v>
      </x:c>
      <x:c r="Q232" s="18" t="str">
        <x:v>https://v.daum.net/v/66iOCie4d4?f=p</x:v>
      </x:c>
      <x:c r="R232" s="18" t="str">
        <x:v>other</x:v>
      </x:c>
      <x:c r="S232" s="18" t="str">
        <x:v>편의점 신제품리뷰 채널</x:v>
      </x:c>
      <x:c r="T232" s="19" t="n">
        <x:v>46247.625</x:v>
      </x:c>
      <x:c r="U232" s="18" t="str">
        <x:v>편의점 신제품리뷰 공개 목록</x:v>
      </x:c>
      <x:c r="V232" s="18" t="str">
        <x:v>https://v.daum.net/channel/551515/contents</x:v>
      </x:c>
      <x:c r="W232" s="18" t="str">
        <x:v>resolved_excluded</x:v>
      </x:c>
      <x:c r="X232" s="18" t="str">
        <x:v>excluded</x:v>
      </x:c>
      <x:c r="Y232" s="18" t="str">
        <x:v>광고성</x:v>
      </x:c>
      <x:c r="Z232" s="18" t="str"/>
      <x:c r="AA232" s="18" t="str">
        <x:v>단일 신상품 모음 또는 판매성 소개만 확인돼 관심·언급 증가와 다채널 확산을 입증하지 못했다.</x:v>
      </x:c>
    </x:row>
    <x:row r="233">
      <x:c r="A233" s="18" t="n">
        <x:v>230</x:v>
      </x:c>
      <x:c r="B233" s="18" t="str">
        <x:v>kr_202608_candidate_230</x:v>
      </x:c>
      <x:c r="C233" s="18" t="str">
        <x:v>로제레몬스파클링 하이볼캔</x:v>
      </x:c>
      <x:c r="D233" s="18" t="str">
        <x:v>[]</x:v>
      </x:c>
      <x:c r="E233" s="18" t="str">
        <x:v>food</x:v>
      </x:c>
      <x:c r="F233" s="18" t="str">
        <x:v>consumer_product</x:v>
      </x:c>
      <x:c r="G233" s="19" t="n">
        <x:v>46221.625</x:v>
      </x:c>
      <x:c r="H233" s="18" t="str"/>
      <x:c r="I233" s="18" t="str">
        <x:v>Y</x:v>
      </x:c>
      <x:c r="J233" s="18" t="str">
        <x:v>Y</x:v>
      </x:c>
      <x:c r="K233" s="18" t="str">
        <x:v>7월3주차 편의점신상 (GS25, CU)에서 구체적인 상품·현상으로 관찰돼 후속 검색·언급 증가 여부를 검증할 후보로 수집했다.</x:v>
      </x:c>
      <x:c r="L233" s="18" t="str">
        <x:v>공개 자료에서 로제레몬스파클링 하이볼캔 관찰</x:v>
      </x:c>
      <x:c r="M233" s="18" t="str">
        <x:v>other</x:v>
      </x:c>
      <x:c r="N233" s="18" t="str">
        <x:v>다먹어라이언</x:v>
      </x:c>
      <x:c r="O233" s="19" t="n">
        <x:v>46221.625</x:v>
      </x:c>
      <x:c r="P233" s="18" t="str">
        <x:v>7월3주차 편의점신상 (GS25, CU)</x:v>
      </x:c>
      <x:c r="Q233" s="18" t="str">
        <x:v>https://v.daum.net/v/66iOCie4d4?f=p</x:v>
      </x:c>
      <x:c r="R233" s="18" t="str">
        <x:v>other</x:v>
      </x:c>
      <x:c r="S233" s="18" t="str">
        <x:v>편의점 신제품리뷰 채널</x:v>
      </x:c>
      <x:c r="T233" s="19" t="n">
        <x:v>46247.625</x:v>
      </x:c>
      <x:c r="U233" s="18" t="str">
        <x:v>편의점 신제품리뷰 공개 목록</x:v>
      </x:c>
      <x:c r="V233" s="18" t="str">
        <x:v>https://v.daum.net/channel/551515/contents</x:v>
      </x:c>
      <x:c r="W233" s="18" t="str">
        <x:v>resolved_excluded</x:v>
      </x:c>
      <x:c r="X233" s="18" t="str">
        <x:v>excluded</x:v>
      </x:c>
      <x:c r="Y233" s="18" t="str">
        <x:v>광고성</x:v>
      </x:c>
      <x:c r="Z233" s="18" t="str"/>
      <x:c r="AA233" s="18" t="str">
        <x:v>단일 신상품 모음 또는 판매성 소개만 확인돼 관심·언급 증가와 다채널 확산을 입증하지 못했다.</x:v>
      </x:c>
    </x:row>
    <x:row r="234">
      <x:c r="A234" s="18" t="n">
        <x:v>231</x:v>
      </x:c>
      <x:c r="B234" s="18" t="str">
        <x:v>kr_202608_candidate_231</x:v>
      </x:c>
      <x:c r="C234" s="18" t="str">
        <x:v>춘식이우유 미숫가루</x:v>
      </x:c>
      <x:c r="D234" s="18" t="str">
        <x:v>[]</x:v>
      </x:c>
      <x:c r="E234" s="18" t="str">
        <x:v>food</x:v>
      </x:c>
      <x:c r="F234" s="18" t="str">
        <x:v>consumer_product</x:v>
      </x:c>
      <x:c r="G234" s="19" t="n">
        <x:v>46221.625</x:v>
      </x:c>
      <x:c r="H234" s="18" t="str"/>
      <x:c r="I234" s="18" t="str">
        <x:v>Y</x:v>
      </x:c>
      <x:c r="J234" s="18" t="str">
        <x:v>Y</x:v>
      </x:c>
      <x:c r="K234" s="18" t="str">
        <x:v>7월3주차 편의점신상 (GS25, CU)에서 구체적인 상품·현상으로 관찰돼 후속 검색·언급 증가 여부를 검증할 후보로 수집했다.</x:v>
      </x:c>
      <x:c r="L234" s="18" t="str">
        <x:v>공개 자료에서 춘식이우유 미숫가루 관찰</x:v>
      </x:c>
      <x:c r="M234" s="18" t="str">
        <x:v>other</x:v>
      </x:c>
      <x:c r="N234" s="18" t="str">
        <x:v>다먹어라이언</x:v>
      </x:c>
      <x:c r="O234" s="19" t="n">
        <x:v>46221.625</x:v>
      </x:c>
      <x:c r="P234" s="18" t="str">
        <x:v>7월3주차 편의점신상 (GS25, CU)</x:v>
      </x:c>
      <x:c r="Q234" s="18" t="str">
        <x:v>https://v.daum.net/v/66iOCie4d4?f=p</x:v>
      </x:c>
      <x:c r="R234" s="18" t="str">
        <x:v>other</x:v>
      </x:c>
      <x:c r="S234" s="18" t="str">
        <x:v>편의점 신제품리뷰 채널</x:v>
      </x:c>
      <x:c r="T234" s="19" t="n">
        <x:v>46247.625</x:v>
      </x:c>
      <x:c r="U234" s="18" t="str">
        <x:v>편의점 신제품리뷰 공개 목록</x:v>
      </x:c>
      <x:c r="V234" s="18" t="str">
        <x:v>https://v.daum.net/channel/551515/contents</x:v>
      </x:c>
      <x:c r="W234" s="18" t="str">
        <x:v>resolved_excluded</x:v>
      </x:c>
      <x:c r="X234" s="18" t="str">
        <x:v>excluded</x:v>
      </x:c>
      <x:c r="Y234" s="18" t="str">
        <x:v>광고성</x:v>
      </x:c>
      <x:c r="Z234" s="18" t="str"/>
      <x:c r="AA234" s="18" t="str">
        <x:v>단일 신상품 모음 또는 판매성 소개만 확인돼 관심·언급 증가와 다채널 확산을 입증하지 못했다.</x:v>
      </x:c>
    </x:row>
    <x:row r="235">
      <x:c r="A235" s="18" t="n">
        <x:v>232</x:v>
      </x:c>
      <x:c r="B235" s="18" t="str">
        <x:v>kr_202608_candidate_232</x:v>
      </x:c>
      <x:c r="C235" s="18" t="str">
        <x:v>수박아이스</x:v>
      </x:c>
      <x:c r="D235" s="18" t="str">
        <x:v>[]</x:v>
      </x:c>
      <x:c r="E235" s="18" t="str">
        <x:v>food</x:v>
      </x:c>
      <x:c r="F235" s="18" t="str">
        <x:v>consumer_product</x:v>
      </x:c>
      <x:c r="G235" s="19" t="n">
        <x:v>46221.625</x:v>
      </x:c>
      <x:c r="H235" s="18" t="str"/>
      <x:c r="I235" s="18" t="str">
        <x:v>Y</x:v>
      </x:c>
      <x:c r="J235" s="18" t="str">
        <x:v>Y</x:v>
      </x:c>
      <x:c r="K235" s="18" t="str">
        <x:v>7월3주차 편의점신상 (GS25, CU)에서 구체적인 상품·현상으로 관찰돼 후속 검색·언급 증가 여부를 검증할 후보로 수집했다.</x:v>
      </x:c>
      <x:c r="L235" s="18" t="str">
        <x:v>공개 자료에서 수박아이스 관찰</x:v>
      </x:c>
      <x:c r="M235" s="18" t="str">
        <x:v>other</x:v>
      </x:c>
      <x:c r="N235" s="18" t="str">
        <x:v>다먹어라이언</x:v>
      </x:c>
      <x:c r="O235" s="19" t="n">
        <x:v>46221.625</x:v>
      </x:c>
      <x:c r="P235" s="18" t="str">
        <x:v>7월3주차 편의점신상 (GS25, CU)</x:v>
      </x:c>
      <x:c r="Q235" s="18" t="str">
        <x:v>https://v.daum.net/v/66iOCie4d4?f=p</x:v>
      </x:c>
      <x:c r="R235" s="18" t="str">
        <x:v>other</x:v>
      </x:c>
      <x:c r="S235" s="18" t="str">
        <x:v>편의점 신제품리뷰 채널</x:v>
      </x:c>
      <x:c r="T235" s="19" t="n">
        <x:v>46247.625</x:v>
      </x:c>
      <x:c r="U235" s="18" t="str">
        <x:v>편의점 신제품리뷰 공개 목록</x:v>
      </x:c>
      <x:c r="V235" s="18" t="str">
        <x:v>https://v.daum.net/channel/551515/contents</x:v>
      </x:c>
      <x:c r="W235" s="18" t="str">
        <x:v>resolved_excluded</x:v>
      </x:c>
      <x:c r="X235" s="18" t="str">
        <x:v>excluded</x:v>
      </x:c>
      <x:c r="Y235" s="18" t="str">
        <x:v>광고성</x:v>
      </x:c>
      <x:c r="Z235" s="18" t="str"/>
      <x:c r="AA235" s="18" t="str">
        <x:v>단일 신상품 모음 또는 판매성 소개만 확인돼 관심·언급 증가와 다채널 확산을 입증하지 못했다.</x:v>
      </x:c>
    </x:row>
    <x:row r="236">
      <x:c r="A236" s="18" t="n">
        <x:v>233</x:v>
      </x:c>
      <x:c r="B236" s="18" t="str">
        <x:v>kr_202608_candidate_233</x:v>
      </x:c>
      <x:c r="C236" s="18" t="str">
        <x:v>베이비스타 코코이치방야 매콤카레</x:v>
      </x:c>
      <x:c r="D236" s="18" t="str">
        <x:v>[]</x:v>
      </x:c>
      <x:c r="E236" s="18" t="str">
        <x:v>food</x:v>
      </x:c>
      <x:c r="F236" s="18" t="str">
        <x:v>consumer_product</x:v>
      </x:c>
      <x:c r="G236" s="19" t="n">
        <x:v>46221.625</x:v>
      </x:c>
      <x:c r="H236" s="18" t="str"/>
      <x:c r="I236" s="18" t="str">
        <x:v>Y</x:v>
      </x:c>
      <x:c r="J236" s="18" t="str">
        <x:v>Y</x:v>
      </x:c>
      <x:c r="K236" s="18" t="str">
        <x:v>7월3주차 편의점신상 (GS25, CU)에서 구체적인 상품·현상으로 관찰돼 후속 검색·언급 증가 여부를 검증할 후보로 수집했다.</x:v>
      </x:c>
      <x:c r="L236" s="18" t="str">
        <x:v>공개 자료에서 베이비스타 코코이치방야 매콤카레 관찰</x:v>
      </x:c>
      <x:c r="M236" s="18" t="str">
        <x:v>other</x:v>
      </x:c>
      <x:c r="N236" s="18" t="str">
        <x:v>다먹어라이언</x:v>
      </x:c>
      <x:c r="O236" s="19" t="n">
        <x:v>46221.625</x:v>
      </x:c>
      <x:c r="P236" s="18" t="str">
        <x:v>7월3주차 편의점신상 (GS25, CU)</x:v>
      </x:c>
      <x:c r="Q236" s="18" t="str">
        <x:v>https://v.daum.net/v/66iOCie4d4?f=p</x:v>
      </x:c>
      <x:c r="R236" s="18" t="str">
        <x:v>other</x:v>
      </x:c>
      <x:c r="S236" s="18" t="str">
        <x:v>편의점 신제품리뷰 채널</x:v>
      </x:c>
      <x:c r="T236" s="19" t="n">
        <x:v>46247.625</x:v>
      </x:c>
      <x:c r="U236" s="18" t="str">
        <x:v>편의점 신제품리뷰 공개 목록</x:v>
      </x:c>
      <x:c r="V236" s="18" t="str">
        <x:v>https://v.daum.net/channel/551515/contents</x:v>
      </x:c>
      <x:c r="W236" s="18" t="str">
        <x:v>resolved_excluded</x:v>
      </x:c>
      <x:c r="X236" s="18" t="str">
        <x:v>excluded</x:v>
      </x:c>
      <x:c r="Y236" s="18" t="str">
        <x:v>광고성</x:v>
      </x:c>
      <x:c r="Z236" s="18" t="str"/>
      <x:c r="AA236" s="18" t="str">
        <x:v>단일 신상품 모음 또는 판매성 소개만 확인돼 관심·언급 증가와 다채널 확산을 입증하지 못했다.</x:v>
      </x:c>
    </x:row>
    <x:row r="237">
      <x:c r="A237" s="18" t="n">
        <x:v>234</x:v>
      </x:c>
      <x:c r="B237" s="18" t="str">
        <x:v>kr_202608_candidate_234</x:v>
      </x:c>
      <x:c r="C237" s="18" t="str">
        <x:v>콤비네이션 피자샌드</x:v>
      </x:c>
      <x:c r="D237" s="18" t="str">
        <x:v>[]</x:v>
      </x:c>
      <x:c r="E237" s="18" t="str">
        <x:v>food</x:v>
      </x:c>
      <x:c r="F237" s="18" t="str">
        <x:v>consumer_product</x:v>
      </x:c>
      <x:c r="G237" s="19" t="n">
        <x:v>46221.625</x:v>
      </x:c>
      <x:c r="H237" s="18" t="str"/>
      <x:c r="I237" s="18" t="str">
        <x:v>Y</x:v>
      </x:c>
      <x:c r="J237" s="18" t="str">
        <x:v>Y</x:v>
      </x:c>
      <x:c r="K237" s="18" t="str">
        <x:v>7월3주차 편의점신상 (GS25, CU)에서 구체적인 상품·현상으로 관찰돼 후속 검색·언급 증가 여부를 검증할 후보로 수집했다.</x:v>
      </x:c>
      <x:c r="L237" s="18" t="str">
        <x:v>공개 자료에서 콤비네이션 피자샌드 관찰</x:v>
      </x:c>
      <x:c r="M237" s="18" t="str">
        <x:v>other</x:v>
      </x:c>
      <x:c r="N237" s="18" t="str">
        <x:v>다먹어라이언</x:v>
      </x:c>
      <x:c r="O237" s="19" t="n">
        <x:v>46221.625</x:v>
      </x:c>
      <x:c r="P237" s="18" t="str">
        <x:v>7월3주차 편의점신상 (GS25, CU)</x:v>
      </x:c>
      <x:c r="Q237" s="18" t="str">
        <x:v>https://v.daum.net/v/66iOCie4d4?f=p</x:v>
      </x:c>
      <x:c r="R237" s="18" t="str">
        <x:v>other</x:v>
      </x:c>
      <x:c r="S237" s="18" t="str">
        <x:v>편의점 신제품리뷰 채널</x:v>
      </x:c>
      <x:c r="T237" s="19" t="n">
        <x:v>46247.625</x:v>
      </x:c>
      <x:c r="U237" s="18" t="str">
        <x:v>편의점 신제품리뷰 공개 목록</x:v>
      </x:c>
      <x:c r="V237" s="18" t="str">
        <x:v>https://v.daum.net/channel/551515/contents</x:v>
      </x:c>
      <x:c r="W237" s="18" t="str">
        <x:v>resolved_excluded</x:v>
      </x:c>
      <x:c r="X237" s="18" t="str">
        <x:v>excluded</x:v>
      </x:c>
      <x:c r="Y237" s="18" t="str">
        <x:v>광고성</x:v>
      </x:c>
      <x:c r="Z237" s="18" t="str"/>
      <x:c r="AA237" s="18" t="str">
        <x:v>단일 신상품 모음 또는 판매성 소개만 확인돼 관심·언급 증가와 다채널 확산을 입증하지 못했다.</x:v>
      </x:c>
    </x:row>
    <x:row r="238">
      <x:c r="A238" s="18" t="n">
        <x:v>235</x:v>
      </x:c>
      <x:c r="B238" s="18" t="str">
        <x:v>kr_202608_candidate_235</x:v>
      </x:c>
      <x:c r="C238" s="18" t="str">
        <x:v>PBICK 황치즈바게트</x:v>
      </x:c>
      <x:c r="D238" s="18" t="str">
        <x:v>[]</x:v>
      </x:c>
      <x:c r="E238" s="18" t="str">
        <x:v>food</x:v>
      </x:c>
      <x:c r="F238" s="18" t="str">
        <x:v>consumer_product</x:v>
      </x:c>
      <x:c r="G238" s="19" t="n">
        <x:v>46221.625</x:v>
      </x:c>
      <x:c r="H238" s="18" t="str"/>
      <x:c r="I238" s="18" t="str">
        <x:v>Y</x:v>
      </x:c>
      <x:c r="J238" s="18" t="str">
        <x:v>Y</x:v>
      </x:c>
      <x:c r="K238" s="18" t="str">
        <x:v>7월3주차 편의점신상 (GS25, CU)에서 구체적인 상품·현상으로 관찰돼 후속 검색·언급 증가 여부를 검증할 후보로 수집했다.</x:v>
      </x:c>
      <x:c r="L238" s="18" t="str">
        <x:v>공개 자료에서 PBICK 황치즈바게트 관찰</x:v>
      </x:c>
      <x:c r="M238" s="18" t="str">
        <x:v>other</x:v>
      </x:c>
      <x:c r="N238" s="18" t="str">
        <x:v>다먹어라이언</x:v>
      </x:c>
      <x:c r="O238" s="19" t="n">
        <x:v>46221.625</x:v>
      </x:c>
      <x:c r="P238" s="18" t="str">
        <x:v>7월3주차 편의점신상 (GS25, CU)</x:v>
      </x:c>
      <x:c r="Q238" s="18" t="str">
        <x:v>https://v.daum.net/v/66iOCie4d4?f=p</x:v>
      </x:c>
      <x:c r="R238" s="18" t="str">
        <x:v>other</x:v>
      </x:c>
      <x:c r="S238" s="18" t="str">
        <x:v>편의점 신제품리뷰 채널</x:v>
      </x:c>
      <x:c r="T238" s="19" t="n">
        <x:v>46247.625</x:v>
      </x:c>
      <x:c r="U238" s="18" t="str">
        <x:v>편의점 신제품리뷰 공개 목록</x:v>
      </x:c>
      <x:c r="V238" s="18" t="str">
        <x:v>https://v.daum.net/channel/551515/contents</x:v>
      </x:c>
      <x:c r="W238" s="18" t="str">
        <x:v>resolved_merged</x:v>
      </x:c>
      <x:c r="X238" s="18" t="str">
        <x:v>merged</x:v>
      </x:c>
      <x:c r="Y238" s="18" t="str"/>
      <x:c r="Z238" s="18" t="str">
        <x:v>kr_202607_yellow_cheese_chip</x:v>
      </x:c>
      <x:c r="AA238" s="18" t="str">
        <x:v>검증된 상위 트렌드의 제품·표현 변형으로 병합했다.</x:v>
      </x:c>
    </x:row>
    <x:row r="239">
      <x:c r="A239" s="18" t="n">
        <x:v>236</x:v>
      </x:c>
      <x:c r="B239" s="18" t="str">
        <x:v>kr_202608_candidate_236</x:v>
      </x:c>
      <x:c r="C239" s="18" t="str">
        <x:v>라이즈 요말쿠 마카롱</x:v>
      </x:c>
      <x:c r="D239" s="18" t="str">
        <x:v>[]</x:v>
      </x:c>
      <x:c r="E239" s="18" t="str">
        <x:v>food</x:v>
      </x:c>
      <x:c r="F239" s="18" t="str">
        <x:v>consumer_product</x:v>
      </x:c>
      <x:c r="G239" s="19" t="n">
        <x:v>46221.625</x:v>
      </x:c>
      <x:c r="H239" s="18" t="str"/>
      <x:c r="I239" s="18" t="str">
        <x:v>Y</x:v>
      </x:c>
      <x:c r="J239" s="18" t="str">
        <x:v>Y</x:v>
      </x:c>
      <x:c r="K239" s="18" t="str">
        <x:v>7월3주차 편의점신상 (GS25, CU)에서 구체적인 상품·현상으로 관찰돼 후속 검색·언급 증가 여부를 검증할 후보로 수집했다.</x:v>
      </x:c>
      <x:c r="L239" s="18" t="str">
        <x:v>공개 자료에서 라이즈 요말쿠 마카롱 관찰</x:v>
      </x:c>
      <x:c r="M239" s="18" t="str">
        <x:v>other</x:v>
      </x:c>
      <x:c r="N239" s="18" t="str">
        <x:v>다먹어라이언</x:v>
      </x:c>
      <x:c r="O239" s="19" t="n">
        <x:v>46221.625</x:v>
      </x:c>
      <x:c r="P239" s="18" t="str">
        <x:v>7월3주차 편의점신상 (GS25, CU)</x:v>
      </x:c>
      <x:c r="Q239" s="18" t="str">
        <x:v>https://v.daum.net/v/66iOCie4d4?f=p</x:v>
      </x:c>
      <x:c r="R239" s="18" t="str">
        <x:v>other</x:v>
      </x:c>
      <x:c r="S239" s="18" t="str">
        <x:v>편의점 신제품리뷰 채널</x:v>
      </x:c>
      <x:c r="T239" s="19" t="n">
        <x:v>46247.625</x:v>
      </x:c>
      <x:c r="U239" s="18" t="str">
        <x:v>편의점 신제품리뷰 공개 목록</x:v>
      </x:c>
      <x:c r="V239" s="18" t="str">
        <x:v>https://v.daum.net/channel/551515/contents</x:v>
      </x:c>
      <x:c r="W239" s="18" t="str">
        <x:v>resolved_excluded</x:v>
      </x:c>
      <x:c r="X239" s="18" t="str">
        <x:v>excluded</x:v>
      </x:c>
      <x:c r="Y239" s="18" t="str">
        <x:v>광고성</x:v>
      </x:c>
      <x:c r="Z239" s="18" t="str"/>
      <x:c r="AA239" s="18" t="str">
        <x:v>단일 신상품 모음 또는 판매성 소개만 확인돼 관심·언급 증가와 다채널 확산을 입증하지 못했다.</x:v>
      </x:c>
    </x:row>
    <x:row r="240">
      <x:c r="A240" s="18" t="n">
        <x:v>237</x:v>
      </x:c>
      <x:c r="B240" s="18" t="str">
        <x:v>kr_202608_candidate_237</x:v>
      </x:c>
      <x:c r="C240" s="18" t="str">
        <x:v>라이즈 딸바초 마카롱</x:v>
      </x:c>
      <x:c r="D240" s="18" t="str">
        <x:v>[]</x:v>
      </x:c>
      <x:c r="E240" s="18" t="str">
        <x:v>food</x:v>
      </x:c>
      <x:c r="F240" s="18" t="str">
        <x:v>consumer_product</x:v>
      </x:c>
      <x:c r="G240" s="19" t="n">
        <x:v>46221.625</x:v>
      </x:c>
      <x:c r="H240" s="18" t="str"/>
      <x:c r="I240" s="18" t="str">
        <x:v>Y</x:v>
      </x:c>
      <x:c r="J240" s="18" t="str">
        <x:v>Y</x:v>
      </x:c>
      <x:c r="K240" s="18" t="str">
        <x:v>7월3주차 편의점신상 (GS25, CU)에서 구체적인 상품·현상으로 관찰돼 후속 검색·언급 증가 여부를 검증할 후보로 수집했다.</x:v>
      </x:c>
      <x:c r="L240" s="18" t="str">
        <x:v>공개 자료에서 라이즈 딸바초 마카롱 관찰</x:v>
      </x:c>
      <x:c r="M240" s="18" t="str">
        <x:v>other</x:v>
      </x:c>
      <x:c r="N240" s="18" t="str">
        <x:v>다먹어라이언</x:v>
      </x:c>
      <x:c r="O240" s="19" t="n">
        <x:v>46221.625</x:v>
      </x:c>
      <x:c r="P240" s="18" t="str">
        <x:v>7월3주차 편의점신상 (GS25, CU)</x:v>
      </x:c>
      <x:c r="Q240" s="18" t="str">
        <x:v>https://v.daum.net/v/66iOCie4d4?f=p</x:v>
      </x:c>
      <x:c r="R240" s="18" t="str">
        <x:v>other</x:v>
      </x:c>
      <x:c r="S240" s="18" t="str">
        <x:v>편의점 신제품리뷰 채널</x:v>
      </x:c>
      <x:c r="T240" s="19" t="n">
        <x:v>46247.625</x:v>
      </x:c>
      <x:c r="U240" s="18" t="str">
        <x:v>편의점 신제품리뷰 공개 목록</x:v>
      </x:c>
      <x:c r="V240" s="18" t="str">
        <x:v>https://v.daum.net/channel/551515/contents</x:v>
      </x:c>
      <x:c r="W240" s="18" t="str">
        <x:v>resolved_excluded</x:v>
      </x:c>
      <x:c r="X240" s="18" t="str">
        <x:v>excluded</x:v>
      </x:c>
      <x:c r="Y240" s="18" t="str">
        <x:v>광고성</x:v>
      </x:c>
      <x:c r="Z240" s="18" t="str"/>
      <x:c r="AA240" s="18" t="str">
        <x:v>단일 신상품 모음 또는 판매성 소개만 확인돼 관심·언급 증가와 다채널 확산을 입증하지 못했다.</x:v>
      </x:c>
    </x:row>
    <x:row r="241">
      <x:c r="A241" s="18" t="n">
        <x:v>238</x:v>
      </x:c>
      <x:c r="B241" s="18" t="str">
        <x:v>kr_202608_candidate_238</x:v>
      </x:c>
      <x:c r="C241" s="18" t="str">
        <x:v>카다이프 쫀득비스킷</x:v>
      </x:c>
      <x:c r="D241" s="18" t="str">
        <x:v>[]</x:v>
      </x:c>
      <x:c r="E241" s="18" t="str">
        <x:v>food</x:v>
      </x:c>
      <x:c r="F241" s="18" t="str">
        <x:v>consumer_product</x:v>
      </x:c>
      <x:c r="G241" s="19" t="n">
        <x:v>46221.625</x:v>
      </x:c>
      <x:c r="H241" s="18" t="str"/>
      <x:c r="I241" s="18" t="str">
        <x:v>Y</x:v>
      </x:c>
      <x:c r="J241" s="18" t="str">
        <x:v>Y</x:v>
      </x:c>
      <x:c r="K241" s="18" t="str">
        <x:v>7월3주차 편의점신상 (GS25, CU)에서 구체적인 상품·현상으로 관찰돼 후속 검색·언급 증가 여부를 검증할 후보로 수집했다.</x:v>
      </x:c>
      <x:c r="L241" s="18" t="str">
        <x:v>공개 자료에서 카다이프 쫀득비스킷 관찰</x:v>
      </x:c>
      <x:c r="M241" s="18" t="str">
        <x:v>other</x:v>
      </x:c>
      <x:c r="N241" s="18" t="str">
        <x:v>다먹어라이언</x:v>
      </x:c>
      <x:c r="O241" s="19" t="n">
        <x:v>46221.625</x:v>
      </x:c>
      <x:c r="P241" s="18" t="str">
        <x:v>7월3주차 편의점신상 (GS25, CU)</x:v>
      </x:c>
      <x:c r="Q241" s="18" t="str">
        <x:v>https://v.daum.net/v/66iOCie4d4?f=p</x:v>
      </x:c>
      <x:c r="R241" s="18" t="str">
        <x:v>other</x:v>
      </x:c>
      <x:c r="S241" s="18" t="str">
        <x:v>편의점 신제품리뷰 채널</x:v>
      </x:c>
      <x:c r="T241" s="19" t="n">
        <x:v>46247.625</x:v>
      </x:c>
      <x:c r="U241" s="18" t="str">
        <x:v>편의점 신제품리뷰 공개 목록</x:v>
      </x:c>
      <x:c r="V241" s="18" t="str">
        <x:v>https://v.daum.net/channel/551515/contents</x:v>
      </x:c>
      <x:c r="W241" s="18" t="str">
        <x:v>resolved_excluded</x:v>
      </x:c>
      <x:c r="X241" s="18" t="str">
        <x:v>excluded</x:v>
      </x:c>
      <x:c r="Y241" s="18" t="str">
        <x:v>광고성</x:v>
      </x:c>
      <x:c r="Z241" s="18" t="str"/>
      <x:c r="AA241" s="18" t="str">
        <x:v>단일 신상품 모음 또는 판매성 소개만 확인돼 관심·언급 증가와 다채널 확산을 입증하지 못했다.</x:v>
      </x:c>
    </x:row>
    <x:row r="242">
      <x:c r="A242" s="18" t="n">
        <x:v>239</x:v>
      </x:c>
      <x:c r="B242" s="18" t="str">
        <x:v>kr_202608_candidate_239</x:v>
      </x:c>
      <x:c r="C242" s="18" t="str">
        <x:v>썬키스트 에너지오렌지망고</x:v>
      </x:c>
      <x:c r="D242" s="18" t="str">
        <x:v>[]</x:v>
      </x:c>
      <x:c r="E242" s="18" t="str">
        <x:v>food</x:v>
      </x:c>
      <x:c r="F242" s="18" t="str">
        <x:v>consumer_product</x:v>
      </x:c>
      <x:c r="G242" s="19" t="n">
        <x:v>46221.625</x:v>
      </x:c>
      <x:c r="H242" s="18" t="str"/>
      <x:c r="I242" s="18" t="str">
        <x:v>Y</x:v>
      </x:c>
      <x:c r="J242" s="18" t="str">
        <x:v>Y</x:v>
      </x:c>
      <x:c r="K242" s="18" t="str">
        <x:v>7월3주차 편의점신상 (GS25, CU)에서 구체적인 상품·현상으로 관찰돼 후속 검색·언급 증가 여부를 검증할 후보로 수집했다.</x:v>
      </x:c>
      <x:c r="L242" s="18" t="str">
        <x:v>공개 자료에서 썬키스트 에너지오렌지망고 관찰</x:v>
      </x:c>
      <x:c r="M242" s="18" t="str">
        <x:v>other</x:v>
      </x:c>
      <x:c r="N242" s="18" t="str">
        <x:v>다먹어라이언</x:v>
      </x:c>
      <x:c r="O242" s="19" t="n">
        <x:v>46221.625</x:v>
      </x:c>
      <x:c r="P242" s="18" t="str">
        <x:v>7월3주차 편의점신상 (GS25, CU)</x:v>
      </x:c>
      <x:c r="Q242" s="18" t="str">
        <x:v>https://v.daum.net/v/66iOCie4d4?f=p</x:v>
      </x:c>
      <x:c r="R242" s="18" t="str">
        <x:v>other</x:v>
      </x:c>
      <x:c r="S242" s="18" t="str">
        <x:v>편의점 신제품리뷰 채널</x:v>
      </x:c>
      <x:c r="T242" s="19" t="n">
        <x:v>46247.625</x:v>
      </x:c>
      <x:c r="U242" s="18" t="str">
        <x:v>편의점 신제품리뷰 공개 목록</x:v>
      </x:c>
      <x:c r="V242" s="18" t="str">
        <x:v>https://v.daum.net/channel/551515/contents</x:v>
      </x:c>
      <x:c r="W242" s="18" t="str">
        <x:v>resolved_excluded</x:v>
      </x:c>
      <x:c r="X242" s="18" t="str">
        <x:v>excluded</x:v>
      </x:c>
      <x:c r="Y242" s="18" t="str">
        <x:v>광고성</x:v>
      </x:c>
      <x:c r="Z242" s="18" t="str"/>
      <x:c r="AA242" s="18" t="str">
        <x:v>단일 신상품 모음 또는 판매성 소개만 확인돼 관심·언급 증가와 다채널 확산을 입증하지 못했다.</x:v>
      </x:c>
    </x:row>
    <x:row r="243">
      <x:c r="A243" s="18" t="n">
        <x:v>240</x:v>
      </x:c>
      <x:c r="B243" s="18" t="str">
        <x:v>kr_202608_candidate_240</x:v>
      </x:c>
      <x:c r="C243" s="18" t="str">
        <x:v>베이크하우스 쫀득황치즈빵</x:v>
      </x:c>
      <x:c r="D243" s="18" t="str">
        <x:v>[]</x:v>
      </x:c>
      <x:c r="E243" s="18" t="str">
        <x:v>food</x:v>
      </x:c>
      <x:c r="F243" s="18" t="str">
        <x:v>consumer_product</x:v>
      </x:c>
      <x:c r="G243" s="19" t="n">
        <x:v>46221.625</x:v>
      </x:c>
      <x:c r="H243" s="18" t="str"/>
      <x:c r="I243" s="18" t="str">
        <x:v>Y</x:v>
      </x:c>
      <x:c r="J243" s="18" t="str">
        <x:v>Y</x:v>
      </x:c>
      <x:c r="K243" s="18" t="str">
        <x:v>7월3주차 편의점신상 (GS25, CU)에서 구체적인 상품·현상으로 관찰돼 후속 검색·언급 증가 여부를 검증할 후보로 수집했다.</x:v>
      </x:c>
      <x:c r="L243" s="18" t="str">
        <x:v>공개 자료에서 베이크하우스 쫀득황치즈빵 관찰</x:v>
      </x:c>
      <x:c r="M243" s="18" t="str">
        <x:v>other</x:v>
      </x:c>
      <x:c r="N243" s="18" t="str">
        <x:v>다먹어라이언</x:v>
      </x:c>
      <x:c r="O243" s="19" t="n">
        <x:v>46221.625</x:v>
      </x:c>
      <x:c r="P243" s="18" t="str">
        <x:v>7월3주차 편의점신상 (GS25, CU)</x:v>
      </x:c>
      <x:c r="Q243" s="18" t="str">
        <x:v>https://v.daum.net/v/66iOCie4d4?f=p</x:v>
      </x:c>
      <x:c r="R243" s="18" t="str">
        <x:v>other</x:v>
      </x:c>
      <x:c r="S243" s="18" t="str">
        <x:v>편의점 신제품리뷰 채널</x:v>
      </x:c>
      <x:c r="T243" s="19" t="n">
        <x:v>46247.625</x:v>
      </x:c>
      <x:c r="U243" s="18" t="str">
        <x:v>편의점 신제품리뷰 공개 목록</x:v>
      </x:c>
      <x:c r="V243" s="18" t="str">
        <x:v>https://v.daum.net/channel/551515/contents</x:v>
      </x:c>
      <x:c r="W243" s="18" t="str">
        <x:v>resolved_merged</x:v>
      </x:c>
      <x:c r="X243" s="18" t="str">
        <x:v>merged</x:v>
      </x:c>
      <x:c r="Y243" s="18" t="str"/>
      <x:c r="Z243" s="18" t="str">
        <x:v>kr_202607_yellow_cheese_chip</x:v>
      </x:c>
      <x:c r="AA243" s="18" t="str">
        <x:v>검증된 상위 트렌드의 제품·표현 변형으로 병합했다.</x:v>
      </x:c>
    </x:row>
    <x:row r="244">
      <x:c r="A244" s="18" t="n">
        <x:v>241</x:v>
      </x:c>
      <x:c r="B244" s="18" t="str">
        <x:v>kr_202608_candidate_241</x:v>
      </x:c>
      <x:c r="C244" s="18" t="str">
        <x:v>프리미엄가나 휘핑더바닐라</x:v>
      </x:c>
      <x:c r="D244" s="18" t="str">
        <x:v>[]</x:v>
      </x:c>
      <x:c r="E244" s="18" t="str">
        <x:v>food</x:v>
      </x:c>
      <x:c r="F244" s="18" t="str">
        <x:v>consumer_product</x:v>
      </x:c>
      <x:c r="G244" s="19" t="n">
        <x:v>46221.625</x:v>
      </x:c>
      <x:c r="H244" s="18" t="str"/>
      <x:c r="I244" s="18" t="str">
        <x:v>Y</x:v>
      </x:c>
      <x:c r="J244" s="18" t="str">
        <x:v>Y</x:v>
      </x:c>
      <x:c r="K244" s="18" t="str">
        <x:v>7월3주차 편의점신상 (GS25, CU)에서 구체적인 상품·현상으로 관찰돼 후속 검색·언급 증가 여부를 검증할 후보로 수집했다.</x:v>
      </x:c>
      <x:c r="L244" s="18" t="str">
        <x:v>공개 자료에서 프리미엄가나 휘핑더바닐라 관찰</x:v>
      </x:c>
      <x:c r="M244" s="18" t="str">
        <x:v>other</x:v>
      </x:c>
      <x:c r="N244" s="18" t="str">
        <x:v>다먹어라이언</x:v>
      </x:c>
      <x:c r="O244" s="19" t="n">
        <x:v>46221.625</x:v>
      </x:c>
      <x:c r="P244" s="18" t="str">
        <x:v>7월3주차 편의점신상 (GS25, CU)</x:v>
      </x:c>
      <x:c r="Q244" s="18" t="str">
        <x:v>https://v.daum.net/v/66iOCie4d4?f=p</x:v>
      </x:c>
      <x:c r="R244" s="18" t="str">
        <x:v>other</x:v>
      </x:c>
      <x:c r="S244" s="18" t="str">
        <x:v>편의점 신제품리뷰 채널</x:v>
      </x:c>
      <x:c r="T244" s="19" t="n">
        <x:v>46247.625</x:v>
      </x:c>
      <x:c r="U244" s="18" t="str">
        <x:v>편의점 신제품리뷰 공개 목록</x:v>
      </x:c>
      <x:c r="V244" s="18" t="str">
        <x:v>https://v.daum.net/channel/551515/contents</x:v>
      </x:c>
      <x:c r="W244" s="18" t="str">
        <x:v>resolved_excluded</x:v>
      </x:c>
      <x:c r="X244" s="18" t="str">
        <x:v>excluded</x:v>
      </x:c>
      <x:c r="Y244" s="18" t="str">
        <x:v>광고성</x:v>
      </x:c>
      <x:c r="Z244" s="18" t="str"/>
      <x:c r="AA244" s="18" t="str">
        <x:v>단일 신상품 모음 또는 판매성 소개만 확인돼 관심·언급 증가와 다채널 확산을 입증하지 못했다.</x:v>
      </x:c>
    </x:row>
    <x:row r="245">
      <x:c r="A245" s="18" t="n">
        <x:v>242</x:v>
      </x:c>
      <x:c r="B245" s="18" t="str">
        <x:v>kr_202608_candidate_242</x:v>
      </x:c>
      <x:c r="C245" s="18" t="str">
        <x:v>프리미엄가나 사브레 쇼콜라 우지말차</x:v>
      </x:c>
      <x:c r="D245" s="18" t="str">
        <x:v>[]</x:v>
      </x:c>
      <x:c r="E245" s="18" t="str">
        <x:v>food</x:v>
      </x:c>
      <x:c r="F245" s="18" t="str">
        <x:v>consumer_product</x:v>
      </x:c>
      <x:c r="G245" s="19" t="n">
        <x:v>46221.625</x:v>
      </x:c>
      <x:c r="H245" s="18" t="str"/>
      <x:c r="I245" s="18" t="str">
        <x:v>Y</x:v>
      </x:c>
      <x:c r="J245" s="18" t="str">
        <x:v>Y</x:v>
      </x:c>
      <x:c r="K245" s="18" t="str">
        <x:v>7월3주차 편의점신상 (GS25, CU)에서 구체적인 상품·현상으로 관찰돼 후속 검색·언급 증가 여부를 검증할 후보로 수집했다.</x:v>
      </x:c>
      <x:c r="L245" s="18" t="str">
        <x:v>공개 자료에서 프리미엄가나 사브레 쇼콜라 우지말차 관찰</x:v>
      </x:c>
      <x:c r="M245" s="18" t="str">
        <x:v>other</x:v>
      </x:c>
      <x:c r="N245" s="18" t="str">
        <x:v>다먹어라이언</x:v>
      </x:c>
      <x:c r="O245" s="19" t="n">
        <x:v>46221.625</x:v>
      </x:c>
      <x:c r="P245" s="18" t="str">
        <x:v>7월3주차 편의점신상 (GS25, CU)</x:v>
      </x:c>
      <x:c r="Q245" s="18" t="str">
        <x:v>https://v.daum.net/v/66iOCie4d4?f=p</x:v>
      </x:c>
      <x:c r="R245" s="18" t="str">
        <x:v>other</x:v>
      </x:c>
      <x:c r="S245" s="18" t="str">
        <x:v>편의점 신제품리뷰 채널</x:v>
      </x:c>
      <x:c r="T245" s="19" t="n">
        <x:v>46247.625</x:v>
      </x:c>
      <x:c r="U245" s="18" t="str">
        <x:v>편의점 신제품리뷰 공개 목록</x:v>
      </x:c>
      <x:c r="V245" s="18" t="str">
        <x:v>https://v.daum.net/channel/551515/contents</x:v>
      </x:c>
      <x:c r="W245" s="18" t="str">
        <x:v>resolved_excluded</x:v>
      </x:c>
      <x:c r="X245" s="18" t="str">
        <x:v>excluded</x:v>
      </x:c>
      <x:c r="Y245" s="18" t="str">
        <x:v>광고성</x:v>
      </x:c>
      <x:c r="Z245" s="18" t="str"/>
      <x:c r="AA245" s="18" t="str">
        <x:v>단일 신상품 모음 또는 판매성 소개만 확인돼 관심·언급 증가와 다채널 확산을 입증하지 못했다.</x:v>
      </x:c>
    </x:row>
    <x:row r="246">
      <x:c r="A246" s="18" t="n">
        <x:v>243</x:v>
      </x:c>
      <x:c r="B246" s="18" t="str">
        <x:v>kr_202608_candidate_243</x:v>
      </x:c>
      <x:c r="C246" s="18" t="str">
        <x:v>허쉬초코파이</x:v>
      </x:c>
      <x:c r="D246" s="18" t="str">
        <x:v>[]</x:v>
      </x:c>
      <x:c r="E246" s="18" t="str">
        <x:v>food</x:v>
      </x:c>
      <x:c r="F246" s="18" t="str">
        <x:v>consumer_product</x:v>
      </x:c>
      <x:c r="G246" s="19" t="n">
        <x:v>46221.625</x:v>
      </x:c>
      <x:c r="H246" s="18" t="str"/>
      <x:c r="I246" s="18" t="str">
        <x:v>Y</x:v>
      </x:c>
      <x:c r="J246" s="18" t="str">
        <x:v>Y</x:v>
      </x:c>
      <x:c r="K246" s="18" t="str">
        <x:v>7월3주차 편의점신상 (GS25, CU)에서 구체적인 상품·현상으로 관찰돼 후속 검색·언급 증가 여부를 검증할 후보로 수집했다.</x:v>
      </x:c>
      <x:c r="L246" s="18" t="str">
        <x:v>공개 자료에서 허쉬초코파이 관찰</x:v>
      </x:c>
      <x:c r="M246" s="18" t="str">
        <x:v>other</x:v>
      </x:c>
      <x:c r="N246" s="18" t="str">
        <x:v>다먹어라이언</x:v>
      </x:c>
      <x:c r="O246" s="19" t="n">
        <x:v>46221.625</x:v>
      </x:c>
      <x:c r="P246" s="18" t="str">
        <x:v>7월3주차 편의점신상 (GS25, CU)</x:v>
      </x:c>
      <x:c r="Q246" s="18" t="str">
        <x:v>https://v.daum.net/v/66iOCie4d4?f=p</x:v>
      </x:c>
      <x:c r="R246" s="18" t="str">
        <x:v>other</x:v>
      </x:c>
      <x:c r="S246" s="18" t="str">
        <x:v>편의점 신제품리뷰 채널</x:v>
      </x:c>
      <x:c r="T246" s="19" t="n">
        <x:v>46247.625</x:v>
      </x:c>
      <x:c r="U246" s="18" t="str">
        <x:v>편의점 신제품리뷰 공개 목록</x:v>
      </x:c>
      <x:c r="V246" s="18" t="str">
        <x:v>https://v.daum.net/channel/551515/contents</x:v>
      </x:c>
      <x:c r="W246" s="18" t="str">
        <x:v>resolved_excluded</x:v>
      </x:c>
      <x:c r="X246" s="18" t="str">
        <x:v>excluded</x:v>
      </x:c>
      <x:c r="Y246" s="18" t="str">
        <x:v>광고성</x:v>
      </x:c>
      <x:c r="Z246" s="18" t="str"/>
      <x:c r="AA246" s="18" t="str">
        <x:v>단일 신상품 모음 또는 판매성 소개만 확인돼 관심·언급 증가와 다채널 확산을 입증하지 못했다.</x:v>
      </x:c>
    </x:row>
    <x:row r="247">
      <x:c r="A247" s="18" t="n">
        <x:v>244</x:v>
      </x:c>
      <x:c r="B247" s="18" t="str">
        <x:v>kr_202608_candidate_244</x:v>
      </x:c>
      <x:c r="C247" s="18" t="str">
        <x:v>연세우유 청귤 생크림빵</x:v>
      </x:c>
      <x:c r="D247" s="18" t="str">
        <x:v>[]</x:v>
      </x:c>
      <x:c r="E247" s="18" t="str">
        <x:v>food</x:v>
      </x:c>
      <x:c r="F247" s="18" t="str">
        <x:v>consumer_product</x:v>
      </x:c>
      <x:c r="G247" s="19" t="n">
        <x:v>46221.625</x:v>
      </x:c>
      <x:c r="H247" s="18" t="str"/>
      <x:c r="I247" s="18" t="str">
        <x:v>Y</x:v>
      </x:c>
      <x:c r="J247" s="18" t="str">
        <x:v>Y</x:v>
      </x:c>
      <x:c r="K247" s="18" t="str">
        <x:v>7월3주차 편의점신상 (GS25, CU)에서 구체적인 상품·현상으로 관찰돼 후속 검색·언급 증가 여부를 검증할 후보로 수집했다.</x:v>
      </x:c>
      <x:c r="L247" s="18" t="str">
        <x:v>공개 자료에서 연세우유 청귤 생크림빵 관찰</x:v>
      </x:c>
      <x:c r="M247" s="18" t="str">
        <x:v>other</x:v>
      </x:c>
      <x:c r="N247" s="18" t="str">
        <x:v>다먹어라이언</x:v>
      </x:c>
      <x:c r="O247" s="19" t="n">
        <x:v>46221.625</x:v>
      </x:c>
      <x:c r="P247" s="18" t="str">
        <x:v>7월3주차 편의점신상 (GS25, CU)</x:v>
      </x:c>
      <x:c r="Q247" s="18" t="str">
        <x:v>https://v.daum.net/v/66iOCie4d4?f=p</x:v>
      </x:c>
      <x:c r="R247" s="18" t="str">
        <x:v>other</x:v>
      </x:c>
      <x:c r="S247" s="18" t="str">
        <x:v>편의점 신제품리뷰 채널</x:v>
      </x:c>
      <x:c r="T247" s="19" t="n">
        <x:v>46247.625</x:v>
      </x:c>
      <x:c r="U247" s="18" t="str">
        <x:v>편의점 신제품리뷰 공개 목록</x:v>
      </x:c>
      <x:c r="V247" s="18" t="str">
        <x:v>https://v.daum.net/channel/551515/contents</x:v>
      </x:c>
      <x:c r="W247" s="18" t="str">
        <x:v>resolved_excluded</x:v>
      </x:c>
      <x:c r="X247" s="18" t="str">
        <x:v>excluded</x:v>
      </x:c>
      <x:c r="Y247" s="18" t="str">
        <x:v>광고성</x:v>
      </x:c>
      <x:c r="Z247" s="18" t="str"/>
      <x:c r="AA247" s="18" t="str">
        <x:v>단일 신상품 모음 또는 판매성 소개만 확인돼 관심·언급 증가와 다채널 확산을 입증하지 못했다.</x:v>
      </x:c>
    </x:row>
    <x:row r="248">
      <x:c r="A248" s="18" t="n">
        <x:v>245</x:v>
      </x:c>
      <x:c r="B248" s="18" t="str">
        <x:v>kr_202608_candidate_245</x:v>
      </x:c>
      <x:c r="C248" s="18" t="str">
        <x:v>연세우유 옥수수 크림 맘모스</x:v>
      </x:c>
      <x:c r="D248" s="18" t="str">
        <x:v>[]</x:v>
      </x:c>
      <x:c r="E248" s="18" t="str">
        <x:v>food</x:v>
      </x:c>
      <x:c r="F248" s="18" t="str">
        <x:v>consumer_product</x:v>
      </x:c>
      <x:c r="G248" s="19" t="n">
        <x:v>46221.625</x:v>
      </x:c>
      <x:c r="H248" s="18" t="str"/>
      <x:c r="I248" s="18" t="str">
        <x:v>Y</x:v>
      </x:c>
      <x:c r="J248" s="18" t="str">
        <x:v>Y</x:v>
      </x:c>
      <x:c r="K248" s="18" t="str">
        <x:v>7월3주차 편의점신상 (GS25, CU)에서 구체적인 상품·현상으로 관찰돼 후속 검색·언급 증가 여부를 검증할 후보로 수집했다.</x:v>
      </x:c>
      <x:c r="L248" s="18" t="str">
        <x:v>공개 자료에서 연세우유 옥수수 크림 맘모스 관찰</x:v>
      </x:c>
      <x:c r="M248" s="18" t="str">
        <x:v>other</x:v>
      </x:c>
      <x:c r="N248" s="18" t="str">
        <x:v>다먹어라이언</x:v>
      </x:c>
      <x:c r="O248" s="19" t="n">
        <x:v>46221.625</x:v>
      </x:c>
      <x:c r="P248" s="18" t="str">
        <x:v>7월3주차 편의점신상 (GS25, CU)</x:v>
      </x:c>
      <x:c r="Q248" s="18" t="str">
        <x:v>https://v.daum.net/v/66iOCie4d4?f=p</x:v>
      </x:c>
      <x:c r="R248" s="18" t="str">
        <x:v>other</x:v>
      </x:c>
      <x:c r="S248" s="18" t="str">
        <x:v>편의점 신제품리뷰 채널</x:v>
      </x:c>
      <x:c r="T248" s="19" t="n">
        <x:v>46247.625</x:v>
      </x:c>
      <x:c r="U248" s="18" t="str">
        <x:v>편의점 신제품리뷰 공개 목록</x:v>
      </x:c>
      <x:c r="V248" s="18" t="str">
        <x:v>https://v.daum.net/channel/551515/contents</x:v>
      </x:c>
      <x:c r="W248" s="18" t="str">
        <x:v>resolved_excluded</x:v>
      </x:c>
      <x:c r="X248" s="18" t="str">
        <x:v>excluded</x:v>
      </x:c>
      <x:c r="Y248" s="18" t="str">
        <x:v>광고성</x:v>
      </x:c>
      <x:c r="Z248" s="18" t="str"/>
      <x:c r="AA248" s="18" t="str">
        <x:v>단일 신상품 모음 또는 판매성 소개만 확인돼 관심·언급 증가와 다채널 확산을 입증하지 못했다.</x:v>
      </x:c>
    </x:row>
    <x:row r="249">
      <x:c r="A249" s="18" t="n">
        <x:v>246</x:v>
      </x:c>
      <x:c r="B249" s="18" t="str">
        <x:v>kr_202608_candidate_246</x:v>
      </x:c>
      <x:c r="C249" s="18" t="str">
        <x:v>스프링클 마카롱</x:v>
      </x:c>
      <x:c r="D249" s="18" t="str">
        <x:v>[]</x:v>
      </x:c>
      <x:c r="E249" s="18" t="str">
        <x:v>food</x:v>
      </x:c>
      <x:c r="F249" s="18" t="str">
        <x:v>consumer_product</x:v>
      </x:c>
      <x:c r="G249" s="19" t="n">
        <x:v>46221.625</x:v>
      </x:c>
      <x:c r="H249" s="18" t="str"/>
      <x:c r="I249" s="18" t="str">
        <x:v>Y</x:v>
      </x:c>
      <x:c r="J249" s="18" t="str">
        <x:v>Y</x:v>
      </x:c>
      <x:c r="K249" s="18" t="str">
        <x:v>7월3주차 편의점신상 (GS25, CU)에서 구체적인 상품·현상으로 관찰돼 후속 검색·언급 증가 여부를 검증할 후보로 수집했다.</x:v>
      </x:c>
      <x:c r="L249" s="18" t="str">
        <x:v>공개 자료에서 스프링클 마카롱 관찰</x:v>
      </x:c>
      <x:c r="M249" s="18" t="str">
        <x:v>other</x:v>
      </x:c>
      <x:c r="N249" s="18" t="str">
        <x:v>다먹어라이언</x:v>
      </x:c>
      <x:c r="O249" s="19" t="n">
        <x:v>46221.625</x:v>
      </x:c>
      <x:c r="P249" s="18" t="str">
        <x:v>7월3주차 편의점신상 (GS25, CU)</x:v>
      </x:c>
      <x:c r="Q249" s="18" t="str">
        <x:v>https://v.daum.net/v/66iOCie4d4?f=p</x:v>
      </x:c>
      <x:c r="R249" s="18" t="str">
        <x:v>other</x:v>
      </x:c>
      <x:c r="S249" s="18" t="str">
        <x:v>편의점 신제품리뷰 채널</x:v>
      </x:c>
      <x:c r="T249" s="19" t="n">
        <x:v>46247.625</x:v>
      </x:c>
      <x:c r="U249" s="18" t="str">
        <x:v>편의점 신제품리뷰 공개 목록</x:v>
      </x:c>
      <x:c r="V249" s="18" t="str">
        <x:v>https://v.daum.net/channel/551515/contents</x:v>
      </x:c>
      <x:c r="W249" s="18" t="str">
        <x:v>resolved_excluded</x:v>
      </x:c>
      <x:c r="X249" s="18" t="str">
        <x:v>excluded</x:v>
      </x:c>
      <x:c r="Y249" s="18" t="str">
        <x:v>광고성</x:v>
      </x:c>
      <x:c r="Z249" s="18" t="str"/>
      <x:c r="AA249" s="18" t="str">
        <x:v>단일 신상품 모음 또는 판매성 소개만 확인돼 관심·언급 증가와 다채널 확산을 입증하지 못했다.</x:v>
      </x:c>
    </x:row>
    <x:row r="250">
      <x:c r="A250" s="18" t="n">
        <x:v>247</x:v>
      </x:c>
      <x:c r="B250" s="18" t="str">
        <x:v>kr_202608_candidate_247</x:v>
      </x:c>
      <x:c r="C250" s="18" t="str">
        <x:v>베이크하우스 칠리모짜소금빵</x:v>
      </x:c>
      <x:c r="D250" s="18" t="str">
        <x:v>[]</x:v>
      </x:c>
      <x:c r="E250" s="18" t="str">
        <x:v>food</x:v>
      </x:c>
      <x:c r="F250" s="18" t="str">
        <x:v>consumer_product</x:v>
      </x:c>
      <x:c r="G250" s="19" t="n">
        <x:v>46221.625</x:v>
      </x:c>
      <x:c r="H250" s="18" t="str"/>
      <x:c r="I250" s="18" t="str">
        <x:v>Y</x:v>
      </x:c>
      <x:c r="J250" s="18" t="str">
        <x:v>Y</x:v>
      </x:c>
      <x:c r="K250" s="18" t="str">
        <x:v>7월3주차 편의점신상 (GS25, CU)에서 구체적인 상품·현상으로 관찰돼 후속 검색·언급 증가 여부를 검증할 후보로 수집했다.</x:v>
      </x:c>
      <x:c r="L250" s="18" t="str">
        <x:v>공개 자료에서 베이크하우스 칠리모짜소금빵 관찰</x:v>
      </x:c>
      <x:c r="M250" s="18" t="str">
        <x:v>other</x:v>
      </x:c>
      <x:c r="N250" s="18" t="str">
        <x:v>다먹어라이언</x:v>
      </x:c>
      <x:c r="O250" s="19" t="n">
        <x:v>46221.625</x:v>
      </x:c>
      <x:c r="P250" s="18" t="str">
        <x:v>7월3주차 편의점신상 (GS25, CU)</x:v>
      </x:c>
      <x:c r="Q250" s="18" t="str">
        <x:v>https://v.daum.net/v/66iOCie4d4?f=p</x:v>
      </x:c>
      <x:c r="R250" s="18" t="str">
        <x:v>other</x:v>
      </x:c>
      <x:c r="S250" s="18" t="str">
        <x:v>편의점 신제품리뷰 채널</x:v>
      </x:c>
      <x:c r="T250" s="19" t="n">
        <x:v>46247.625</x:v>
      </x:c>
      <x:c r="U250" s="18" t="str">
        <x:v>편의점 신제품리뷰 공개 목록</x:v>
      </x:c>
      <x:c r="V250" s="18" t="str">
        <x:v>https://v.daum.net/channel/551515/contents</x:v>
      </x:c>
      <x:c r="W250" s="18" t="str">
        <x:v>resolved_excluded</x:v>
      </x:c>
      <x:c r="X250" s="18" t="str">
        <x:v>excluded</x:v>
      </x:c>
      <x:c r="Y250" s="18" t="str">
        <x:v>광고성</x:v>
      </x:c>
      <x:c r="Z250" s="18" t="str"/>
      <x:c r="AA250" s="18" t="str">
        <x:v>단일 신상품 모음 또는 판매성 소개만 확인돼 관심·언급 증가와 다채널 확산을 입증하지 못했다.</x:v>
      </x:c>
    </x:row>
    <x:row r="251">
      <x:c r="A251" s="18" t="n">
        <x:v>248</x:v>
      </x:c>
      <x:c r="B251" s="18" t="str">
        <x:v>kr_202608_candidate_248</x:v>
      </x:c>
      <x:c r="C251" s="18" t="str">
        <x:v>치즈듬뿍 포테이토</x:v>
      </x:c>
      <x:c r="D251" s="18" t="str">
        <x:v>[]</x:v>
      </x:c>
      <x:c r="E251" s="18" t="str">
        <x:v>food</x:v>
      </x:c>
      <x:c r="F251" s="18" t="str">
        <x:v>consumer_product</x:v>
      </x:c>
      <x:c r="G251" s="19" t="n">
        <x:v>46221.625</x:v>
      </x:c>
      <x:c r="H251" s="18" t="str"/>
      <x:c r="I251" s="18" t="str">
        <x:v>Y</x:v>
      </x:c>
      <x:c r="J251" s="18" t="str">
        <x:v>Y</x:v>
      </x:c>
      <x:c r="K251" s="18" t="str">
        <x:v>7월3주차 편의점신상 (GS25, CU)에서 구체적인 상품·현상으로 관찰돼 후속 검색·언급 증가 여부를 검증할 후보로 수집했다.</x:v>
      </x:c>
      <x:c r="L251" s="18" t="str">
        <x:v>공개 자료에서 치즈듬뿍 포테이토 관찰</x:v>
      </x:c>
      <x:c r="M251" s="18" t="str">
        <x:v>other</x:v>
      </x:c>
      <x:c r="N251" s="18" t="str">
        <x:v>다먹어라이언</x:v>
      </x:c>
      <x:c r="O251" s="19" t="n">
        <x:v>46221.625</x:v>
      </x:c>
      <x:c r="P251" s="18" t="str">
        <x:v>7월3주차 편의점신상 (GS25, CU)</x:v>
      </x:c>
      <x:c r="Q251" s="18" t="str">
        <x:v>https://v.daum.net/v/66iOCie4d4?f=p</x:v>
      </x:c>
      <x:c r="R251" s="18" t="str">
        <x:v>other</x:v>
      </x:c>
      <x:c r="S251" s="18" t="str">
        <x:v>편의점 신제품리뷰 채널</x:v>
      </x:c>
      <x:c r="T251" s="19" t="n">
        <x:v>46247.625</x:v>
      </x:c>
      <x:c r="U251" s="18" t="str">
        <x:v>편의점 신제품리뷰 공개 목록</x:v>
      </x:c>
      <x:c r="V251" s="18" t="str">
        <x:v>https://v.daum.net/channel/551515/contents</x:v>
      </x:c>
      <x:c r="W251" s="18" t="str">
        <x:v>resolved_excluded</x:v>
      </x:c>
      <x:c r="X251" s="18" t="str">
        <x:v>excluded</x:v>
      </x:c>
      <x:c r="Y251" s="18" t="str">
        <x:v>광고성</x:v>
      </x:c>
      <x:c r="Z251" s="18" t="str"/>
      <x:c r="AA251" s="18" t="str">
        <x:v>단일 신상품 모음 또는 판매성 소개만 확인돼 관심·언급 증가와 다채널 확산을 입증하지 못했다.</x:v>
      </x:c>
    </x:row>
    <x:row r="252">
      <x:c r="A252" s="18" t="n">
        <x:v>249</x:v>
      </x:c>
      <x:c r="B252" s="18" t="str">
        <x:v>kr_202608_candidate_249</x:v>
      </x:c>
      <x:c r="C252" s="18" t="str">
        <x:v>베이크하우스 지중해식 깜빠뉴</x:v>
      </x:c>
      <x:c r="D252" s="18" t="str">
        <x:v>[]</x:v>
      </x:c>
      <x:c r="E252" s="18" t="str">
        <x:v>food</x:v>
      </x:c>
      <x:c r="F252" s="18" t="str">
        <x:v>consumer_product</x:v>
      </x:c>
      <x:c r="G252" s="19" t="n">
        <x:v>46221.625</x:v>
      </x:c>
      <x:c r="H252" s="18" t="str"/>
      <x:c r="I252" s="18" t="str">
        <x:v>Y</x:v>
      </x:c>
      <x:c r="J252" s="18" t="str">
        <x:v>Y</x:v>
      </x:c>
      <x:c r="K252" s="18" t="str">
        <x:v>7월3주차 편의점신상 (GS25, CU)에서 구체적인 상품·현상으로 관찰돼 후속 검색·언급 증가 여부를 검증할 후보로 수집했다.</x:v>
      </x:c>
      <x:c r="L252" s="18" t="str">
        <x:v>공개 자료에서 베이크하우스 지중해식 깜빠뉴 관찰</x:v>
      </x:c>
      <x:c r="M252" s="18" t="str">
        <x:v>other</x:v>
      </x:c>
      <x:c r="N252" s="18" t="str">
        <x:v>다먹어라이언</x:v>
      </x:c>
      <x:c r="O252" s="19" t="n">
        <x:v>46221.625</x:v>
      </x:c>
      <x:c r="P252" s="18" t="str">
        <x:v>7월3주차 편의점신상 (GS25, CU)</x:v>
      </x:c>
      <x:c r="Q252" s="18" t="str">
        <x:v>https://v.daum.net/v/66iOCie4d4?f=p</x:v>
      </x:c>
      <x:c r="R252" s="18" t="str">
        <x:v>other</x:v>
      </x:c>
      <x:c r="S252" s="18" t="str">
        <x:v>편의점 신제품리뷰 채널</x:v>
      </x:c>
      <x:c r="T252" s="19" t="n">
        <x:v>46247.625</x:v>
      </x:c>
      <x:c r="U252" s="18" t="str">
        <x:v>편의점 신제품리뷰 공개 목록</x:v>
      </x:c>
      <x:c r="V252" s="18" t="str">
        <x:v>https://v.daum.net/channel/551515/contents</x:v>
      </x:c>
      <x:c r="W252" s="18" t="str">
        <x:v>resolved_excluded</x:v>
      </x:c>
      <x:c r="X252" s="18" t="str">
        <x:v>excluded</x:v>
      </x:c>
      <x:c r="Y252" s="18" t="str">
        <x:v>광고성</x:v>
      </x:c>
      <x:c r="Z252" s="18" t="str"/>
      <x:c r="AA252" s="18" t="str">
        <x:v>단일 신상품 모음 또는 판매성 소개만 확인돼 관심·언급 증가와 다채널 확산을 입증하지 못했다.</x:v>
      </x:c>
    </x:row>
    <x:row r="253">
      <x:c r="A253" s="18" t="n">
        <x:v>250</x:v>
      </x:c>
      <x:c r="B253" s="18" t="str">
        <x:v>kr_202608_candidate_250</x:v>
      </x:c>
      <x:c r="C253" s="18" t="str">
        <x:v>스토롱볼레몬캔</x:v>
      </x:c>
      <x:c r="D253" s="18" t="str">
        <x:v>[]</x:v>
      </x:c>
      <x:c r="E253" s="18" t="str">
        <x:v>food</x:v>
      </x:c>
      <x:c r="F253" s="18" t="str">
        <x:v>consumer_product</x:v>
      </x:c>
      <x:c r="G253" s="19" t="n">
        <x:v>46221.625</x:v>
      </x:c>
      <x:c r="H253" s="18" t="str"/>
      <x:c r="I253" s="18" t="str">
        <x:v>Y</x:v>
      </x:c>
      <x:c r="J253" s="18" t="str">
        <x:v>Y</x:v>
      </x:c>
      <x:c r="K253" s="18" t="str">
        <x:v>7월3주차 편의점신상 (GS25, CU)에서 구체적인 상품·현상으로 관찰돼 후속 검색·언급 증가 여부를 검증할 후보로 수집했다.</x:v>
      </x:c>
      <x:c r="L253" s="18" t="str">
        <x:v>공개 자료에서 스토롱볼레몬캔 관찰</x:v>
      </x:c>
      <x:c r="M253" s="18" t="str">
        <x:v>other</x:v>
      </x:c>
      <x:c r="N253" s="18" t="str">
        <x:v>다먹어라이언</x:v>
      </x:c>
      <x:c r="O253" s="19" t="n">
        <x:v>46221.625</x:v>
      </x:c>
      <x:c r="P253" s="18" t="str">
        <x:v>7월3주차 편의점신상 (GS25, CU)</x:v>
      </x:c>
      <x:c r="Q253" s="18" t="str">
        <x:v>https://v.daum.net/v/66iOCie4d4?f=p</x:v>
      </x:c>
      <x:c r="R253" s="18" t="str">
        <x:v>other</x:v>
      </x:c>
      <x:c r="S253" s="18" t="str">
        <x:v>편의점 신제품리뷰 채널</x:v>
      </x:c>
      <x:c r="T253" s="19" t="n">
        <x:v>46247.625</x:v>
      </x:c>
      <x:c r="U253" s="18" t="str">
        <x:v>편의점 신제품리뷰 공개 목록</x:v>
      </x:c>
      <x:c r="V253" s="18" t="str">
        <x:v>https://v.daum.net/channel/551515/contents</x:v>
      </x:c>
      <x:c r="W253" s="18" t="str">
        <x:v>resolved_excluded</x:v>
      </x:c>
      <x:c r="X253" s="18" t="str">
        <x:v>excluded</x:v>
      </x:c>
      <x:c r="Y253" s="18" t="str">
        <x:v>광고성</x:v>
      </x:c>
      <x:c r="Z253" s="18" t="str"/>
      <x:c r="AA253" s="18" t="str">
        <x:v>단일 신상품 모음 또는 판매성 소개만 확인돼 관심·언급 증가와 다채널 확산을 입증하지 못했다.</x:v>
      </x:c>
    </x:row>
    <x:row r="254">
      <x:c r="A254" s="18" t="n">
        <x:v>251</x:v>
      </x:c>
      <x:c r="B254" s="18" t="str">
        <x:v>kr_202608_candidate_251</x:v>
      </x:c>
      <x:c r="C254" s="18" t="str">
        <x:v>사워레몬요거트바</x:v>
      </x:c>
      <x:c r="D254" s="18" t="str">
        <x:v>[]</x:v>
      </x:c>
      <x:c r="E254" s="18" t="str">
        <x:v>food</x:v>
      </x:c>
      <x:c r="F254" s="18" t="str">
        <x:v>consumer_product</x:v>
      </x:c>
      <x:c r="G254" s="19" t="n">
        <x:v>46221.625</x:v>
      </x:c>
      <x:c r="H254" s="18" t="str"/>
      <x:c r="I254" s="18" t="str">
        <x:v>Y</x:v>
      </x:c>
      <x:c r="J254" s="18" t="str">
        <x:v>Y</x:v>
      </x:c>
      <x:c r="K254" s="18" t="str">
        <x:v>7월3주차 편의점신상 (GS25, CU)에서 구체적인 상품·현상으로 관찰돼 후속 검색·언급 증가 여부를 검증할 후보로 수집했다.</x:v>
      </x:c>
      <x:c r="L254" s="18" t="str">
        <x:v>공개 자료에서 사워레몬요거트바 관찰</x:v>
      </x:c>
      <x:c r="M254" s="18" t="str">
        <x:v>other</x:v>
      </x:c>
      <x:c r="N254" s="18" t="str">
        <x:v>다먹어라이언</x:v>
      </x:c>
      <x:c r="O254" s="19" t="n">
        <x:v>46221.625</x:v>
      </x:c>
      <x:c r="P254" s="18" t="str">
        <x:v>7월3주차 편의점신상 (GS25, CU)</x:v>
      </x:c>
      <x:c r="Q254" s="18" t="str">
        <x:v>https://v.daum.net/v/66iOCie4d4?f=p</x:v>
      </x:c>
      <x:c r="R254" s="18" t="str">
        <x:v>other</x:v>
      </x:c>
      <x:c r="S254" s="18" t="str">
        <x:v>편의점 신제품리뷰 채널</x:v>
      </x:c>
      <x:c r="T254" s="19" t="n">
        <x:v>46247.625</x:v>
      </x:c>
      <x:c r="U254" s="18" t="str">
        <x:v>편의점 신제품리뷰 공개 목록</x:v>
      </x:c>
      <x:c r="V254" s="18" t="str">
        <x:v>https://v.daum.net/channel/551515/contents</x:v>
      </x:c>
      <x:c r="W254" s="18" t="str">
        <x:v>resolved_excluded</x:v>
      </x:c>
      <x:c r="X254" s="18" t="str">
        <x:v>excluded</x:v>
      </x:c>
      <x:c r="Y254" s="18" t="str">
        <x:v>광고성</x:v>
      </x:c>
      <x:c r="Z254" s="18" t="str"/>
      <x:c r="AA254" s="18" t="str">
        <x:v>단일 신상품 모음 또는 판매성 소개만 확인돼 관심·언급 증가와 다채널 확산을 입증하지 못했다.</x:v>
      </x:c>
    </x:row>
    <x:row r="255">
      <x:c r="A255" s="18" t="n">
        <x:v>252</x:v>
      </x:c>
      <x:c r="B255" s="18" t="str">
        <x:v>kr_202608_candidate_252</x:v>
      </x:c>
      <x:c r="C255" s="18" t="str">
        <x:v>우정욱셰프 스팸 묵은지김밥</x:v>
      </x:c>
      <x:c r="D255" s="18" t="str">
        <x:v>[]</x:v>
      </x:c>
      <x:c r="E255" s="18" t="str">
        <x:v>food</x:v>
      </x:c>
      <x:c r="F255" s="18" t="str">
        <x:v>consumer_product</x:v>
      </x:c>
      <x:c r="G255" s="19" t="n">
        <x:v>46221.625</x:v>
      </x:c>
      <x:c r="H255" s="18" t="str"/>
      <x:c r="I255" s="18" t="str">
        <x:v>Y</x:v>
      </x:c>
      <x:c r="J255" s="18" t="str">
        <x:v>Y</x:v>
      </x:c>
      <x:c r="K255" s="18" t="str">
        <x:v>7월3주차 편의점신상 (GS25, CU)에서 구체적인 상품·현상으로 관찰돼 후속 검색·언급 증가 여부를 검증할 후보로 수집했다.</x:v>
      </x:c>
      <x:c r="L255" s="18" t="str">
        <x:v>공개 자료에서 우정욱셰프 스팸 묵은지김밥 관찰</x:v>
      </x:c>
      <x:c r="M255" s="18" t="str">
        <x:v>other</x:v>
      </x:c>
      <x:c r="N255" s="18" t="str">
        <x:v>다먹어라이언</x:v>
      </x:c>
      <x:c r="O255" s="19" t="n">
        <x:v>46221.625</x:v>
      </x:c>
      <x:c r="P255" s="18" t="str">
        <x:v>7월3주차 편의점신상 (GS25, CU)</x:v>
      </x:c>
      <x:c r="Q255" s="18" t="str">
        <x:v>https://v.daum.net/v/66iOCie4d4?f=p</x:v>
      </x:c>
      <x:c r="R255" s="18" t="str">
        <x:v>other</x:v>
      </x:c>
      <x:c r="S255" s="18" t="str">
        <x:v>편의점 신제품리뷰 채널</x:v>
      </x:c>
      <x:c r="T255" s="19" t="n">
        <x:v>46247.625</x:v>
      </x:c>
      <x:c r="U255" s="18" t="str">
        <x:v>편의점 신제품리뷰 공개 목록</x:v>
      </x:c>
      <x:c r="V255" s="18" t="str">
        <x:v>https://v.daum.net/channel/551515/contents</x:v>
      </x:c>
      <x:c r="W255" s="18" t="str">
        <x:v>resolved_excluded</x:v>
      </x:c>
      <x:c r="X255" s="18" t="str">
        <x:v>excluded</x:v>
      </x:c>
      <x:c r="Y255" s="18" t="str">
        <x:v>광고성</x:v>
      </x:c>
      <x:c r="Z255" s="18" t="str"/>
      <x:c r="AA255" s="18" t="str">
        <x:v>단일 신상품 모음 또는 판매성 소개만 확인돼 관심·언급 증가와 다채널 확산을 입증하지 못했다.</x:v>
      </x:c>
    </x:row>
    <x:row r="256">
      <x:c r="A256" s="18" t="n">
        <x:v>253</x:v>
      </x:c>
      <x:c r="B256" s="18" t="str">
        <x:v>kr_202608_candidate_253</x:v>
      </x:c>
      <x:c r="C256" s="18" t="str">
        <x:v>쿠숭이보틀초콜릿</x:v>
      </x:c>
      <x:c r="D256" s="18" t="str">
        <x:v>[]</x:v>
      </x:c>
      <x:c r="E256" s="18" t="str">
        <x:v>food</x:v>
      </x:c>
      <x:c r="F256" s="18" t="str">
        <x:v>consumer_product</x:v>
      </x:c>
      <x:c r="G256" s="19" t="n">
        <x:v>46221.625</x:v>
      </x:c>
      <x:c r="H256" s="18" t="str"/>
      <x:c r="I256" s="18" t="str">
        <x:v>Y</x:v>
      </x:c>
      <x:c r="J256" s="18" t="str">
        <x:v>Y</x:v>
      </x:c>
      <x:c r="K256" s="18" t="str">
        <x:v>7월3주차 편의점신상 (GS25, CU)에서 구체적인 상품·현상으로 관찰돼 후속 검색·언급 증가 여부를 검증할 후보로 수집했다.</x:v>
      </x:c>
      <x:c r="L256" s="18" t="str">
        <x:v>공개 자료에서 쿠숭이보틀초콜릿 관찰</x:v>
      </x:c>
      <x:c r="M256" s="18" t="str">
        <x:v>other</x:v>
      </x:c>
      <x:c r="N256" s="18" t="str">
        <x:v>다먹어라이언</x:v>
      </x:c>
      <x:c r="O256" s="19" t="n">
        <x:v>46221.625</x:v>
      </x:c>
      <x:c r="P256" s="18" t="str">
        <x:v>7월3주차 편의점신상 (GS25, CU)</x:v>
      </x:c>
      <x:c r="Q256" s="18" t="str">
        <x:v>https://v.daum.net/v/66iOCie4d4?f=p</x:v>
      </x:c>
      <x:c r="R256" s="18" t="str">
        <x:v>other</x:v>
      </x:c>
      <x:c r="S256" s="18" t="str">
        <x:v>편의점 신제품리뷰 채널</x:v>
      </x:c>
      <x:c r="T256" s="19" t="n">
        <x:v>46247.625</x:v>
      </x:c>
      <x:c r="U256" s="18" t="str">
        <x:v>편의점 신제품리뷰 공개 목록</x:v>
      </x:c>
      <x:c r="V256" s="18" t="str">
        <x:v>https://v.daum.net/channel/551515/contents</x:v>
      </x:c>
      <x:c r="W256" s="18" t="str">
        <x:v>resolved_excluded</x:v>
      </x:c>
      <x:c r="X256" s="18" t="str">
        <x:v>excluded</x:v>
      </x:c>
      <x:c r="Y256" s="18" t="str">
        <x:v>광고성</x:v>
      </x:c>
      <x:c r="Z256" s="18" t="str"/>
      <x:c r="AA256" s="18" t="str">
        <x:v>단일 신상품 모음 또는 판매성 소개만 확인돼 관심·언급 증가와 다채널 확산을 입증하지 못했다.</x:v>
      </x:c>
    </x:row>
    <x:row r="257">
      <x:c r="A257" s="18" t="n">
        <x:v>254</x:v>
      </x:c>
      <x:c r="B257" s="18" t="str">
        <x:v>kr_202608_candidate_254</x:v>
      </x:c>
      <x:c r="C257" s="18" t="str">
        <x:v>스폰지밥 클레이젤리</x:v>
      </x:c>
      <x:c r="D257" s="18" t="str">
        <x:v>[]</x:v>
      </x:c>
      <x:c r="E257" s="18" t="str">
        <x:v>food</x:v>
      </x:c>
      <x:c r="F257" s="18" t="str">
        <x:v>consumer_product</x:v>
      </x:c>
      <x:c r="G257" s="19" t="n">
        <x:v>46221.625</x:v>
      </x:c>
      <x:c r="H257" s="18" t="str"/>
      <x:c r="I257" s="18" t="str">
        <x:v>Y</x:v>
      </x:c>
      <x:c r="J257" s="18" t="str">
        <x:v>Y</x:v>
      </x:c>
      <x:c r="K257" s="18" t="str">
        <x:v>7월3주차 편의점신상 (GS25, CU)에서 구체적인 상품·현상으로 관찰돼 후속 검색·언급 증가 여부를 검증할 후보로 수집했다.</x:v>
      </x:c>
      <x:c r="L257" s="18" t="str">
        <x:v>공개 자료에서 스폰지밥 클레이젤리 관찰</x:v>
      </x:c>
      <x:c r="M257" s="18" t="str">
        <x:v>other</x:v>
      </x:c>
      <x:c r="N257" s="18" t="str">
        <x:v>다먹어라이언</x:v>
      </x:c>
      <x:c r="O257" s="19" t="n">
        <x:v>46221.625</x:v>
      </x:c>
      <x:c r="P257" s="18" t="str">
        <x:v>7월3주차 편의점신상 (GS25, CU)</x:v>
      </x:c>
      <x:c r="Q257" s="18" t="str">
        <x:v>https://v.daum.net/v/66iOCie4d4?f=p</x:v>
      </x:c>
      <x:c r="R257" s="18" t="str">
        <x:v>other</x:v>
      </x:c>
      <x:c r="S257" s="18" t="str">
        <x:v>편의점 신제품리뷰 채널</x:v>
      </x:c>
      <x:c r="T257" s="19" t="n">
        <x:v>46247.625</x:v>
      </x:c>
      <x:c r="U257" s="18" t="str">
        <x:v>편의점 신제품리뷰 공개 목록</x:v>
      </x:c>
      <x:c r="V257" s="18" t="str">
        <x:v>https://v.daum.net/channel/551515/contents</x:v>
      </x:c>
      <x:c r="W257" s="18" t="str">
        <x:v>resolved_excluded</x:v>
      </x:c>
      <x:c r="X257" s="18" t="str">
        <x:v>excluded</x:v>
      </x:c>
      <x:c r="Y257" s="18" t="str">
        <x:v>광고성</x:v>
      </x:c>
      <x:c r="Z257" s="18" t="str"/>
      <x:c r="AA257" s="18" t="str">
        <x:v>단일 신상품 모음 또는 판매성 소개만 확인돼 관심·언급 증가와 다채널 확산을 입증하지 못했다.</x:v>
      </x:c>
    </x:row>
    <x:row r="258">
      <x:c r="A258" s="18" t="n">
        <x:v>255</x:v>
      </x:c>
      <x:c r="B258" s="18" t="str">
        <x:v>kr_202608_candidate_255</x:v>
      </x:c>
      <x:c r="C258" s="18" t="str">
        <x:v>몬치치 과일젤리</x:v>
      </x:c>
      <x:c r="D258" s="18" t="str">
        <x:v>[]</x:v>
      </x:c>
      <x:c r="E258" s="18" t="str">
        <x:v>food</x:v>
      </x:c>
      <x:c r="F258" s="18" t="str">
        <x:v>consumer_product</x:v>
      </x:c>
      <x:c r="G258" s="19" t="n">
        <x:v>46242.625</x:v>
      </x:c>
      <x:c r="H258" s="18" t="str">
        <x:v>Y</x:v>
      </x:c>
      <x:c r="I258" s="18" t="str">
        <x:v>Y</x:v>
      </x:c>
      <x:c r="J258" s="18" t="str">
        <x:v>Y</x:v>
      </x:c>
      <x:c r="K258" s="18" t="str">
        <x:v>8월2주차 편의점신상 (GS25,CU,세븐일레븐,이마트24)에서 구체적인 상품·현상으로 관찰돼 후속 검색·언급 증가 여부를 검증할 후보로 수집했다.</x:v>
      </x:c>
      <x:c r="L258" s="18" t="str">
        <x:v>공개 자료에서 몬치치 과일젤리 관찰</x:v>
      </x:c>
      <x:c r="M258" s="18" t="str">
        <x:v>other</x:v>
      </x:c>
      <x:c r="N258" s="18" t="str">
        <x:v>다먹어라이언</x:v>
      </x:c>
      <x:c r="O258" s="19" t="n">
        <x:v>46242.625</x:v>
      </x:c>
      <x:c r="P258" s="18" t="str">
        <x:v>8월2주차 편의점신상 (GS25,CU,세븐일레븐,이마트24)</x:v>
      </x:c>
      <x:c r="Q258" s="18" t="str">
        <x:v>https://v.daum.net/v/zDB5NlSr7A</x:v>
      </x:c>
      <x:c r="R258" s="18" t="str">
        <x:v>other</x:v>
      </x:c>
      <x:c r="S258" s="18" t="str">
        <x:v>편의점 신제품리뷰 채널</x:v>
      </x:c>
      <x:c r="T258" s="19" t="n">
        <x:v>46247.625</x:v>
      </x:c>
      <x:c r="U258" s="18" t="str">
        <x:v>편의점 신제품리뷰 공개 목록</x:v>
      </x:c>
      <x:c r="V258" s="18" t="str">
        <x:v>https://v.daum.net/channel/551515/contents</x:v>
      </x:c>
      <x:c r="W258" s="18" t="str">
        <x:v>resolved_excluded</x:v>
      </x:c>
      <x:c r="X258" s="18" t="str">
        <x:v>excluded</x:v>
      </x:c>
      <x:c r="Y258" s="18" t="str">
        <x:v>광고성</x:v>
      </x:c>
      <x:c r="Z258" s="18" t="str"/>
      <x:c r="AA258" s="18" t="str">
        <x:v>단일 신상품 모음 또는 판매성 소개만 확인돼 관심·언급 증가와 다채널 확산을 입증하지 못했다.</x:v>
      </x:c>
    </x:row>
    <x:row r="259">
      <x:c r="A259" s="18" t="n">
        <x:v>256</x:v>
      </x:c>
      <x:c r="B259" s="18" t="str">
        <x:v>kr_202608_candidate_256</x:v>
      </x:c>
      <x:c r="C259" s="18" t="str">
        <x:v>디시 피스타치오</x:v>
      </x:c>
      <x:c r="D259" s="18" t="str">
        <x:v>[]</x:v>
      </x:c>
      <x:c r="E259" s="18" t="str">
        <x:v>food</x:v>
      </x:c>
      <x:c r="F259" s="18" t="str">
        <x:v>consumer_product</x:v>
      </x:c>
      <x:c r="G259" s="19" t="n">
        <x:v>46242.625</x:v>
      </x:c>
      <x:c r="H259" s="18" t="str">
        <x:v>Y</x:v>
      </x:c>
      <x:c r="I259" s="18" t="str">
        <x:v>Y</x:v>
      </x:c>
      <x:c r="J259" s="18" t="str">
        <x:v>Y</x:v>
      </x:c>
      <x:c r="K259" s="18" t="str">
        <x:v>8월2주차 편의점신상 (GS25,CU,세븐일레븐,이마트24)에서 구체적인 상품·현상으로 관찰돼 후속 검색·언급 증가 여부를 검증할 후보로 수집했다.</x:v>
      </x:c>
      <x:c r="L259" s="18" t="str">
        <x:v>공개 자료에서 디시 피스타치오 관찰</x:v>
      </x:c>
      <x:c r="M259" s="18" t="str">
        <x:v>other</x:v>
      </x:c>
      <x:c r="N259" s="18" t="str">
        <x:v>다먹어라이언</x:v>
      </x:c>
      <x:c r="O259" s="19" t="n">
        <x:v>46242.625</x:v>
      </x:c>
      <x:c r="P259" s="18" t="str">
        <x:v>8월2주차 편의점신상 (GS25,CU,세븐일레븐,이마트24)</x:v>
      </x:c>
      <x:c r="Q259" s="18" t="str">
        <x:v>https://v.daum.net/v/zDB5NlSr7A</x:v>
      </x:c>
      <x:c r="R259" s="18" t="str">
        <x:v>other</x:v>
      </x:c>
      <x:c r="S259" s="18" t="str">
        <x:v>편의점 신제품리뷰 채널</x:v>
      </x:c>
      <x:c r="T259" s="19" t="n">
        <x:v>46247.625</x:v>
      </x:c>
      <x:c r="U259" s="18" t="str">
        <x:v>편의점 신제품리뷰 공개 목록</x:v>
      </x:c>
      <x:c r="V259" s="18" t="str">
        <x:v>https://v.daum.net/channel/551515/contents</x:v>
      </x:c>
      <x:c r="W259" s="18" t="str">
        <x:v>resolved_excluded</x:v>
      </x:c>
      <x:c r="X259" s="18" t="str">
        <x:v>excluded</x:v>
      </x:c>
      <x:c r="Y259" s="18" t="str">
        <x:v>광고성</x:v>
      </x:c>
      <x:c r="Z259" s="18" t="str"/>
      <x:c r="AA259" s="18" t="str">
        <x:v>단일 신상품 모음 또는 판매성 소개만 확인돼 관심·언급 증가와 다채널 확산을 입증하지 못했다.</x:v>
      </x:c>
    </x:row>
    <x:row r="260">
      <x:c r="A260" s="18" t="n">
        <x:v>257</x:v>
      </x:c>
      <x:c r="B260" s="18" t="str">
        <x:v>kr_202608_candidate_257</x:v>
      </x:c>
      <x:c r="C260" s="18" t="str">
        <x:v>OBC라거헬레스캔</x:v>
      </x:c>
      <x:c r="D260" s="18" t="str">
        <x:v>[]</x:v>
      </x:c>
      <x:c r="E260" s="18" t="str">
        <x:v>food</x:v>
      </x:c>
      <x:c r="F260" s="18" t="str">
        <x:v>consumer_product</x:v>
      </x:c>
      <x:c r="G260" s="19" t="n">
        <x:v>46242.625</x:v>
      </x:c>
      <x:c r="H260" s="18" t="str">
        <x:v>Y</x:v>
      </x:c>
      <x:c r="I260" s="18" t="str">
        <x:v>Y</x:v>
      </x:c>
      <x:c r="J260" s="18" t="str">
        <x:v>Y</x:v>
      </x:c>
      <x:c r="K260" s="18" t="str">
        <x:v>8월2주차 편의점신상 (GS25,CU,세븐일레븐,이마트24)에서 구체적인 상품·현상으로 관찰돼 후속 검색·언급 증가 여부를 검증할 후보로 수집했다.</x:v>
      </x:c>
      <x:c r="L260" s="18" t="str">
        <x:v>공개 자료에서 OBC라거헬레스캔 관찰</x:v>
      </x:c>
      <x:c r="M260" s="18" t="str">
        <x:v>other</x:v>
      </x:c>
      <x:c r="N260" s="18" t="str">
        <x:v>다먹어라이언</x:v>
      </x:c>
      <x:c r="O260" s="19" t="n">
        <x:v>46242.625</x:v>
      </x:c>
      <x:c r="P260" s="18" t="str">
        <x:v>8월2주차 편의점신상 (GS25,CU,세븐일레븐,이마트24)</x:v>
      </x:c>
      <x:c r="Q260" s="18" t="str">
        <x:v>https://v.daum.net/v/zDB5NlSr7A</x:v>
      </x:c>
      <x:c r="R260" s="18" t="str">
        <x:v>other</x:v>
      </x:c>
      <x:c r="S260" s="18" t="str">
        <x:v>편의점 신제품리뷰 채널</x:v>
      </x:c>
      <x:c r="T260" s="19" t="n">
        <x:v>46247.625</x:v>
      </x:c>
      <x:c r="U260" s="18" t="str">
        <x:v>편의점 신제품리뷰 공개 목록</x:v>
      </x:c>
      <x:c r="V260" s="18" t="str">
        <x:v>https://v.daum.net/channel/551515/contents</x:v>
      </x:c>
      <x:c r="W260" s="18" t="str">
        <x:v>resolved_excluded</x:v>
      </x:c>
      <x:c r="X260" s="18" t="str">
        <x:v>excluded</x:v>
      </x:c>
      <x:c r="Y260" s="18" t="str">
        <x:v>광고성</x:v>
      </x:c>
      <x:c r="Z260" s="18" t="str"/>
      <x:c r="AA260" s="18" t="str">
        <x:v>단일 신상품 모음 또는 판매성 소개만 확인돼 관심·언급 증가와 다채널 확산을 입증하지 못했다.</x:v>
      </x:c>
    </x:row>
    <x:row r="261">
      <x:c r="A261" s="18" t="n">
        <x:v>258</x:v>
      </x:c>
      <x:c r="B261" s="18" t="str">
        <x:v>kr_202608_candidate_258</x:v>
      </x:c>
      <x:c r="C261" s="18" t="str">
        <x:v>OBC라거비엔나캔</x:v>
      </x:c>
      <x:c r="D261" s="18" t="str">
        <x:v>[]</x:v>
      </x:c>
      <x:c r="E261" s="18" t="str">
        <x:v>food</x:v>
      </x:c>
      <x:c r="F261" s="18" t="str">
        <x:v>consumer_product</x:v>
      </x:c>
      <x:c r="G261" s="19" t="n">
        <x:v>46242.625</x:v>
      </x:c>
      <x:c r="H261" s="18" t="str">
        <x:v>Y</x:v>
      </x:c>
      <x:c r="I261" s="18" t="str">
        <x:v>Y</x:v>
      </x:c>
      <x:c r="J261" s="18" t="str">
        <x:v>Y</x:v>
      </x:c>
      <x:c r="K261" s="18" t="str">
        <x:v>8월2주차 편의점신상 (GS25,CU,세븐일레븐,이마트24)에서 구체적인 상품·현상으로 관찰돼 후속 검색·언급 증가 여부를 검증할 후보로 수집했다.</x:v>
      </x:c>
      <x:c r="L261" s="18" t="str">
        <x:v>공개 자료에서 OBC라거비엔나캔 관찰</x:v>
      </x:c>
      <x:c r="M261" s="18" t="str">
        <x:v>other</x:v>
      </x:c>
      <x:c r="N261" s="18" t="str">
        <x:v>다먹어라이언</x:v>
      </x:c>
      <x:c r="O261" s="19" t="n">
        <x:v>46242.625</x:v>
      </x:c>
      <x:c r="P261" s="18" t="str">
        <x:v>8월2주차 편의점신상 (GS25,CU,세븐일레븐,이마트24)</x:v>
      </x:c>
      <x:c r="Q261" s="18" t="str">
        <x:v>https://v.daum.net/v/zDB5NlSr7A</x:v>
      </x:c>
      <x:c r="R261" s="18" t="str">
        <x:v>other</x:v>
      </x:c>
      <x:c r="S261" s="18" t="str">
        <x:v>편의점 신제품리뷰 채널</x:v>
      </x:c>
      <x:c r="T261" s="19" t="n">
        <x:v>46247.625</x:v>
      </x:c>
      <x:c r="U261" s="18" t="str">
        <x:v>편의점 신제품리뷰 공개 목록</x:v>
      </x:c>
      <x:c r="V261" s="18" t="str">
        <x:v>https://v.daum.net/channel/551515/contents</x:v>
      </x:c>
      <x:c r="W261" s="18" t="str">
        <x:v>resolved_excluded</x:v>
      </x:c>
      <x:c r="X261" s="18" t="str">
        <x:v>excluded</x:v>
      </x:c>
      <x:c r="Y261" s="18" t="str">
        <x:v>광고성</x:v>
      </x:c>
      <x:c r="Z261" s="18" t="str"/>
      <x:c r="AA261" s="18" t="str">
        <x:v>단일 신상품 모음 또는 판매성 소개만 확인돼 관심·언급 증가와 다채널 확산을 입증하지 못했다.</x:v>
      </x:c>
    </x:row>
    <x:row r="262">
      <x:c r="A262" s="18" t="n">
        <x:v>259</x:v>
      </x:c>
      <x:c r="B262" s="18" t="str">
        <x:v>kr_202608_candidate_259</x:v>
      </x:c>
      <x:c r="C262" s="18" t="str">
        <x:v>로스티드콘</x:v>
      </x:c>
      <x:c r="D262" s="18" t="str">
        <x:v>[]</x:v>
      </x:c>
      <x:c r="E262" s="18" t="str">
        <x:v>food</x:v>
      </x:c>
      <x:c r="F262" s="18" t="str">
        <x:v>consumer_product</x:v>
      </x:c>
      <x:c r="G262" s="19" t="n">
        <x:v>46242.625</x:v>
      </x:c>
      <x:c r="H262" s="18" t="str">
        <x:v>Y</x:v>
      </x:c>
      <x:c r="I262" s="18" t="str">
        <x:v>Y</x:v>
      </x:c>
      <x:c r="J262" s="18" t="str">
        <x:v>Y</x:v>
      </x:c>
      <x:c r="K262" s="18" t="str">
        <x:v>8월2주차 편의점신상 (GS25,CU,세븐일레븐,이마트24)에서 구체적인 상품·현상으로 관찰돼 후속 검색·언급 증가 여부를 검증할 후보로 수집했다.</x:v>
      </x:c>
      <x:c r="L262" s="18" t="str">
        <x:v>공개 자료에서 로스티드콘 관찰</x:v>
      </x:c>
      <x:c r="M262" s="18" t="str">
        <x:v>other</x:v>
      </x:c>
      <x:c r="N262" s="18" t="str">
        <x:v>다먹어라이언</x:v>
      </x:c>
      <x:c r="O262" s="19" t="n">
        <x:v>46242.625</x:v>
      </x:c>
      <x:c r="P262" s="18" t="str">
        <x:v>8월2주차 편의점신상 (GS25,CU,세븐일레븐,이마트24)</x:v>
      </x:c>
      <x:c r="Q262" s="18" t="str">
        <x:v>https://v.daum.net/v/zDB5NlSr7A</x:v>
      </x:c>
      <x:c r="R262" s="18" t="str">
        <x:v>other</x:v>
      </x:c>
      <x:c r="S262" s="18" t="str">
        <x:v>편의점 신제품리뷰 채널</x:v>
      </x:c>
      <x:c r="T262" s="19" t="n">
        <x:v>46247.625</x:v>
      </x:c>
      <x:c r="U262" s="18" t="str">
        <x:v>편의점 신제품리뷰 공개 목록</x:v>
      </x:c>
      <x:c r="V262" s="18" t="str">
        <x:v>https://v.daum.net/channel/551515/contents</x:v>
      </x:c>
      <x:c r="W262" s="18" t="str">
        <x:v>resolved_excluded</x:v>
      </x:c>
      <x:c r="X262" s="18" t="str">
        <x:v>excluded</x:v>
      </x:c>
      <x:c r="Y262" s="18" t="str">
        <x:v>광고성</x:v>
      </x:c>
      <x:c r="Z262" s="18" t="str"/>
      <x:c r="AA262" s="18" t="str">
        <x:v>단일 신상품 모음 또는 판매성 소개만 확인돼 관심·언급 증가와 다채널 확산을 입증하지 못했다.</x:v>
      </x:c>
    </x:row>
    <x:row r="263">
      <x:c r="A263" s="18" t="n">
        <x:v>260</x:v>
      </x:c>
      <x:c r="B263" s="18" t="str">
        <x:v>kr_202608_candidate_260</x:v>
      </x:c>
      <x:c r="C263" s="18" t="str">
        <x:v>소고기미역국밥</x:v>
      </x:c>
      <x:c r="D263" s="18" t="str">
        <x:v>[]</x:v>
      </x:c>
      <x:c r="E263" s="18" t="str">
        <x:v>food</x:v>
      </x:c>
      <x:c r="F263" s="18" t="str">
        <x:v>consumer_product</x:v>
      </x:c>
      <x:c r="G263" s="19" t="n">
        <x:v>46242.625</x:v>
      </x:c>
      <x:c r="H263" s="18" t="str">
        <x:v>Y</x:v>
      </x:c>
      <x:c r="I263" s="18" t="str">
        <x:v>Y</x:v>
      </x:c>
      <x:c r="J263" s="18" t="str">
        <x:v>Y</x:v>
      </x:c>
      <x:c r="K263" s="18" t="str">
        <x:v>8월2주차 편의점신상 (GS25,CU,세븐일레븐,이마트24)에서 구체적인 상품·현상으로 관찰돼 후속 검색·언급 증가 여부를 검증할 후보로 수집했다.</x:v>
      </x:c>
      <x:c r="L263" s="18" t="str">
        <x:v>공개 자료에서 소고기미역국밥 관찰</x:v>
      </x:c>
      <x:c r="M263" s="18" t="str">
        <x:v>other</x:v>
      </x:c>
      <x:c r="N263" s="18" t="str">
        <x:v>다먹어라이언</x:v>
      </x:c>
      <x:c r="O263" s="19" t="n">
        <x:v>46242.625</x:v>
      </x:c>
      <x:c r="P263" s="18" t="str">
        <x:v>8월2주차 편의점신상 (GS25,CU,세븐일레븐,이마트24)</x:v>
      </x:c>
      <x:c r="Q263" s="18" t="str">
        <x:v>https://v.daum.net/v/zDB5NlSr7A</x:v>
      </x:c>
      <x:c r="R263" s="18" t="str">
        <x:v>other</x:v>
      </x:c>
      <x:c r="S263" s="18" t="str">
        <x:v>편의점 신제품리뷰 채널</x:v>
      </x:c>
      <x:c r="T263" s="19" t="n">
        <x:v>46247.625</x:v>
      </x:c>
      <x:c r="U263" s="18" t="str">
        <x:v>편의점 신제품리뷰 공개 목록</x:v>
      </x:c>
      <x:c r="V263" s="18" t="str">
        <x:v>https://v.daum.net/channel/551515/contents</x:v>
      </x:c>
      <x:c r="W263" s="18" t="str">
        <x:v>resolved_excluded</x:v>
      </x:c>
      <x:c r="X263" s="18" t="str">
        <x:v>excluded</x:v>
      </x:c>
      <x:c r="Y263" s="18" t="str">
        <x:v>광고성</x:v>
      </x:c>
      <x:c r="Z263" s="18" t="str"/>
      <x:c r="AA263" s="18" t="str">
        <x:v>단일 신상품 모음 또는 판매성 소개만 확인돼 관심·언급 증가와 다채널 확산을 입증하지 못했다.</x:v>
      </x:c>
    </x:row>
    <x:row r="264">
      <x:c r="A264" s="18" t="n">
        <x:v>261</x:v>
      </x:c>
      <x:c r="B264" s="18" t="str">
        <x:v>kr_202608_candidate_261</x:v>
      </x:c>
      <x:c r="C264" s="18" t="str">
        <x:v>서울엄마 우정욱셰프 돼지김치짜글이</x:v>
      </x:c>
      <x:c r="D264" s="18" t="str">
        <x:v>[]</x:v>
      </x:c>
      <x:c r="E264" s="18" t="str">
        <x:v>food</x:v>
      </x:c>
      <x:c r="F264" s="18" t="str">
        <x:v>consumer_product</x:v>
      </x:c>
      <x:c r="G264" s="19" t="n">
        <x:v>46242.625</x:v>
      </x:c>
      <x:c r="H264" s="18" t="str">
        <x:v>Y</x:v>
      </x:c>
      <x:c r="I264" s="18" t="str">
        <x:v>Y</x:v>
      </x:c>
      <x:c r="J264" s="18" t="str">
        <x:v>Y</x:v>
      </x:c>
      <x:c r="K264" s="18" t="str">
        <x:v>8월2주차 편의점신상 (GS25,CU,세븐일레븐,이마트24)에서 구체적인 상품·현상으로 관찰돼 후속 검색·언급 증가 여부를 검증할 후보로 수집했다.</x:v>
      </x:c>
      <x:c r="L264" s="18" t="str">
        <x:v>공개 자료에서 서울엄마 우정욱셰프 돼지김치짜글이 관찰</x:v>
      </x:c>
      <x:c r="M264" s="18" t="str">
        <x:v>other</x:v>
      </x:c>
      <x:c r="N264" s="18" t="str">
        <x:v>다먹어라이언</x:v>
      </x:c>
      <x:c r="O264" s="19" t="n">
        <x:v>46242.625</x:v>
      </x:c>
      <x:c r="P264" s="18" t="str">
        <x:v>8월2주차 편의점신상 (GS25,CU,세븐일레븐,이마트24)</x:v>
      </x:c>
      <x:c r="Q264" s="18" t="str">
        <x:v>https://v.daum.net/v/zDB5NlSr7A</x:v>
      </x:c>
      <x:c r="R264" s="18" t="str">
        <x:v>other</x:v>
      </x:c>
      <x:c r="S264" s="18" t="str">
        <x:v>편의점 신제품리뷰 채널</x:v>
      </x:c>
      <x:c r="T264" s="19" t="n">
        <x:v>46247.625</x:v>
      </x:c>
      <x:c r="U264" s="18" t="str">
        <x:v>편의점 신제품리뷰 공개 목록</x:v>
      </x:c>
      <x:c r="V264" s="18" t="str">
        <x:v>https://v.daum.net/channel/551515/contents</x:v>
      </x:c>
      <x:c r="W264" s="18" t="str">
        <x:v>resolved_excluded</x:v>
      </x:c>
      <x:c r="X264" s="18" t="str">
        <x:v>excluded</x:v>
      </x:c>
      <x:c r="Y264" s="18" t="str">
        <x:v>광고성</x:v>
      </x:c>
      <x:c r="Z264" s="18" t="str"/>
      <x:c r="AA264" s="18" t="str">
        <x:v>단일 신상품 모음 또는 판매성 소개만 확인돼 관심·언급 증가와 다채널 확산을 입증하지 못했다.</x:v>
      </x:c>
    </x:row>
    <x:row r="265">
      <x:c r="A265" s="18" t="n">
        <x:v>262</x:v>
      </x:c>
      <x:c r="B265" s="18" t="str">
        <x:v>kr_202608_candidate_262</x:v>
      </x:c>
      <x:c r="C265" s="18" t="str">
        <x:v>와그작베어 쿠키앤크림</x:v>
      </x:c>
      <x:c r="D265" s="18" t="str">
        <x:v>[]</x:v>
      </x:c>
      <x:c r="E265" s="18" t="str">
        <x:v>food</x:v>
      </x:c>
      <x:c r="F265" s="18" t="str">
        <x:v>consumer_product</x:v>
      </x:c>
      <x:c r="G265" s="19" t="n">
        <x:v>46242.625</x:v>
      </x:c>
      <x:c r="H265" s="18" t="str">
        <x:v>Y</x:v>
      </x:c>
      <x:c r="I265" s="18" t="str">
        <x:v>Y</x:v>
      </x:c>
      <x:c r="J265" s="18" t="str">
        <x:v>Y</x:v>
      </x:c>
      <x:c r="K265" s="18" t="str">
        <x:v>8월2주차 편의점신상 (GS25,CU,세븐일레븐,이마트24)에서 구체적인 상품·현상으로 관찰돼 후속 검색·언급 증가 여부를 검증할 후보로 수집했다.</x:v>
      </x:c>
      <x:c r="L265" s="18" t="str">
        <x:v>공개 자료에서 와그작베어 쿠키앤크림 관찰</x:v>
      </x:c>
      <x:c r="M265" s="18" t="str">
        <x:v>other</x:v>
      </x:c>
      <x:c r="N265" s="18" t="str">
        <x:v>다먹어라이언</x:v>
      </x:c>
      <x:c r="O265" s="19" t="n">
        <x:v>46242.625</x:v>
      </x:c>
      <x:c r="P265" s="18" t="str">
        <x:v>8월2주차 편의점신상 (GS25,CU,세븐일레븐,이마트24)</x:v>
      </x:c>
      <x:c r="Q265" s="18" t="str">
        <x:v>https://v.daum.net/v/zDB5NlSr7A</x:v>
      </x:c>
      <x:c r="R265" s="18" t="str">
        <x:v>other</x:v>
      </x:c>
      <x:c r="S265" s="18" t="str">
        <x:v>편의점 신제품리뷰 채널</x:v>
      </x:c>
      <x:c r="T265" s="19" t="n">
        <x:v>46247.625</x:v>
      </x:c>
      <x:c r="U265" s="18" t="str">
        <x:v>편의점 신제품리뷰 공개 목록</x:v>
      </x:c>
      <x:c r="V265" s="18" t="str">
        <x:v>https://v.daum.net/channel/551515/contents</x:v>
      </x:c>
      <x:c r="W265" s="18" t="str">
        <x:v>resolved_excluded</x:v>
      </x:c>
      <x:c r="X265" s="18" t="str">
        <x:v>excluded</x:v>
      </x:c>
      <x:c r="Y265" s="18" t="str">
        <x:v>광고성</x:v>
      </x:c>
      <x:c r="Z265" s="18" t="str"/>
      <x:c r="AA265" s="18" t="str">
        <x:v>단일 신상품 모음 또는 판매성 소개만 확인돼 관심·언급 증가와 다채널 확산을 입증하지 못했다.</x:v>
      </x:c>
    </x:row>
    <x:row r="266">
      <x:c r="A266" s="18" t="n">
        <x:v>263</x:v>
      </x:c>
      <x:c r="B266" s="18" t="str">
        <x:v>kr_202608_candidate_263</x:v>
      </x:c>
      <x:c r="C266" s="18" t="str">
        <x:v>치트키 리얼크림불닭맛</x:v>
      </x:c>
      <x:c r="D266" s="18" t="str">
        <x:v>[]</x:v>
      </x:c>
      <x:c r="E266" s="18" t="str">
        <x:v>food</x:v>
      </x:c>
      <x:c r="F266" s="18" t="str">
        <x:v>consumer_product</x:v>
      </x:c>
      <x:c r="G266" s="19" t="n">
        <x:v>46242.625</x:v>
      </x:c>
      <x:c r="H266" s="18" t="str">
        <x:v>Y</x:v>
      </x:c>
      <x:c r="I266" s="18" t="str">
        <x:v>Y</x:v>
      </x:c>
      <x:c r="J266" s="18" t="str">
        <x:v>Y</x:v>
      </x:c>
      <x:c r="K266" s="18" t="str">
        <x:v>8월2주차 편의점신상 (GS25,CU,세븐일레븐,이마트24)에서 구체적인 상품·현상으로 관찰돼 후속 검색·언급 증가 여부를 검증할 후보로 수집했다.</x:v>
      </x:c>
      <x:c r="L266" s="18" t="str">
        <x:v>공개 자료에서 치트키 리얼크림불닭맛 관찰</x:v>
      </x:c>
      <x:c r="M266" s="18" t="str">
        <x:v>other</x:v>
      </x:c>
      <x:c r="N266" s="18" t="str">
        <x:v>다먹어라이언</x:v>
      </x:c>
      <x:c r="O266" s="19" t="n">
        <x:v>46242.625</x:v>
      </x:c>
      <x:c r="P266" s="18" t="str">
        <x:v>8월2주차 편의점신상 (GS25,CU,세븐일레븐,이마트24)</x:v>
      </x:c>
      <x:c r="Q266" s="18" t="str">
        <x:v>https://v.daum.net/v/zDB5NlSr7A</x:v>
      </x:c>
      <x:c r="R266" s="18" t="str">
        <x:v>other</x:v>
      </x:c>
      <x:c r="S266" s="18" t="str">
        <x:v>편의점 신제품리뷰 채널</x:v>
      </x:c>
      <x:c r="T266" s="19" t="n">
        <x:v>46247.625</x:v>
      </x:c>
      <x:c r="U266" s="18" t="str">
        <x:v>편의점 신제품리뷰 공개 목록</x:v>
      </x:c>
      <x:c r="V266" s="18" t="str">
        <x:v>https://v.daum.net/channel/551515/contents</x:v>
      </x:c>
      <x:c r="W266" s="18" t="str">
        <x:v>resolved_excluded</x:v>
      </x:c>
      <x:c r="X266" s="18" t="str">
        <x:v>excluded</x:v>
      </x:c>
      <x:c r="Y266" s="18" t="str">
        <x:v>광고성</x:v>
      </x:c>
      <x:c r="Z266" s="18" t="str"/>
      <x:c r="AA266" s="18" t="str">
        <x:v>단일 신상품 모음 또는 판매성 소개만 확인돼 관심·언급 증가와 다채널 확산을 입증하지 못했다.</x:v>
      </x:c>
    </x:row>
    <x:row r="267">
      <x:c r="A267" s="18" t="n">
        <x:v>264</x:v>
      </x:c>
      <x:c r="B267" s="18" t="str">
        <x:v>kr_202608_candidate_264</x:v>
      </x:c>
      <x:c r="C267" s="18" t="str">
        <x:v>하레하레 화이트브레드</x:v>
      </x:c>
      <x:c r="D267" s="18" t="str">
        <x:v>[]</x:v>
      </x:c>
      <x:c r="E267" s="18" t="str">
        <x:v>food</x:v>
      </x:c>
      <x:c r="F267" s="18" t="str">
        <x:v>consumer_product</x:v>
      </x:c>
      <x:c r="G267" s="19" t="n">
        <x:v>46242.625</x:v>
      </x:c>
      <x:c r="H267" s="18" t="str">
        <x:v>Y</x:v>
      </x:c>
      <x:c r="I267" s="18" t="str">
        <x:v>Y</x:v>
      </x:c>
      <x:c r="J267" s="18" t="str">
        <x:v>Y</x:v>
      </x:c>
      <x:c r="K267" s="18" t="str">
        <x:v>8월2주차 편의점신상 (GS25,CU,세븐일레븐,이마트24)에서 구체적인 상품·현상으로 관찰돼 후속 검색·언급 증가 여부를 검증할 후보로 수집했다.</x:v>
      </x:c>
      <x:c r="L267" s="18" t="str">
        <x:v>공개 자료에서 하레하레 화이트브레드 관찰</x:v>
      </x:c>
      <x:c r="M267" s="18" t="str">
        <x:v>other</x:v>
      </x:c>
      <x:c r="N267" s="18" t="str">
        <x:v>다먹어라이언</x:v>
      </x:c>
      <x:c r="O267" s="19" t="n">
        <x:v>46242.625</x:v>
      </x:c>
      <x:c r="P267" s="18" t="str">
        <x:v>8월2주차 편의점신상 (GS25,CU,세븐일레븐,이마트24)</x:v>
      </x:c>
      <x:c r="Q267" s="18" t="str">
        <x:v>https://v.daum.net/v/zDB5NlSr7A</x:v>
      </x:c>
      <x:c r="R267" s="18" t="str">
        <x:v>other</x:v>
      </x:c>
      <x:c r="S267" s="18" t="str">
        <x:v>편의점 신제품리뷰 채널</x:v>
      </x:c>
      <x:c r="T267" s="19" t="n">
        <x:v>46247.625</x:v>
      </x:c>
      <x:c r="U267" s="18" t="str">
        <x:v>편의점 신제품리뷰 공개 목록</x:v>
      </x:c>
      <x:c r="V267" s="18" t="str">
        <x:v>https://v.daum.net/channel/551515/contents</x:v>
      </x:c>
      <x:c r="W267" s="18" t="str">
        <x:v>resolved_excluded</x:v>
      </x:c>
      <x:c r="X267" s="18" t="str">
        <x:v>excluded</x:v>
      </x:c>
      <x:c r="Y267" s="18" t="str">
        <x:v>광고성</x:v>
      </x:c>
      <x:c r="Z267" s="18" t="str"/>
      <x:c r="AA267" s="18" t="str">
        <x:v>단일 신상품 모음 또는 판매성 소개만 확인돼 관심·언급 증가와 다채널 확산을 입증하지 못했다.</x:v>
      </x:c>
    </x:row>
    <x:row r="268">
      <x:c r="A268" s="18" t="n">
        <x:v>265</x:v>
      </x:c>
      <x:c r="B268" s="18" t="str">
        <x:v>kr_202608_candidate_265</x:v>
      </x:c>
      <x:c r="C268" s="18" t="str">
        <x:v>베이크하우스 황치즈빵</x:v>
      </x:c>
      <x:c r="D268" s="18" t="str">
        <x:v>[]</x:v>
      </x:c>
      <x:c r="E268" s="18" t="str">
        <x:v>food</x:v>
      </x:c>
      <x:c r="F268" s="18" t="str">
        <x:v>consumer_product</x:v>
      </x:c>
      <x:c r="G268" s="19" t="n">
        <x:v>46242.625</x:v>
      </x:c>
      <x:c r="H268" s="18" t="str">
        <x:v>Y</x:v>
      </x:c>
      <x:c r="I268" s="18" t="str">
        <x:v>Y</x:v>
      </x:c>
      <x:c r="J268" s="18" t="str">
        <x:v>Y</x:v>
      </x:c>
      <x:c r="K268" s="18" t="str">
        <x:v>8월2주차 편의점신상 (GS25,CU,세븐일레븐,이마트24)에서 구체적인 상품·현상으로 관찰돼 후속 검색·언급 증가 여부를 검증할 후보로 수집했다.</x:v>
      </x:c>
      <x:c r="L268" s="18" t="str">
        <x:v>공개 자료에서 베이크하우스 황치즈빵 관찰</x:v>
      </x:c>
      <x:c r="M268" s="18" t="str">
        <x:v>other</x:v>
      </x:c>
      <x:c r="N268" s="18" t="str">
        <x:v>다먹어라이언</x:v>
      </x:c>
      <x:c r="O268" s="19" t="n">
        <x:v>46242.625</x:v>
      </x:c>
      <x:c r="P268" s="18" t="str">
        <x:v>8월2주차 편의점신상 (GS25,CU,세븐일레븐,이마트24)</x:v>
      </x:c>
      <x:c r="Q268" s="18" t="str">
        <x:v>https://v.daum.net/v/zDB5NlSr7A</x:v>
      </x:c>
      <x:c r="R268" s="18" t="str">
        <x:v>other</x:v>
      </x:c>
      <x:c r="S268" s="18" t="str">
        <x:v>편의점 신제품리뷰 채널</x:v>
      </x:c>
      <x:c r="T268" s="19" t="n">
        <x:v>46247.625</x:v>
      </x:c>
      <x:c r="U268" s="18" t="str">
        <x:v>편의점 신제품리뷰 공개 목록</x:v>
      </x:c>
      <x:c r="V268" s="18" t="str">
        <x:v>https://v.daum.net/channel/551515/contents</x:v>
      </x:c>
      <x:c r="W268" s="18" t="str">
        <x:v>resolved_merged</x:v>
      </x:c>
      <x:c r="X268" s="18" t="str">
        <x:v>merged</x:v>
      </x:c>
      <x:c r="Y268" s="18" t="str"/>
      <x:c r="Z268" s="18" t="str">
        <x:v>kr_202607_yellow_cheese_chip</x:v>
      </x:c>
      <x:c r="AA268" s="18" t="str">
        <x:v>검증된 상위 트렌드의 제품·표현 변형으로 병합했다.</x:v>
      </x:c>
    </x:row>
    <x:row r="269">
      <x:c r="A269" s="18" t="n">
        <x:v>266</x:v>
      </x:c>
      <x:c r="B269" s="18" t="str">
        <x:v>kr_202608_candidate_266</x:v>
      </x:c>
      <x:c r="C269" s="18" t="str">
        <x:v>딱조아피자빵</x:v>
      </x:c>
      <x:c r="D269" s="18" t="str">
        <x:v>[]</x:v>
      </x:c>
      <x:c r="E269" s="18" t="str">
        <x:v>food</x:v>
      </x:c>
      <x:c r="F269" s="18" t="str">
        <x:v>consumer_product</x:v>
      </x:c>
      <x:c r="G269" s="19" t="n">
        <x:v>46242.625</x:v>
      </x:c>
      <x:c r="H269" s="18" t="str">
        <x:v>Y</x:v>
      </x:c>
      <x:c r="I269" s="18" t="str">
        <x:v>Y</x:v>
      </x:c>
      <x:c r="J269" s="18" t="str">
        <x:v>Y</x:v>
      </x:c>
      <x:c r="K269" s="18" t="str">
        <x:v>8월2주차 편의점신상 (GS25,CU,세븐일레븐,이마트24)에서 구체적인 상품·현상으로 관찰돼 후속 검색·언급 증가 여부를 검증할 후보로 수집했다.</x:v>
      </x:c>
      <x:c r="L269" s="18" t="str">
        <x:v>공개 자료에서 딱조아피자빵 관찰</x:v>
      </x:c>
      <x:c r="M269" s="18" t="str">
        <x:v>other</x:v>
      </x:c>
      <x:c r="N269" s="18" t="str">
        <x:v>다먹어라이언</x:v>
      </x:c>
      <x:c r="O269" s="19" t="n">
        <x:v>46242.625</x:v>
      </x:c>
      <x:c r="P269" s="18" t="str">
        <x:v>8월2주차 편의점신상 (GS25,CU,세븐일레븐,이마트24)</x:v>
      </x:c>
      <x:c r="Q269" s="18" t="str">
        <x:v>https://v.daum.net/v/zDB5NlSr7A</x:v>
      </x:c>
      <x:c r="R269" s="18" t="str">
        <x:v>other</x:v>
      </x:c>
      <x:c r="S269" s="18" t="str">
        <x:v>편의점 신제품리뷰 채널</x:v>
      </x:c>
      <x:c r="T269" s="19" t="n">
        <x:v>46247.625</x:v>
      </x:c>
      <x:c r="U269" s="18" t="str">
        <x:v>편의점 신제품리뷰 공개 목록</x:v>
      </x:c>
      <x:c r="V269" s="18" t="str">
        <x:v>https://v.daum.net/channel/551515/contents</x:v>
      </x:c>
      <x:c r="W269" s="18" t="str">
        <x:v>resolved_excluded</x:v>
      </x:c>
      <x:c r="X269" s="18" t="str">
        <x:v>excluded</x:v>
      </x:c>
      <x:c r="Y269" s="18" t="str">
        <x:v>광고성</x:v>
      </x:c>
      <x:c r="Z269" s="18" t="str"/>
      <x:c r="AA269" s="18" t="str">
        <x:v>단일 신상품 모음 또는 판매성 소개만 확인돼 관심·언급 증가와 다채널 확산을 입증하지 못했다.</x:v>
      </x:c>
    </x:row>
    <x:row r="270">
      <x:c r="A270" s="18" t="n">
        <x:v>267</x:v>
      </x:c>
      <x:c r="B270" s="18" t="str">
        <x:v>kr_202608_candidate_267</x:v>
      </x:c>
      <x:c r="C270" s="18" t="str">
        <x:v>치트키 진한크림라면</x:v>
      </x:c>
      <x:c r="D270" s="18" t="str">
        <x:v>[]</x:v>
      </x:c>
      <x:c r="E270" s="18" t="str">
        <x:v>food</x:v>
      </x:c>
      <x:c r="F270" s="18" t="str">
        <x:v>consumer_product</x:v>
      </x:c>
      <x:c r="G270" s="19" t="n">
        <x:v>46242.625</x:v>
      </x:c>
      <x:c r="H270" s="18" t="str">
        <x:v>Y</x:v>
      </x:c>
      <x:c r="I270" s="18" t="str">
        <x:v>Y</x:v>
      </x:c>
      <x:c r="J270" s="18" t="str">
        <x:v>Y</x:v>
      </x:c>
      <x:c r="K270" s="18" t="str">
        <x:v>8월2주차 편의점신상 (GS25,CU,세븐일레븐,이마트24)에서 구체적인 상품·현상으로 관찰돼 후속 검색·언급 증가 여부를 검증할 후보로 수집했다.</x:v>
      </x:c>
      <x:c r="L270" s="18" t="str">
        <x:v>공개 자료에서 치트키 진한크림라면 관찰</x:v>
      </x:c>
      <x:c r="M270" s="18" t="str">
        <x:v>other</x:v>
      </x:c>
      <x:c r="N270" s="18" t="str">
        <x:v>다먹어라이언</x:v>
      </x:c>
      <x:c r="O270" s="19" t="n">
        <x:v>46242.625</x:v>
      </x:c>
      <x:c r="P270" s="18" t="str">
        <x:v>8월2주차 편의점신상 (GS25,CU,세븐일레븐,이마트24)</x:v>
      </x:c>
      <x:c r="Q270" s="18" t="str">
        <x:v>https://v.daum.net/v/zDB5NlSr7A</x:v>
      </x:c>
      <x:c r="R270" s="18" t="str">
        <x:v>other</x:v>
      </x:c>
      <x:c r="S270" s="18" t="str">
        <x:v>편의점 신제품리뷰 채널</x:v>
      </x:c>
      <x:c r="T270" s="19" t="n">
        <x:v>46247.625</x:v>
      </x:c>
      <x:c r="U270" s="18" t="str">
        <x:v>편의점 신제품리뷰 공개 목록</x:v>
      </x:c>
      <x:c r="V270" s="18" t="str">
        <x:v>https://v.daum.net/channel/551515/contents</x:v>
      </x:c>
      <x:c r="W270" s="18" t="str">
        <x:v>resolved_excluded</x:v>
      </x:c>
      <x:c r="X270" s="18" t="str">
        <x:v>excluded</x:v>
      </x:c>
      <x:c r="Y270" s="18" t="str">
        <x:v>광고성</x:v>
      </x:c>
      <x:c r="Z270" s="18" t="str"/>
      <x:c r="AA270" s="18" t="str">
        <x:v>단일 신상품 모음 또는 판매성 소개만 확인돼 관심·언급 증가와 다채널 확산을 입증하지 못했다.</x:v>
      </x:c>
    </x:row>
    <x:row r="271">
      <x:c r="A271" s="18" t="n">
        <x:v>268</x:v>
      </x:c>
      <x:c r="B271" s="18" t="str">
        <x:v>kr_202608_candidate_268</x:v>
      </x:c>
      <x:c r="C271" s="18" t="str">
        <x:v>꿀조합떡볶이</x:v>
      </x:c>
      <x:c r="D271" s="18" t="str">
        <x:v>[]</x:v>
      </x:c>
      <x:c r="E271" s="18" t="str">
        <x:v>food</x:v>
      </x:c>
      <x:c r="F271" s="18" t="str">
        <x:v>consumer_product</x:v>
      </x:c>
      <x:c r="G271" s="19" t="n">
        <x:v>46242.625</x:v>
      </x:c>
      <x:c r="H271" s="18" t="str">
        <x:v>Y</x:v>
      </x:c>
      <x:c r="I271" s="18" t="str">
        <x:v>Y</x:v>
      </x:c>
      <x:c r="J271" s="18" t="str">
        <x:v>Y</x:v>
      </x:c>
      <x:c r="K271" s="18" t="str">
        <x:v>8월2주차 편의점신상 (GS25,CU,세븐일레븐,이마트24)에서 구체적인 상품·현상으로 관찰돼 후속 검색·언급 증가 여부를 검증할 후보로 수집했다.</x:v>
      </x:c>
      <x:c r="L271" s="18" t="str">
        <x:v>공개 자료에서 꿀조합떡볶이 관찰</x:v>
      </x:c>
      <x:c r="M271" s="18" t="str">
        <x:v>other</x:v>
      </x:c>
      <x:c r="N271" s="18" t="str">
        <x:v>다먹어라이언</x:v>
      </x:c>
      <x:c r="O271" s="19" t="n">
        <x:v>46242.625</x:v>
      </x:c>
      <x:c r="P271" s="18" t="str">
        <x:v>8월2주차 편의점신상 (GS25,CU,세븐일레븐,이마트24)</x:v>
      </x:c>
      <x:c r="Q271" s="18" t="str">
        <x:v>https://v.daum.net/v/zDB5NlSr7A</x:v>
      </x:c>
      <x:c r="R271" s="18" t="str">
        <x:v>other</x:v>
      </x:c>
      <x:c r="S271" s="18" t="str">
        <x:v>편의점 신제품리뷰 채널</x:v>
      </x:c>
      <x:c r="T271" s="19" t="n">
        <x:v>46247.625</x:v>
      </x:c>
      <x:c r="U271" s="18" t="str">
        <x:v>편의점 신제품리뷰 공개 목록</x:v>
      </x:c>
      <x:c r="V271" s="18" t="str">
        <x:v>https://v.daum.net/channel/551515/contents</x:v>
      </x:c>
      <x:c r="W271" s="18" t="str">
        <x:v>resolved_excluded</x:v>
      </x:c>
      <x:c r="X271" s="18" t="str">
        <x:v>excluded</x:v>
      </x:c>
      <x:c r="Y271" s="18" t="str">
        <x:v>광고성</x:v>
      </x:c>
      <x:c r="Z271" s="18" t="str"/>
      <x:c r="AA271" s="18" t="str">
        <x:v>단일 신상품 모음 또는 판매성 소개만 확인돼 관심·언급 증가와 다채널 확산을 입증하지 못했다.</x:v>
      </x:c>
    </x:row>
    <x:row r="272">
      <x:c r="A272" s="18" t="n">
        <x:v>269</x:v>
      </x:c>
      <x:c r="B272" s="18" t="str">
        <x:v>kr_202608_candidate_269</x:v>
      </x:c>
      <x:c r="C272" s="18" t="str">
        <x:v>와그작베어 솜사탕</x:v>
      </x:c>
      <x:c r="D272" s="18" t="str">
        <x:v>[]</x:v>
      </x:c>
      <x:c r="E272" s="18" t="str">
        <x:v>food</x:v>
      </x:c>
      <x:c r="F272" s="18" t="str">
        <x:v>consumer_product</x:v>
      </x:c>
      <x:c r="G272" s="19" t="n">
        <x:v>46242.625</x:v>
      </x:c>
      <x:c r="H272" s="18" t="str">
        <x:v>Y</x:v>
      </x:c>
      <x:c r="I272" s="18" t="str">
        <x:v>Y</x:v>
      </x:c>
      <x:c r="J272" s="18" t="str">
        <x:v>Y</x:v>
      </x:c>
      <x:c r="K272" s="18" t="str">
        <x:v>8월2주차 편의점신상 (GS25,CU,세븐일레븐,이마트24)에서 구체적인 상품·현상으로 관찰돼 후속 검색·언급 증가 여부를 검증할 후보로 수집했다.</x:v>
      </x:c>
      <x:c r="L272" s="18" t="str">
        <x:v>공개 자료에서 와그작베어 솜사탕 관찰</x:v>
      </x:c>
      <x:c r="M272" s="18" t="str">
        <x:v>other</x:v>
      </x:c>
      <x:c r="N272" s="18" t="str">
        <x:v>다먹어라이언</x:v>
      </x:c>
      <x:c r="O272" s="19" t="n">
        <x:v>46242.625</x:v>
      </x:c>
      <x:c r="P272" s="18" t="str">
        <x:v>8월2주차 편의점신상 (GS25,CU,세븐일레븐,이마트24)</x:v>
      </x:c>
      <x:c r="Q272" s="18" t="str">
        <x:v>https://v.daum.net/v/zDB5NlSr7A</x:v>
      </x:c>
      <x:c r="R272" s="18" t="str">
        <x:v>other</x:v>
      </x:c>
      <x:c r="S272" s="18" t="str">
        <x:v>편의점 신제품리뷰 채널</x:v>
      </x:c>
      <x:c r="T272" s="19" t="n">
        <x:v>46247.625</x:v>
      </x:c>
      <x:c r="U272" s="18" t="str">
        <x:v>편의점 신제품리뷰 공개 목록</x:v>
      </x:c>
      <x:c r="V272" s="18" t="str">
        <x:v>https://v.daum.net/channel/551515/contents</x:v>
      </x:c>
      <x:c r="W272" s="18" t="str">
        <x:v>resolved_excluded</x:v>
      </x:c>
      <x:c r="X272" s="18" t="str">
        <x:v>excluded</x:v>
      </x:c>
      <x:c r="Y272" s="18" t="str">
        <x:v>광고성</x:v>
      </x:c>
      <x:c r="Z272" s="18" t="str"/>
      <x:c r="AA272" s="18" t="str">
        <x:v>단일 신상품 모음 또는 판매성 소개만 확인돼 관심·언급 증가와 다채널 확산을 입증하지 못했다.</x:v>
      </x:c>
    </x:row>
    <x:row r="273">
      <x:c r="A273" s="18" t="n">
        <x:v>270</x:v>
      </x:c>
      <x:c r="B273" s="18" t="str">
        <x:v>kr_202608_candidate_270</x:v>
      </x:c>
      <x:c r="C273" s="18" t="str">
        <x:v>꼬박꼬밥 저당곤약떡볶이</x:v>
      </x:c>
      <x:c r="D273" s="18" t="str">
        <x:v>[]</x:v>
      </x:c>
      <x:c r="E273" s="18" t="str">
        <x:v>food</x:v>
      </x:c>
      <x:c r="F273" s="18" t="str">
        <x:v>consumer_product</x:v>
      </x:c>
      <x:c r="G273" s="19" t="n">
        <x:v>46242.625</x:v>
      </x:c>
      <x:c r="H273" s="18" t="str">
        <x:v>Y</x:v>
      </x:c>
      <x:c r="I273" s="18" t="str">
        <x:v>Y</x:v>
      </x:c>
      <x:c r="J273" s="18" t="str">
        <x:v>Y</x:v>
      </x:c>
      <x:c r="K273" s="18" t="str">
        <x:v>8월2주차 편의점신상 (GS25,CU,세븐일레븐,이마트24)에서 구체적인 상품·현상으로 관찰돼 후속 검색·언급 증가 여부를 검증할 후보로 수집했다.</x:v>
      </x:c>
      <x:c r="L273" s="18" t="str">
        <x:v>공개 자료에서 꼬박꼬밥 저당곤약떡볶이 관찰</x:v>
      </x:c>
      <x:c r="M273" s="18" t="str">
        <x:v>other</x:v>
      </x:c>
      <x:c r="N273" s="18" t="str">
        <x:v>다먹어라이언</x:v>
      </x:c>
      <x:c r="O273" s="19" t="n">
        <x:v>46242.625</x:v>
      </x:c>
      <x:c r="P273" s="18" t="str">
        <x:v>8월2주차 편의점신상 (GS25,CU,세븐일레븐,이마트24)</x:v>
      </x:c>
      <x:c r="Q273" s="18" t="str">
        <x:v>https://v.daum.net/v/zDB5NlSr7A</x:v>
      </x:c>
      <x:c r="R273" s="18" t="str">
        <x:v>other</x:v>
      </x:c>
      <x:c r="S273" s="18" t="str">
        <x:v>편의점 신제품리뷰 채널</x:v>
      </x:c>
      <x:c r="T273" s="19" t="n">
        <x:v>46247.625</x:v>
      </x:c>
      <x:c r="U273" s="18" t="str">
        <x:v>편의점 신제품리뷰 공개 목록</x:v>
      </x:c>
      <x:c r="V273" s="18" t="str">
        <x:v>https://v.daum.net/channel/551515/contents</x:v>
      </x:c>
      <x:c r="W273" s="18" t="str">
        <x:v>resolved_excluded</x:v>
      </x:c>
      <x:c r="X273" s="18" t="str">
        <x:v>excluded</x:v>
      </x:c>
      <x:c r="Y273" s="18" t="str">
        <x:v>광고성</x:v>
      </x:c>
      <x:c r="Z273" s="18" t="str"/>
      <x:c r="AA273" s="18" t="str">
        <x:v>단일 신상품 모음 또는 판매성 소개만 확인돼 관심·언급 증가와 다채널 확산을 입증하지 못했다.</x:v>
      </x:c>
    </x:row>
    <x:row r="274">
      <x:c r="A274" s="18" t="n">
        <x:v>271</x:v>
      </x:c>
      <x:c r="B274" s="18" t="str">
        <x:v>kr_202608_candidate_271</x:v>
      </x:c>
      <x:c r="C274" s="18" t="str">
        <x:v>서울엄마 와사비참치마요김밥</x:v>
      </x:c>
      <x:c r="D274" s="18" t="str">
        <x:v>[]</x:v>
      </x:c>
      <x:c r="E274" s="18" t="str">
        <x:v>food</x:v>
      </x:c>
      <x:c r="F274" s="18" t="str">
        <x:v>consumer_product</x:v>
      </x:c>
      <x:c r="G274" s="19" t="n">
        <x:v>46242.625</x:v>
      </x:c>
      <x:c r="H274" s="18" t="str">
        <x:v>Y</x:v>
      </x:c>
      <x:c r="I274" s="18" t="str">
        <x:v>Y</x:v>
      </x:c>
      <x:c r="J274" s="18" t="str">
        <x:v>Y</x:v>
      </x:c>
      <x:c r="K274" s="18" t="str">
        <x:v>8월2주차 편의점신상 (GS25,CU,세븐일레븐,이마트24)에서 구체적인 상품·현상으로 관찰돼 후속 검색·언급 증가 여부를 검증할 후보로 수집했다.</x:v>
      </x:c>
      <x:c r="L274" s="18" t="str">
        <x:v>공개 자료에서 서울엄마 와사비참치마요김밥 관찰</x:v>
      </x:c>
      <x:c r="M274" s="18" t="str">
        <x:v>other</x:v>
      </x:c>
      <x:c r="N274" s="18" t="str">
        <x:v>다먹어라이언</x:v>
      </x:c>
      <x:c r="O274" s="19" t="n">
        <x:v>46242.625</x:v>
      </x:c>
      <x:c r="P274" s="18" t="str">
        <x:v>8월2주차 편의점신상 (GS25,CU,세븐일레븐,이마트24)</x:v>
      </x:c>
      <x:c r="Q274" s="18" t="str">
        <x:v>https://v.daum.net/v/zDB5NlSr7A</x:v>
      </x:c>
      <x:c r="R274" s="18" t="str">
        <x:v>other</x:v>
      </x:c>
      <x:c r="S274" s="18" t="str">
        <x:v>편의점 신제품리뷰 채널</x:v>
      </x:c>
      <x:c r="T274" s="19" t="n">
        <x:v>46247.625</x:v>
      </x:c>
      <x:c r="U274" s="18" t="str">
        <x:v>편의점 신제품리뷰 공개 목록</x:v>
      </x:c>
      <x:c r="V274" s="18" t="str">
        <x:v>https://v.daum.net/channel/551515/contents</x:v>
      </x:c>
      <x:c r="W274" s="18" t="str">
        <x:v>resolved_excluded</x:v>
      </x:c>
      <x:c r="X274" s="18" t="str">
        <x:v>excluded</x:v>
      </x:c>
      <x:c r="Y274" s="18" t="str">
        <x:v>광고성</x:v>
      </x:c>
      <x:c r="Z274" s="18" t="str"/>
      <x:c r="AA274" s="18" t="str">
        <x:v>단일 신상품 모음 또는 판매성 소개만 확인돼 관심·언급 증가와 다채널 확산을 입증하지 못했다.</x:v>
      </x:c>
    </x:row>
    <x:row r="275">
      <x:c r="A275" s="18" t="n">
        <x:v>272</x:v>
      </x:c>
      <x:c r="B275" s="18" t="str">
        <x:v>kr_202608_candidate_272</x:v>
      </x:c>
      <x:c r="C275" s="18" t="str">
        <x:v>꼬깔콘 마성옥수수맛</x:v>
      </x:c>
      <x:c r="D275" s="18" t="str">
        <x:v>[]</x:v>
      </x:c>
      <x:c r="E275" s="18" t="str">
        <x:v>food</x:v>
      </x:c>
      <x:c r="F275" s="18" t="str">
        <x:v>consumer_product</x:v>
      </x:c>
      <x:c r="G275" s="19" t="n">
        <x:v>46242.625</x:v>
      </x:c>
      <x:c r="H275" s="18" t="str">
        <x:v>Y</x:v>
      </x:c>
      <x:c r="I275" s="18" t="str">
        <x:v>Y</x:v>
      </x:c>
      <x:c r="J275" s="18" t="str">
        <x:v>Y</x:v>
      </x:c>
      <x:c r="K275" s="18" t="str">
        <x:v>8월2주차 편의점신상 (GS25,CU,세븐일레븐,이마트24)에서 구체적인 상품·현상으로 관찰돼 후속 검색·언급 증가 여부를 검증할 후보로 수집했다.</x:v>
      </x:c>
      <x:c r="L275" s="18" t="str">
        <x:v>공개 자료에서 꼬깔콘 마성옥수수맛 관찰</x:v>
      </x:c>
      <x:c r="M275" s="18" t="str">
        <x:v>other</x:v>
      </x:c>
      <x:c r="N275" s="18" t="str">
        <x:v>다먹어라이언</x:v>
      </x:c>
      <x:c r="O275" s="19" t="n">
        <x:v>46242.625</x:v>
      </x:c>
      <x:c r="P275" s="18" t="str">
        <x:v>8월2주차 편의점신상 (GS25,CU,세븐일레븐,이마트24)</x:v>
      </x:c>
      <x:c r="Q275" s="18" t="str">
        <x:v>https://v.daum.net/v/zDB5NlSr7A</x:v>
      </x:c>
      <x:c r="R275" s="18" t="str">
        <x:v>other</x:v>
      </x:c>
      <x:c r="S275" s="18" t="str">
        <x:v>편의점 신제품리뷰 채널</x:v>
      </x:c>
      <x:c r="T275" s="19" t="n">
        <x:v>46247.625</x:v>
      </x:c>
      <x:c r="U275" s="18" t="str">
        <x:v>편의점 신제품리뷰 공개 목록</x:v>
      </x:c>
      <x:c r="V275" s="18" t="str">
        <x:v>https://v.daum.net/channel/551515/contents</x:v>
      </x:c>
      <x:c r="W275" s="18" t="str">
        <x:v>resolved_excluded</x:v>
      </x:c>
      <x:c r="X275" s="18" t="str">
        <x:v>excluded</x:v>
      </x:c>
      <x:c r="Y275" s="18" t="str">
        <x:v>광고성</x:v>
      </x:c>
      <x:c r="Z275" s="18" t="str"/>
      <x:c r="AA275" s="18" t="str">
        <x:v>단일 신상품 모음 또는 판매성 소개만 확인돼 관심·언급 증가와 다채널 확산을 입증하지 못했다.</x:v>
      </x:c>
    </x:row>
    <x:row r="276">
      <x:c r="A276" s="18" t="n">
        <x:v>273</x:v>
      </x:c>
      <x:c r="B276" s="18" t="str">
        <x:v>kr_202608_candidate_273</x:v>
      </x:c>
      <x:c r="C276" s="18" t="str">
        <x:v>뚱모스 피넛크림라즈베리</x:v>
      </x:c>
      <x:c r="D276" s="18" t="str">
        <x:v>[]</x:v>
      </x:c>
      <x:c r="E276" s="18" t="str">
        <x:v>food</x:v>
      </x:c>
      <x:c r="F276" s="18" t="str">
        <x:v>consumer_product</x:v>
      </x:c>
      <x:c r="G276" s="19" t="n">
        <x:v>46242.625</x:v>
      </x:c>
      <x:c r="H276" s="18" t="str">
        <x:v>Y</x:v>
      </x:c>
      <x:c r="I276" s="18" t="str">
        <x:v>Y</x:v>
      </x:c>
      <x:c r="J276" s="18" t="str">
        <x:v>Y</x:v>
      </x:c>
      <x:c r="K276" s="18" t="str">
        <x:v>8월2주차 편의점신상 (GS25,CU,세븐일레븐,이마트24)에서 구체적인 상품·현상으로 관찰돼 후속 검색·언급 증가 여부를 검증할 후보로 수집했다.</x:v>
      </x:c>
      <x:c r="L276" s="18" t="str">
        <x:v>공개 자료에서 뚱모스 피넛크림라즈베리 관찰</x:v>
      </x:c>
      <x:c r="M276" s="18" t="str">
        <x:v>other</x:v>
      </x:c>
      <x:c r="N276" s="18" t="str">
        <x:v>다먹어라이언</x:v>
      </x:c>
      <x:c r="O276" s="19" t="n">
        <x:v>46242.625</x:v>
      </x:c>
      <x:c r="P276" s="18" t="str">
        <x:v>8월2주차 편의점신상 (GS25,CU,세븐일레븐,이마트24)</x:v>
      </x:c>
      <x:c r="Q276" s="18" t="str">
        <x:v>https://v.daum.net/v/zDB5NlSr7A</x:v>
      </x:c>
      <x:c r="R276" s="18" t="str">
        <x:v>other</x:v>
      </x:c>
      <x:c r="S276" s="18" t="str">
        <x:v>편의점 신제품리뷰 채널</x:v>
      </x:c>
      <x:c r="T276" s="19" t="n">
        <x:v>46247.625</x:v>
      </x:c>
      <x:c r="U276" s="18" t="str">
        <x:v>편의점 신제품리뷰 공개 목록</x:v>
      </x:c>
      <x:c r="V276" s="18" t="str">
        <x:v>https://v.daum.net/channel/551515/contents</x:v>
      </x:c>
      <x:c r="W276" s="18" t="str">
        <x:v>resolved_excluded</x:v>
      </x:c>
      <x:c r="X276" s="18" t="str">
        <x:v>excluded</x:v>
      </x:c>
      <x:c r="Y276" s="18" t="str">
        <x:v>광고성</x:v>
      </x:c>
      <x:c r="Z276" s="18" t="str"/>
      <x:c r="AA276" s="18" t="str">
        <x:v>단일 신상품 모음 또는 판매성 소개만 확인돼 관심·언급 증가와 다채널 확산을 입증하지 못했다.</x:v>
      </x:c>
    </x:row>
    <x:row r="277">
      <x:c r="A277" s="18" t="n">
        <x:v>274</x:v>
      </x:c>
      <x:c r="B277" s="18" t="str">
        <x:v>kr_202608_candidate_274</x:v>
      </x:c>
      <x:c r="C277" s="18" t="str">
        <x:v>풀토핑 치즈라볶이</x:v>
      </x:c>
      <x:c r="D277" s="18" t="str">
        <x:v>[]</x:v>
      </x:c>
      <x:c r="E277" s="18" t="str">
        <x:v>food</x:v>
      </x:c>
      <x:c r="F277" s="18" t="str">
        <x:v>consumer_product</x:v>
      </x:c>
      <x:c r="G277" s="19" t="n">
        <x:v>46242.625</x:v>
      </x:c>
      <x:c r="H277" s="18" t="str">
        <x:v>Y</x:v>
      </x:c>
      <x:c r="I277" s="18" t="str">
        <x:v>Y</x:v>
      </x:c>
      <x:c r="J277" s="18" t="str">
        <x:v>Y</x:v>
      </x:c>
      <x:c r="K277" s="18" t="str">
        <x:v>8월2주차 편의점신상 (GS25,CU,세븐일레븐,이마트24)에서 구체적인 상품·현상으로 관찰돼 후속 검색·언급 증가 여부를 검증할 후보로 수집했다.</x:v>
      </x:c>
      <x:c r="L277" s="18" t="str">
        <x:v>공개 자료에서 풀토핑 치즈라볶이 관찰</x:v>
      </x:c>
      <x:c r="M277" s="18" t="str">
        <x:v>other</x:v>
      </x:c>
      <x:c r="N277" s="18" t="str">
        <x:v>다먹어라이언</x:v>
      </x:c>
      <x:c r="O277" s="19" t="n">
        <x:v>46242.625</x:v>
      </x:c>
      <x:c r="P277" s="18" t="str">
        <x:v>8월2주차 편의점신상 (GS25,CU,세븐일레븐,이마트24)</x:v>
      </x:c>
      <x:c r="Q277" s="18" t="str">
        <x:v>https://v.daum.net/v/zDB5NlSr7A</x:v>
      </x:c>
      <x:c r="R277" s="18" t="str">
        <x:v>other</x:v>
      </x:c>
      <x:c r="S277" s="18" t="str">
        <x:v>편의점 신제품리뷰 채널</x:v>
      </x:c>
      <x:c r="T277" s="19" t="n">
        <x:v>46247.625</x:v>
      </x:c>
      <x:c r="U277" s="18" t="str">
        <x:v>편의점 신제품리뷰 공개 목록</x:v>
      </x:c>
      <x:c r="V277" s="18" t="str">
        <x:v>https://v.daum.net/channel/551515/contents</x:v>
      </x:c>
      <x:c r="W277" s="18" t="str">
        <x:v>resolved_excluded</x:v>
      </x:c>
      <x:c r="X277" s="18" t="str">
        <x:v>excluded</x:v>
      </x:c>
      <x:c r="Y277" s="18" t="str">
        <x:v>광고성</x:v>
      </x:c>
      <x:c r="Z277" s="18" t="str"/>
      <x:c r="AA277" s="18" t="str">
        <x:v>단일 신상품 모음 또는 판매성 소개만 확인돼 관심·언급 증가와 다채널 확산을 입증하지 못했다.</x:v>
      </x:c>
    </x:row>
    <x:row r="278">
      <x:c r="A278" s="18" t="n">
        <x:v>275</x:v>
      </x:c>
      <x:c r="B278" s="18" t="str">
        <x:v>kr_202608_candidate_275</x:v>
      </x:c>
      <x:c r="C278" s="18" t="str">
        <x:v>꼬깔콘 워킹타코맛</x:v>
      </x:c>
      <x:c r="D278" s="18" t="str">
        <x:v>[]</x:v>
      </x:c>
      <x:c r="E278" s="18" t="str">
        <x:v>food</x:v>
      </x:c>
      <x:c r="F278" s="18" t="str">
        <x:v>consumer_product</x:v>
      </x:c>
      <x:c r="G278" s="19" t="n">
        <x:v>46242.625</x:v>
      </x:c>
      <x:c r="H278" s="18" t="str">
        <x:v>Y</x:v>
      </x:c>
      <x:c r="I278" s="18" t="str">
        <x:v>Y</x:v>
      </x:c>
      <x:c r="J278" s="18" t="str">
        <x:v>Y</x:v>
      </x:c>
      <x:c r="K278" s="18" t="str">
        <x:v>8월2주차 편의점신상 (GS25,CU,세븐일레븐,이마트24)에서 구체적인 상품·현상으로 관찰돼 후속 검색·언급 증가 여부를 검증할 후보로 수집했다.</x:v>
      </x:c>
      <x:c r="L278" s="18" t="str">
        <x:v>공개 자료에서 꼬깔콘 워킹타코맛 관찰</x:v>
      </x:c>
      <x:c r="M278" s="18" t="str">
        <x:v>other</x:v>
      </x:c>
      <x:c r="N278" s="18" t="str">
        <x:v>다먹어라이언</x:v>
      </x:c>
      <x:c r="O278" s="19" t="n">
        <x:v>46242.625</x:v>
      </x:c>
      <x:c r="P278" s="18" t="str">
        <x:v>8월2주차 편의점신상 (GS25,CU,세븐일레븐,이마트24)</x:v>
      </x:c>
      <x:c r="Q278" s="18" t="str">
        <x:v>https://v.daum.net/v/zDB5NlSr7A</x:v>
      </x:c>
      <x:c r="R278" s="18" t="str">
        <x:v>other</x:v>
      </x:c>
      <x:c r="S278" s="18" t="str">
        <x:v>편의점 신제품리뷰 채널</x:v>
      </x:c>
      <x:c r="T278" s="19" t="n">
        <x:v>46247.625</x:v>
      </x:c>
      <x:c r="U278" s="18" t="str">
        <x:v>편의점 신제품리뷰 공개 목록</x:v>
      </x:c>
      <x:c r="V278" s="18" t="str">
        <x:v>https://v.daum.net/channel/551515/contents</x:v>
      </x:c>
      <x:c r="W278" s="18" t="str">
        <x:v>resolved_excluded</x:v>
      </x:c>
      <x:c r="X278" s="18" t="str">
        <x:v>excluded</x:v>
      </x:c>
      <x:c r="Y278" s="18" t="str">
        <x:v>광고성</x:v>
      </x:c>
      <x:c r="Z278" s="18" t="str"/>
      <x:c r="AA278" s="18" t="str">
        <x:v>단일 신상품 모음 또는 판매성 소개만 확인돼 관심·언급 증가와 다채널 확산을 입증하지 못했다.</x:v>
      </x:c>
    </x:row>
    <x:row r="279">
      <x:c r="A279" s="18" t="n">
        <x:v>276</x:v>
      </x:c>
      <x:c r="B279" s="18" t="str">
        <x:v>kr_202608_candidate_276</x:v>
      </x:c>
      <x:c r="C279" s="18" t="str">
        <x:v>킹쫄라떡볶이</x:v>
      </x:c>
      <x:c r="D279" s="18" t="str">
        <x:v>[]</x:v>
      </x:c>
      <x:c r="E279" s="18" t="str">
        <x:v>food</x:v>
      </x:c>
      <x:c r="F279" s="18" t="str">
        <x:v>consumer_product</x:v>
      </x:c>
      <x:c r="G279" s="19" t="n">
        <x:v>46242.625</x:v>
      </x:c>
      <x:c r="H279" s="18" t="str">
        <x:v>Y</x:v>
      </x:c>
      <x:c r="I279" s="18" t="str">
        <x:v>Y</x:v>
      </x:c>
      <x:c r="J279" s="18" t="str">
        <x:v>Y</x:v>
      </x:c>
      <x:c r="K279" s="18" t="str">
        <x:v>8월2주차 편의점신상 (GS25,CU,세븐일레븐,이마트24)에서 구체적인 상품·현상으로 관찰돼 후속 검색·언급 증가 여부를 검증할 후보로 수집했다.</x:v>
      </x:c>
      <x:c r="L279" s="18" t="str">
        <x:v>공개 자료에서 킹쫄라떡볶이 관찰</x:v>
      </x:c>
      <x:c r="M279" s="18" t="str">
        <x:v>other</x:v>
      </x:c>
      <x:c r="N279" s="18" t="str">
        <x:v>다먹어라이언</x:v>
      </x:c>
      <x:c r="O279" s="19" t="n">
        <x:v>46242.625</x:v>
      </x:c>
      <x:c r="P279" s="18" t="str">
        <x:v>8월2주차 편의점신상 (GS25,CU,세븐일레븐,이마트24)</x:v>
      </x:c>
      <x:c r="Q279" s="18" t="str">
        <x:v>https://v.daum.net/v/zDB5NlSr7A</x:v>
      </x:c>
      <x:c r="R279" s="18" t="str">
        <x:v>other</x:v>
      </x:c>
      <x:c r="S279" s="18" t="str">
        <x:v>편의점 신제품리뷰 채널</x:v>
      </x:c>
      <x:c r="T279" s="19" t="n">
        <x:v>46247.625</x:v>
      </x:c>
      <x:c r="U279" s="18" t="str">
        <x:v>편의점 신제품리뷰 공개 목록</x:v>
      </x:c>
      <x:c r="V279" s="18" t="str">
        <x:v>https://v.daum.net/channel/551515/contents</x:v>
      </x:c>
      <x:c r="W279" s="18" t="str">
        <x:v>resolved_excluded</x:v>
      </x:c>
      <x:c r="X279" s="18" t="str">
        <x:v>excluded</x:v>
      </x:c>
      <x:c r="Y279" s="18" t="str">
        <x:v>광고성</x:v>
      </x:c>
      <x:c r="Z279" s="18" t="str"/>
      <x:c r="AA279" s="18" t="str">
        <x:v>단일 신상품 모음 또는 판매성 소개만 확인돼 관심·언급 증가와 다채널 확산을 입증하지 못했다.</x:v>
      </x:c>
    </x:row>
    <x:row r="280">
      <x:c r="A280" s="18" t="n">
        <x:v>277</x:v>
      </x:c>
      <x:c r="B280" s="18" t="str">
        <x:v>kr_202608_candidate_277</x:v>
      </x:c>
      <x:c r="C280" s="18" t="str">
        <x:v>정식품 검은콩 콩국수</x:v>
      </x:c>
      <x:c r="D280" s="18" t="str">
        <x:v>[]</x:v>
      </x:c>
      <x:c r="E280" s="18" t="str">
        <x:v>food</x:v>
      </x:c>
      <x:c r="F280" s="18" t="str">
        <x:v>consumer_product</x:v>
      </x:c>
      <x:c r="G280" s="19" t="n">
        <x:v>46242.625</x:v>
      </x:c>
      <x:c r="H280" s="18" t="str">
        <x:v>Y</x:v>
      </x:c>
      <x:c r="I280" s="18" t="str">
        <x:v>Y</x:v>
      </x:c>
      <x:c r="J280" s="18" t="str">
        <x:v>Y</x:v>
      </x:c>
      <x:c r="K280" s="18" t="str">
        <x:v>8월2주차 편의점신상 (GS25,CU,세븐일레븐,이마트24)에서 구체적인 상품·현상으로 관찰돼 후속 검색·언급 증가 여부를 검증할 후보로 수집했다.</x:v>
      </x:c>
      <x:c r="L280" s="18" t="str">
        <x:v>공개 자료에서 정식품 검은콩 콩국수 관찰</x:v>
      </x:c>
      <x:c r="M280" s="18" t="str">
        <x:v>other</x:v>
      </x:c>
      <x:c r="N280" s="18" t="str">
        <x:v>다먹어라이언</x:v>
      </x:c>
      <x:c r="O280" s="19" t="n">
        <x:v>46242.625</x:v>
      </x:c>
      <x:c r="P280" s="18" t="str">
        <x:v>8월2주차 편의점신상 (GS25,CU,세븐일레븐,이마트24)</x:v>
      </x:c>
      <x:c r="Q280" s="18" t="str">
        <x:v>https://v.daum.net/v/zDB5NlSr7A</x:v>
      </x:c>
      <x:c r="R280" s="18" t="str">
        <x:v>other</x:v>
      </x:c>
      <x:c r="S280" s="18" t="str">
        <x:v>편의점 신제품리뷰 채널</x:v>
      </x:c>
      <x:c r="T280" s="19" t="n">
        <x:v>46247.625</x:v>
      </x:c>
      <x:c r="U280" s="18" t="str">
        <x:v>편의점 신제품리뷰 공개 목록</x:v>
      </x:c>
      <x:c r="V280" s="18" t="str">
        <x:v>https://v.daum.net/channel/551515/contents</x:v>
      </x:c>
      <x:c r="W280" s="18" t="str">
        <x:v>resolved_excluded</x:v>
      </x:c>
      <x:c r="X280" s="18" t="str">
        <x:v>excluded</x:v>
      </x:c>
      <x:c r="Y280" s="18" t="str">
        <x:v>광고성</x:v>
      </x:c>
      <x:c r="Z280" s="18" t="str"/>
      <x:c r="AA280" s="18" t="str">
        <x:v>단일 신상품 모음 또는 판매성 소개만 확인돼 관심·언급 증가와 다채널 확산을 입증하지 못했다.</x:v>
      </x:c>
    </x:row>
    <x:row r="281">
      <x:c r="A281" s="18" t="n">
        <x:v>278</x:v>
      </x:c>
      <x:c r="B281" s="18" t="str">
        <x:v>kr_202608_candidate_278</x:v>
      </x:c>
      <x:c r="C281" s="18" t="str">
        <x:v>산가리아 커피우유</x:v>
      </x:c>
      <x:c r="D281" s="18" t="str">
        <x:v>[]</x:v>
      </x:c>
      <x:c r="E281" s="18" t="str">
        <x:v>food</x:v>
      </x:c>
      <x:c r="F281" s="18" t="str">
        <x:v>consumer_product</x:v>
      </x:c>
      <x:c r="G281" s="19" t="n">
        <x:v>46242.625</x:v>
      </x:c>
      <x:c r="H281" s="18" t="str">
        <x:v>Y</x:v>
      </x:c>
      <x:c r="I281" s="18" t="str">
        <x:v>Y</x:v>
      </x:c>
      <x:c r="J281" s="18" t="str">
        <x:v>Y</x:v>
      </x:c>
      <x:c r="K281" s="18" t="str">
        <x:v>8월2주차 편의점신상 (GS25,CU,세븐일레븐,이마트24)에서 구체적인 상품·현상으로 관찰돼 후속 검색·언급 증가 여부를 검증할 후보로 수집했다.</x:v>
      </x:c>
      <x:c r="L281" s="18" t="str">
        <x:v>공개 자료에서 산가리아 커피우유 관찰</x:v>
      </x:c>
      <x:c r="M281" s="18" t="str">
        <x:v>other</x:v>
      </x:c>
      <x:c r="N281" s="18" t="str">
        <x:v>다먹어라이언</x:v>
      </x:c>
      <x:c r="O281" s="19" t="n">
        <x:v>46242.625</x:v>
      </x:c>
      <x:c r="P281" s="18" t="str">
        <x:v>8월2주차 편의점신상 (GS25,CU,세븐일레븐,이마트24)</x:v>
      </x:c>
      <x:c r="Q281" s="18" t="str">
        <x:v>https://v.daum.net/v/zDB5NlSr7A</x:v>
      </x:c>
      <x:c r="R281" s="18" t="str">
        <x:v>other</x:v>
      </x:c>
      <x:c r="S281" s="18" t="str">
        <x:v>편의점 신제품리뷰 채널</x:v>
      </x:c>
      <x:c r="T281" s="19" t="n">
        <x:v>46247.625</x:v>
      </x:c>
      <x:c r="U281" s="18" t="str">
        <x:v>편의점 신제품리뷰 공개 목록</x:v>
      </x:c>
      <x:c r="V281" s="18" t="str">
        <x:v>https://v.daum.net/channel/551515/contents</x:v>
      </x:c>
      <x:c r="W281" s="18" t="str">
        <x:v>resolved_excluded</x:v>
      </x:c>
      <x:c r="X281" s="18" t="str">
        <x:v>excluded</x:v>
      </x:c>
      <x:c r="Y281" s="18" t="str">
        <x:v>광고성</x:v>
      </x:c>
      <x:c r="Z281" s="18" t="str"/>
      <x:c r="AA281" s="18" t="str">
        <x:v>단일 신상품 모음 또는 판매성 소개만 확인돼 관심·언급 증가와 다채널 확산을 입증하지 못했다.</x:v>
      </x:c>
    </x:row>
    <x:row r="282">
      <x:c r="A282" s="18" t="n">
        <x:v>279</x:v>
      </x:c>
      <x:c r="B282" s="18" t="str">
        <x:v>kr_202608_candidate_279</x:v>
      </x:c>
      <x:c r="C282" s="18" t="str">
        <x:v>스타벅스 자몽허니블랙티 로우 칼로리</x:v>
      </x:c>
      <x:c r="D282" s="18" t="str">
        <x:v>[]</x:v>
      </x:c>
      <x:c r="E282" s="18" t="str">
        <x:v>food</x:v>
      </x:c>
      <x:c r="F282" s="18" t="str">
        <x:v>consumer_product</x:v>
      </x:c>
      <x:c r="G282" s="19" t="n">
        <x:v>46242.625</x:v>
      </x:c>
      <x:c r="H282" s="18" t="str">
        <x:v>Y</x:v>
      </x:c>
      <x:c r="I282" s="18" t="str">
        <x:v>Y</x:v>
      </x:c>
      <x:c r="J282" s="18" t="str">
        <x:v>Y</x:v>
      </x:c>
      <x:c r="K282" s="18" t="str">
        <x:v>8월2주차 편의점신상 (GS25,CU,세븐일레븐,이마트24)에서 구체적인 상품·현상으로 관찰돼 후속 검색·언급 증가 여부를 검증할 후보로 수집했다.</x:v>
      </x:c>
      <x:c r="L282" s="18" t="str">
        <x:v>공개 자료에서 스타벅스 자몽허니블랙티 로우 칼로리 관찰</x:v>
      </x:c>
      <x:c r="M282" s="18" t="str">
        <x:v>other</x:v>
      </x:c>
      <x:c r="N282" s="18" t="str">
        <x:v>다먹어라이언</x:v>
      </x:c>
      <x:c r="O282" s="19" t="n">
        <x:v>46242.625</x:v>
      </x:c>
      <x:c r="P282" s="18" t="str">
        <x:v>8월2주차 편의점신상 (GS25,CU,세븐일레븐,이마트24)</x:v>
      </x:c>
      <x:c r="Q282" s="18" t="str">
        <x:v>https://v.daum.net/v/zDB5NlSr7A</x:v>
      </x:c>
      <x:c r="R282" s="18" t="str">
        <x:v>other</x:v>
      </x:c>
      <x:c r="S282" s="18" t="str">
        <x:v>편의점 신제품리뷰 채널</x:v>
      </x:c>
      <x:c r="T282" s="19" t="n">
        <x:v>46247.625</x:v>
      </x:c>
      <x:c r="U282" s="18" t="str">
        <x:v>편의점 신제품리뷰 공개 목록</x:v>
      </x:c>
      <x:c r="V282" s="18" t="str">
        <x:v>https://v.daum.net/channel/551515/contents</x:v>
      </x:c>
      <x:c r="W282" s="18" t="str">
        <x:v>resolved_excluded</x:v>
      </x:c>
      <x:c r="X282" s="18" t="str">
        <x:v>excluded</x:v>
      </x:c>
      <x:c r="Y282" s="18" t="str">
        <x:v>광고성</x:v>
      </x:c>
      <x:c r="Z282" s="18" t="str"/>
      <x:c r="AA282" s="18" t="str">
        <x:v>단일 신상품 모음 또는 판매성 소개만 확인돼 관심·언급 증가와 다채널 확산을 입증하지 못했다.</x:v>
      </x:c>
    </x:row>
    <x:row r="283">
      <x:c r="A283" s="18" t="n">
        <x:v>280</x:v>
      </x:c>
      <x:c r="B283" s="18" t="str">
        <x:v>kr_202608_candidate_280</x:v>
      </x:c>
      <x:c r="C283" s="18" t="str">
        <x:v>밥부리또</x:v>
      </x:c>
      <x:c r="D283" s="18" t="str">
        <x:v>[]</x:v>
      </x:c>
      <x:c r="E283" s="18" t="str">
        <x:v>food</x:v>
      </x:c>
      <x:c r="F283" s="18" t="str">
        <x:v>consumer_product</x:v>
      </x:c>
      <x:c r="G283" s="19" t="n">
        <x:v>46242.625</x:v>
      </x:c>
      <x:c r="H283" s="18" t="str">
        <x:v>Y</x:v>
      </x:c>
      <x:c r="I283" s="18" t="str">
        <x:v>Y</x:v>
      </x:c>
      <x:c r="J283" s="18" t="str">
        <x:v>Y</x:v>
      </x:c>
      <x:c r="K283" s="18" t="str">
        <x:v>8월2주차 편의점신상 (GS25,CU,세븐일레븐,이마트24)에서 구체적인 상품·현상으로 관찰돼 후속 검색·언급 증가 여부를 검증할 후보로 수집했다.</x:v>
      </x:c>
      <x:c r="L283" s="18" t="str">
        <x:v>공개 자료에서 밥부리또 관찰</x:v>
      </x:c>
      <x:c r="M283" s="18" t="str">
        <x:v>other</x:v>
      </x:c>
      <x:c r="N283" s="18" t="str">
        <x:v>다먹어라이언</x:v>
      </x:c>
      <x:c r="O283" s="19" t="n">
        <x:v>46242.625</x:v>
      </x:c>
      <x:c r="P283" s="18" t="str">
        <x:v>8월2주차 편의점신상 (GS25,CU,세븐일레븐,이마트24)</x:v>
      </x:c>
      <x:c r="Q283" s="18" t="str">
        <x:v>https://v.daum.net/v/zDB5NlSr7A</x:v>
      </x:c>
      <x:c r="R283" s="18" t="str">
        <x:v>other</x:v>
      </x:c>
      <x:c r="S283" s="18" t="str">
        <x:v>편의점 신제품리뷰 채널</x:v>
      </x:c>
      <x:c r="T283" s="19" t="n">
        <x:v>46247.625</x:v>
      </x:c>
      <x:c r="U283" s="18" t="str">
        <x:v>편의점 신제품리뷰 공개 목록</x:v>
      </x:c>
      <x:c r="V283" s="18" t="str">
        <x:v>https://v.daum.net/channel/551515/contents</x:v>
      </x:c>
      <x:c r="W283" s="18" t="str">
        <x:v>resolved_excluded</x:v>
      </x:c>
      <x:c r="X283" s="18" t="str">
        <x:v>excluded</x:v>
      </x:c>
      <x:c r="Y283" s="18" t="str">
        <x:v>광고성</x:v>
      </x:c>
      <x:c r="Z283" s="18" t="str"/>
      <x:c r="AA283" s="18" t="str">
        <x:v>단일 신상품 모음 또는 판매성 소개만 확인돼 관심·언급 증가와 다채널 확산을 입증하지 못했다.</x:v>
      </x:c>
    </x:row>
    <x:row r="284">
      <x:c r="A284" s="18" t="n">
        <x:v>281</x:v>
      </x:c>
      <x:c r="B284" s="18" t="str">
        <x:v>kr_202608_candidate_281</x:v>
      </x:c>
      <x:c r="C284" s="18" t="str">
        <x:v>허쉬우유 너티</x:v>
      </x:c>
      <x:c r="D284" s="18" t="str">
        <x:v>[]</x:v>
      </x:c>
      <x:c r="E284" s="18" t="str">
        <x:v>food</x:v>
      </x:c>
      <x:c r="F284" s="18" t="str">
        <x:v>consumer_product</x:v>
      </x:c>
      <x:c r="G284" s="19" t="n">
        <x:v>46242.625</x:v>
      </x:c>
      <x:c r="H284" s="18" t="str">
        <x:v>Y</x:v>
      </x:c>
      <x:c r="I284" s="18" t="str">
        <x:v>Y</x:v>
      </x:c>
      <x:c r="J284" s="18" t="str">
        <x:v>Y</x:v>
      </x:c>
      <x:c r="K284" s="18" t="str">
        <x:v>8월2주차 편의점신상 (GS25,CU,세븐일레븐,이마트24)에서 구체적인 상품·현상으로 관찰돼 후속 검색·언급 증가 여부를 검증할 후보로 수집했다.</x:v>
      </x:c>
      <x:c r="L284" s="18" t="str">
        <x:v>공개 자료에서 허쉬우유 너티 관찰</x:v>
      </x:c>
      <x:c r="M284" s="18" t="str">
        <x:v>other</x:v>
      </x:c>
      <x:c r="N284" s="18" t="str">
        <x:v>다먹어라이언</x:v>
      </x:c>
      <x:c r="O284" s="19" t="n">
        <x:v>46242.625</x:v>
      </x:c>
      <x:c r="P284" s="18" t="str">
        <x:v>8월2주차 편의점신상 (GS25,CU,세븐일레븐,이마트24)</x:v>
      </x:c>
      <x:c r="Q284" s="18" t="str">
        <x:v>https://v.daum.net/v/zDB5NlSr7A</x:v>
      </x:c>
      <x:c r="R284" s="18" t="str">
        <x:v>other</x:v>
      </x:c>
      <x:c r="S284" s="18" t="str">
        <x:v>편의점 신제품리뷰 채널</x:v>
      </x:c>
      <x:c r="T284" s="19" t="n">
        <x:v>46247.625</x:v>
      </x:c>
      <x:c r="U284" s="18" t="str">
        <x:v>편의점 신제품리뷰 공개 목록</x:v>
      </x:c>
      <x:c r="V284" s="18" t="str">
        <x:v>https://v.daum.net/channel/551515/contents</x:v>
      </x:c>
      <x:c r="W284" s="18" t="str">
        <x:v>resolved_excluded</x:v>
      </x:c>
      <x:c r="X284" s="18" t="str">
        <x:v>excluded</x:v>
      </x:c>
      <x:c r="Y284" s="18" t="str">
        <x:v>광고성</x:v>
      </x:c>
      <x:c r="Z284" s="18" t="str"/>
      <x:c r="AA284" s="18" t="str">
        <x:v>단일 신상품 모음 또는 판매성 소개만 확인돼 관심·언급 증가와 다채널 확산을 입증하지 못했다.</x:v>
      </x:c>
    </x:row>
    <x:row r="285">
      <x:c r="A285" s="18" t="n">
        <x:v>282</x:v>
      </x:c>
      <x:c r="B285" s="18" t="str">
        <x:v>kr_202608_candidate_282</x:v>
      </x:c>
      <x:c r="C285" s="18" t="str">
        <x:v>허쉬우유 밀크</x:v>
      </x:c>
      <x:c r="D285" s="18" t="str">
        <x:v>[]</x:v>
      </x:c>
      <x:c r="E285" s="18" t="str">
        <x:v>food</x:v>
      </x:c>
      <x:c r="F285" s="18" t="str">
        <x:v>consumer_product</x:v>
      </x:c>
      <x:c r="G285" s="19" t="n">
        <x:v>46242.625</x:v>
      </x:c>
      <x:c r="H285" s="18" t="str">
        <x:v>Y</x:v>
      </x:c>
      <x:c r="I285" s="18" t="str">
        <x:v>Y</x:v>
      </x:c>
      <x:c r="J285" s="18" t="str">
        <x:v>Y</x:v>
      </x:c>
      <x:c r="K285" s="18" t="str">
        <x:v>8월2주차 편의점신상 (GS25,CU,세븐일레븐,이마트24)에서 구체적인 상품·현상으로 관찰돼 후속 검색·언급 증가 여부를 검증할 후보로 수집했다.</x:v>
      </x:c>
      <x:c r="L285" s="18" t="str">
        <x:v>공개 자료에서 허쉬우유 밀크 관찰</x:v>
      </x:c>
      <x:c r="M285" s="18" t="str">
        <x:v>other</x:v>
      </x:c>
      <x:c r="N285" s="18" t="str">
        <x:v>다먹어라이언</x:v>
      </x:c>
      <x:c r="O285" s="19" t="n">
        <x:v>46242.625</x:v>
      </x:c>
      <x:c r="P285" s="18" t="str">
        <x:v>8월2주차 편의점신상 (GS25,CU,세븐일레븐,이마트24)</x:v>
      </x:c>
      <x:c r="Q285" s="18" t="str">
        <x:v>https://v.daum.net/v/zDB5NlSr7A</x:v>
      </x:c>
      <x:c r="R285" s="18" t="str">
        <x:v>other</x:v>
      </x:c>
      <x:c r="S285" s="18" t="str">
        <x:v>편의점 신제품리뷰 채널</x:v>
      </x:c>
      <x:c r="T285" s="19" t="n">
        <x:v>46247.625</x:v>
      </x:c>
      <x:c r="U285" s="18" t="str">
        <x:v>편의점 신제품리뷰 공개 목록</x:v>
      </x:c>
      <x:c r="V285" s="18" t="str">
        <x:v>https://v.daum.net/channel/551515/contents</x:v>
      </x:c>
      <x:c r="W285" s="18" t="str">
        <x:v>resolved_excluded</x:v>
      </x:c>
      <x:c r="X285" s="18" t="str">
        <x:v>excluded</x:v>
      </x:c>
      <x:c r="Y285" s="18" t="str">
        <x:v>광고성</x:v>
      </x:c>
      <x:c r="Z285" s="18" t="str"/>
      <x:c r="AA285" s="18" t="str">
        <x:v>단일 신상품 모음 또는 판매성 소개만 확인돼 관심·언급 증가와 다채널 확산을 입증하지 못했다.</x:v>
      </x:c>
    </x:row>
    <x:row r="286">
      <x:c r="A286" s="18" t="n">
        <x:v>283</x:v>
      </x:c>
      <x:c r="B286" s="18" t="str">
        <x:v>kr_202608_candidate_283</x:v>
      </x:c>
      <x:c r="C286" s="18" t="str">
        <x:v>레바테인 해물칩</x:v>
      </x:c>
      <x:c r="D286" s="18" t="str">
        <x:v>[]</x:v>
      </x:c>
      <x:c r="E286" s="18" t="str">
        <x:v>food</x:v>
      </x:c>
      <x:c r="F286" s="18" t="str">
        <x:v>consumer_product</x:v>
      </x:c>
      <x:c r="G286" s="19" t="n">
        <x:v>46242.625</x:v>
      </x:c>
      <x:c r="H286" s="18" t="str">
        <x:v>Y</x:v>
      </x:c>
      <x:c r="I286" s="18" t="str">
        <x:v>Y</x:v>
      </x:c>
      <x:c r="J286" s="18" t="str">
        <x:v>Y</x:v>
      </x:c>
      <x:c r="K286" s="18" t="str">
        <x:v>8월2주차 편의점신상 (GS25,CU,세븐일레븐,이마트24)에서 구체적인 상품·현상으로 관찰돼 후속 검색·언급 증가 여부를 검증할 후보로 수집했다.</x:v>
      </x:c>
      <x:c r="L286" s="18" t="str">
        <x:v>공개 자료에서 레바테인 해물칩 관찰</x:v>
      </x:c>
      <x:c r="M286" s="18" t="str">
        <x:v>other</x:v>
      </x:c>
      <x:c r="N286" s="18" t="str">
        <x:v>다먹어라이언</x:v>
      </x:c>
      <x:c r="O286" s="19" t="n">
        <x:v>46242.625</x:v>
      </x:c>
      <x:c r="P286" s="18" t="str">
        <x:v>8월2주차 편의점신상 (GS25,CU,세븐일레븐,이마트24)</x:v>
      </x:c>
      <x:c r="Q286" s="18" t="str">
        <x:v>https://v.daum.net/v/zDB5NlSr7A</x:v>
      </x:c>
      <x:c r="R286" s="18" t="str">
        <x:v>other</x:v>
      </x:c>
      <x:c r="S286" s="18" t="str">
        <x:v>편의점 신제품리뷰 채널</x:v>
      </x:c>
      <x:c r="T286" s="19" t="n">
        <x:v>46247.625</x:v>
      </x:c>
      <x:c r="U286" s="18" t="str">
        <x:v>편의점 신제품리뷰 공개 목록</x:v>
      </x:c>
      <x:c r="V286" s="18" t="str">
        <x:v>https://v.daum.net/channel/551515/contents</x:v>
      </x:c>
      <x:c r="W286" s="18" t="str">
        <x:v>resolved_excluded</x:v>
      </x:c>
      <x:c r="X286" s="18" t="str">
        <x:v>excluded</x:v>
      </x:c>
      <x:c r="Y286" s="18" t="str">
        <x:v>광고성</x:v>
      </x:c>
      <x:c r="Z286" s="18" t="str"/>
      <x:c r="AA286" s="18" t="str">
        <x:v>단일 신상품 모음 또는 판매성 소개만 확인돼 관심·언급 증가와 다채널 확산을 입증하지 못했다.</x:v>
      </x:c>
    </x:row>
    <x:row r="287">
      <x:c r="A287" s="18" t="n">
        <x:v>284</x:v>
      </x:c>
      <x:c r="B287" s="18" t="str">
        <x:v>kr_202608_candidate_284</x:v>
      </x:c>
      <x:c r="C287" s="18" t="str">
        <x:v>옥수수 사르르산도</x:v>
      </x:c>
      <x:c r="D287" s="18" t="str">
        <x:v>[]</x:v>
      </x:c>
      <x:c r="E287" s="18" t="str">
        <x:v>food</x:v>
      </x:c>
      <x:c r="F287" s="18" t="str">
        <x:v>consumer_product</x:v>
      </x:c>
      <x:c r="G287" s="19" t="n">
        <x:v>46242.625</x:v>
      </x:c>
      <x:c r="H287" s="18" t="str">
        <x:v>Y</x:v>
      </x:c>
      <x:c r="I287" s="18" t="str">
        <x:v>Y</x:v>
      </x:c>
      <x:c r="J287" s="18" t="str">
        <x:v>Y</x:v>
      </x:c>
      <x:c r="K287" s="18" t="str">
        <x:v>8월2주차 편의점신상 (GS25,CU,세븐일레븐,이마트24)에서 구체적인 상품·현상으로 관찰돼 후속 검색·언급 증가 여부를 검증할 후보로 수집했다.</x:v>
      </x:c>
      <x:c r="L287" s="18" t="str">
        <x:v>공개 자료에서 옥수수 사르르산도 관찰</x:v>
      </x:c>
      <x:c r="M287" s="18" t="str">
        <x:v>other</x:v>
      </x:c>
      <x:c r="N287" s="18" t="str">
        <x:v>다먹어라이언</x:v>
      </x:c>
      <x:c r="O287" s="19" t="n">
        <x:v>46242.625</x:v>
      </x:c>
      <x:c r="P287" s="18" t="str">
        <x:v>8월2주차 편의점신상 (GS25,CU,세븐일레븐,이마트24)</x:v>
      </x:c>
      <x:c r="Q287" s="18" t="str">
        <x:v>https://v.daum.net/v/zDB5NlSr7A</x:v>
      </x:c>
      <x:c r="R287" s="18" t="str">
        <x:v>other</x:v>
      </x:c>
      <x:c r="S287" s="18" t="str">
        <x:v>편의점 신제품리뷰 채널</x:v>
      </x:c>
      <x:c r="T287" s="19" t="n">
        <x:v>46247.625</x:v>
      </x:c>
      <x:c r="U287" s="18" t="str">
        <x:v>편의점 신제품리뷰 공개 목록</x:v>
      </x:c>
      <x:c r="V287" s="18" t="str">
        <x:v>https://v.daum.net/channel/551515/contents</x:v>
      </x:c>
      <x:c r="W287" s="18" t="str">
        <x:v>resolved_excluded</x:v>
      </x:c>
      <x:c r="X287" s="18" t="str">
        <x:v>excluded</x:v>
      </x:c>
      <x:c r="Y287" s="18" t="str">
        <x:v>광고성</x:v>
      </x:c>
      <x:c r="Z287" s="18" t="str"/>
      <x:c r="AA287" s="18" t="str">
        <x:v>단일 신상품 모음 또는 판매성 소개만 확인돼 관심·언급 증가와 다채널 확산을 입증하지 못했다.</x:v>
      </x:c>
    </x:row>
    <x:row r="288">
      <x:c r="A288" s="18" t="n">
        <x:v>285</x:v>
      </x:c>
      <x:c r="B288" s="18" t="str">
        <x:v>kr_202608_candidate_285</x:v>
      </x:c>
      <x:c r="C288" s="18" t="str">
        <x:v>우유 사르르생크림빵</x:v>
      </x:c>
      <x:c r="D288" s="18" t="str">
        <x:v>[]</x:v>
      </x:c>
      <x:c r="E288" s="18" t="str">
        <x:v>food</x:v>
      </x:c>
      <x:c r="F288" s="18" t="str">
        <x:v>consumer_product</x:v>
      </x:c>
      <x:c r="G288" s="19" t="n">
        <x:v>46242.625</x:v>
      </x:c>
      <x:c r="H288" s="18" t="str">
        <x:v>Y</x:v>
      </x:c>
      <x:c r="I288" s="18" t="str">
        <x:v>Y</x:v>
      </x:c>
      <x:c r="J288" s="18" t="str">
        <x:v>Y</x:v>
      </x:c>
      <x:c r="K288" s="18" t="str">
        <x:v>8월2주차 편의점신상 (GS25,CU,세븐일레븐,이마트24)에서 구체적인 상품·현상으로 관찰돼 후속 검색·언급 증가 여부를 검증할 후보로 수집했다.</x:v>
      </x:c>
      <x:c r="L288" s="18" t="str">
        <x:v>공개 자료에서 우유 사르르생크림빵 관찰</x:v>
      </x:c>
      <x:c r="M288" s="18" t="str">
        <x:v>other</x:v>
      </x:c>
      <x:c r="N288" s="18" t="str">
        <x:v>다먹어라이언</x:v>
      </x:c>
      <x:c r="O288" s="19" t="n">
        <x:v>46242.625</x:v>
      </x:c>
      <x:c r="P288" s="18" t="str">
        <x:v>8월2주차 편의점신상 (GS25,CU,세븐일레븐,이마트24)</x:v>
      </x:c>
      <x:c r="Q288" s="18" t="str">
        <x:v>https://v.daum.net/v/zDB5NlSr7A</x:v>
      </x:c>
      <x:c r="R288" s="18" t="str">
        <x:v>other</x:v>
      </x:c>
      <x:c r="S288" s="18" t="str">
        <x:v>편의점 신제품리뷰 채널</x:v>
      </x:c>
      <x:c r="T288" s="19" t="n">
        <x:v>46247.625</x:v>
      </x:c>
      <x:c r="U288" s="18" t="str">
        <x:v>편의점 신제품리뷰 공개 목록</x:v>
      </x:c>
      <x:c r="V288" s="18" t="str">
        <x:v>https://v.daum.net/channel/551515/contents</x:v>
      </x:c>
      <x:c r="W288" s="18" t="str">
        <x:v>resolved_excluded</x:v>
      </x:c>
      <x:c r="X288" s="18" t="str">
        <x:v>excluded</x:v>
      </x:c>
      <x:c r="Y288" s="18" t="str">
        <x:v>광고성</x:v>
      </x:c>
      <x:c r="Z288" s="18" t="str"/>
      <x:c r="AA288" s="18" t="str">
        <x:v>단일 신상품 모음 또는 판매성 소개만 확인돼 관심·언급 증가와 다채널 확산을 입증하지 못했다.</x:v>
      </x:c>
    </x:row>
    <x:row r="289">
      <x:c r="A289" s="18" t="n">
        <x:v>286</x:v>
      </x:c>
      <x:c r="B289" s="18" t="str">
        <x:v>kr_202608_candidate_286</x:v>
      </x:c>
      <x:c r="C289" s="18" t="str">
        <x:v>칸달로프멜론사르르생크림빵</x:v>
      </x:c>
      <x:c r="D289" s="18" t="str">
        <x:v>[]</x:v>
      </x:c>
      <x:c r="E289" s="18" t="str">
        <x:v>food</x:v>
      </x:c>
      <x:c r="F289" s="18" t="str">
        <x:v>consumer_product</x:v>
      </x:c>
      <x:c r="G289" s="19" t="n">
        <x:v>46242.625</x:v>
      </x:c>
      <x:c r="H289" s="18" t="str">
        <x:v>Y</x:v>
      </x:c>
      <x:c r="I289" s="18" t="str">
        <x:v>Y</x:v>
      </x:c>
      <x:c r="J289" s="18" t="str">
        <x:v>Y</x:v>
      </x:c>
      <x:c r="K289" s="18" t="str">
        <x:v>8월2주차 편의점신상 (GS25,CU,세븐일레븐,이마트24)에서 구체적인 상품·현상으로 관찰돼 후속 검색·언급 증가 여부를 검증할 후보로 수집했다.</x:v>
      </x:c>
      <x:c r="L289" s="18" t="str">
        <x:v>공개 자료에서 칸달로프멜론사르르생크림빵 관찰</x:v>
      </x:c>
      <x:c r="M289" s="18" t="str">
        <x:v>other</x:v>
      </x:c>
      <x:c r="N289" s="18" t="str">
        <x:v>다먹어라이언</x:v>
      </x:c>
      <x:c r="O289" s="19" t="n">
        <x:v>46242.625</x:v>
      </x:c>
      <x:c r="P289" s="18" t="str">
        <x:v>8월2주차 편의점신상 (GS25,CU,세븐일레븐,이마트24)</x:v>
      </x:c>
      <x:c r="Q289" s="18" t="str">
        <x:v>https://v.daum.net/v/zDB5NlSr7A</x:v>
      </x:c>
      <x:c r="R289" s="18" t="str">
        <x:v>other</x:v>
      </x:c>
      <x:c r="S289" s="18" t="str">
        <x:v>편의점 신제품리뷰 채널</x:v>
      </x:c>
      <x:c r="T289" s="19" t="n">
        <x:v>46247.625</x:v>
      </x:c>
      <x:c r="U289" s="18" t="str">
        <x:v>편의점 신제품리뷰 공개 목록</x:v>
      </x:c>
      <x:c r="V289" s="18" t="str">
        <x:v>https://v.daum.net/channel/551515/contents</x:v>
      </x:c>
      <x:c r="W289" s="18" t="str">
        <x:v>resolved_excluded</x:v>
      </x:c>
      <x:c r="X289" s="18" t="str">
        <x:v>excluded</x:v>
      </x:c>
      <x:c r="Y289" s="18" t="str">
        <x:v>광고성</x:v>
      </x:c>
      <x:c r="Z289" s="18" t="str"/>
      <x:c r="AA289" s="18" t="str">
        <x:v>단일 신상품 모음 또는 판매성 소개만 확인돼 관심·언급 증가와 다채널 확산을 입증하지 못했다.</x:v>
      </x:c>
    </x:row>
    <x:row r="290">
      <x:c r="A290" s="18" t="n">
        <x:v>287</x:v>
      </x:c>
      <x:c r="B290" s="18" t="str">
        <x:v>kr_202608_candidate_287</x:v>
      </x:c>
      <x:c r="C290" s="18" t="str">
        <x:v>버그베어 직화제육덮밥</x:v>
      </x:c>
      <x:c r="D290" s="18" t="str">
        <x:v>[]</x:v>
      </x:c>
      <x:c r="E290" s="18" t="str">
        <x:v>food</x:v>
      </x:c>
      <x:c r="F290" s="18" t="str">
        <x:v>consumer_product</x:v>
      </x:c>
      <x:c r="G290" s="19" t="n">
        <x:v>46242.625</x:v>
      </x:c>
      <x:c r="H290" s="18" t="str">
        <x:v>Y</x:v>
      </x:c>
      <x:c r="I290" s="18" t="str">
        <x:v>Y</x:v>
      </x:c>
      <x:c r="J290" s="18" t="str">
        <x:v>Y</x:v>
      </x:c>
      <x:c r="K290" s="18" t="str">
        <x:v>8월2주차 편의점신상 (GS25,CU,세븐일레븐,이마트24)에서 구체적인 상품·현상으로 관찰돼 후속 검색·언급 증가 여부를 검증할 후보로 수집했다.</x:v>
      </x:c>
      <x:c r="L290" s="18" t="str">
        <x:v>공개 자료에서 버그베어 직화제육덮밥 관찰</x:v>
      </x:c>
      <x:c r="M290" s="18" t="str">
        <x:v>other</x:v>
      </x:c>
      <x:c r="N290" s="18" t="str">
        <x:v>다먹어라이언</x:v>
      </x:c>
      <x:c r="O290" s="19" t="n">
        <x:v>46242.625</x:v>
      </x:c>
      <x:c r="P290" s="18" t="str">
        <x:v>8월2주차 편의점신상 (GS25,CU,세븐일레븐,이마트24)</x:v>
      </x:c>
      <x:c r="Q290" s="18" t="str">
        <x:v>https://v.daum.net/v/zDB5NlSr7A</x:v>
      </x:c>
      <x:c r="R290" s="18" t="str">
        <x:v>other</x:v>
      </x:c>
      <x:c r="S290" s="18" t="str">
        <x:v>편의점 신제품리뷰 채널</x:v>
      </x:c>
      <x:c r="T290" s="19" t="n">
        <x:v>46247.625</x:v>
      </x:c>
      <x:c r="U290" s="18" t="str">
        <x:v>편의점 신제품리뷰 공개 목록</x:v>
      </x:c>
      <x:c r="V290" s="18" t="str">
        <x:v>https://v.daum.net/channel/551515/contents</x:v>
      </x:c>
      <x:c r="W290" s="18" t="str">
        <x:v>resolved_excluded</x:v>
      </x:c>
      <x:c r="X290" s="18" t="str">
        <x:v>excluded</x:v>
      </x:c>
      <x:c r="Y290" s="18" t="str">
        <x:v>광고성</x:v>
      </x:c>
      <x:c r="Z290" s="18" t="str"/>
      <x:c r="AA290" s="18" t="str">
        <x:v>단일 신상품 모음 또는 판매성 소개만 확인돼 관심·언급 증가와 다채널 확산을 입증하지 못했다.</x:v>
      </x:c>
    </x:row>
    <x:row r="291">
      <x:c r="A291" s="18" t="n">
        <x:v>288</x:v>
      </x:c>
      <x:c r="B291" s="18" t="str">
        <x:v>kr_202608_candidate_288</x:v>
      </x:c>
      <x:c r="C291" s="18" t="str">
        <x:v>사와사와 파인애플하이볼</x:v>
      </x:c>
      <x:c r="D291" s="18" t="str">
        <x:v>[]</x:v>
      </x:c>
      <x:c r="E291" s="18" t="str">
        <x:v>food</x:v>
      </x:c>
      <x:c r="F291" s="18" t="str">
        <x:v>consumer_product</x:v>
      </x:c>
      <x:c r="G291" s="19" t="n">
        <x:v>46242.625</x:v>
      </x:c>
      <x:c r="H291" s="18" t="str">
        <x:v>Y</x:v>
      </x:c>
      <x:c r="I291" s="18" t="str">
        <x:v>Y</x:v>
      </x:c>
      <x:c r="J291" s="18" t="str">
        <x:v>Y</x:v>
      </x:c>
      <x:c r="K291" s="18" t="str">
        <x:v>8월2주차 편의점신상 (GS25,CU,세븐일레븐,이마트24)에서 구체적인 상품·현상으로 관찰돼 후속 검색·언급 증가 여부를 검증할 후보로 수집했다.</x:v>
      </x:c>
      <x:c r="L291" s="18" t="str">
        <x:v>공개 자료에서 사와사와 파인애플하이볼 관찰</x:v>
      </x:c>
      <x:c r="M291" s="18" t="str">
        <x:v>other</x:v>
      </x:c>
      <x:c r="N291" s="18" t="str">
        <x:v>다먹어라이언</x:v>
      </x:c>
      <x:c r="O291" s="19" t="n">
        <x:v>46242.625</x:v>
      </x:c>
      <x:c r="P291" s="18" t="str">
        <x:v>8월2주차 편의점신상 (GS25,CU,세븐일레븐,이마트24)</x:v>
      </x:c>
      <x:c r="Q291" s="18" t="str">
        <x:v>https://v.daum.net/v/zDB5NlSr7A</x:v>
      </x:c>
      <x:c r="R291" s="18" t="str">
        <x:v>other</x:v>
      </x:c>
      <x:c r="S291" s="18" t="str">
        <x:v>편의점 신제품리뷰 채널</x:v>
      </x:c>
      <x:c r="T291" s="19" t="n">
        <x:v>46247.625</x:v>
      </x:c>
      <x:c r="U291" s="18" t="str">
        <x:v>편의점 신제품리뷰 공개 목록</x:v>
      </x:c>
      <x:c r="V291" s="18" t="str">
        <x:v>https://v.daum.net/channel/551515/contents</x:v>
      </x:c>
      <x:c r="W291" s="18" t="str">
        <x:v>resolved_excluded</x:v>
      </x:c>
      <x:c r="X291" s="18" t="str">
        <x:v>excluded</x:v>
      </x:c>
      <x:c r="Y291" s="18" t="str">
        <x:v>광고성</x:v>
      </x:c>
      <x:c r="Z291" s="18" t="str"/>
      <x:c r="AA291" s="18" t="str">
        <x:v>단일 신상품 모음 또는 판매성 소개만 확인돼 관심·언급 증가와 다채널 확산을 입증하지 못했다.</x:v>
      </x:c>
    </x:row>
    <x:row r="292">
      <x:c r="A292" s="18" t="n">
        <x:v>289</x:v>
      </x:c>
      <x:c r="B292" s="18" t="str">
        <x:v>kr_202608_candidate_289</x:v>
      </x:c>
      <x:c r="C292" s="18" t="str">
        <x:v>사와사와 피치하이볼</x:v>
      </x:c>
      <x:c r="D292" s="18" t="str">
        <x:v>[]</x:v>
      </x:c>
      <x:c r="E292" s="18" t="str">
        <x:v>food</x:v>
      </x:c>
      <x:c r="F292" s="18" t="str">
        <x:v>consumer_product</x:v>
      </x:c>
      <x:c r="G292" s="19" t="n">
        <x:v>46242.625</x:v>
      </x:c>
      <x:c r="H292" s="18" t="str">
        <x:v>Y</x:v>
      </x:c>
      <x:c r="I292" s="18" t="str">
        <x:v>Y</x:v>
      </x:c>
      <x:c r="J292" s="18" t="str">
        <x:v>Y</x:v>
      </x:c>
      <x:c r="K292" s="18" t="str">
        <x:v>8월2주차 편의점신상 (GS25,CU,세븐일레븐,이마트24)에서 구체적인 상품·현상으로 관찰돼 후속 검색·언급 증가 여부를 검증할 후보로 수집했다.</x:v>
      </x:c>
      <x:c r="L292" s="18" t="str">
        <x:v>공개 자료에서 사와사와 피치하이볼 관찰</x:v>
      </x:c>
      <x:c r="M292" s="18" t="str">
        <x:v>other</x:v>
      </x:c>
      <x:c r="N292" s="18" t="str">
        <x:v>다먹어라이언</x:v>
      </x:c>
      <x:c r="O292" s="19" t="n">
        <x:v>46242.625</x:v>
      </x:c>
      <x:c r="P292" s="18" t="str">
        <x:v>8월2주차 편의점신상 (GS25,CU,세븐일레븐,이마트24)</x:v>
      </x:c>
      <x:c r="Q292" s="18" t="str">
        <x:v>https://v.daum.net/v/zDB5NlSr7A</x:v>
      </x:c>
      <x:c r="R292" s="18" t="str">
        <x:v>other</x:v>
      </x:c>
      <x:c r="S292" s="18" t="str">
        <x:v>편의점 신제품리뷰 채널</x:v>
      </x:c>
      <x:c r="T292" s="19" t="n">
        <x:v>46247.625</x:v>
      </x:c>
      <x:c r="U292" s="18" t="str">
        <x:v>편의점 신제품리뷰 공개 목록</x:v>
      </x:c>
      <x:c r="V292" s="18" t="str">
        <x:v>https://v.daum.net/channel/551515/contents</x:v>
      </x:c>
      <x:c r="W292" s="18" t="str">
        <x:v>resolved_excluded</x:v>
      </x:c>
      <x:c r="X292" s="18" t="str">
        <x:v>excluded</x:v>
      </x:c>
      <x:c r="Y292" s="18" t="str">
        <x:v>광고성</x:v>
      </x:c>
      <x:c r="Z292" s="18" t="str"/>
      <x:c r="AA292" s="18" t="str">
        <x:v>단일 신상품 모음 또는 판매성 소개만 확인돼 관심·언급 증가와 다채널 확산을 입증하지 못했다.</x:v>
      </x:c>
    </x:row>
    <x:row r="293">
      <x:c r="A293" s="18" t="n">
        <x:v>290</x:v>
      </x:c>
      <x:c r="B293" s="18" t="str">
        <x:v>kr_202608_candidate_290</x:v>
      </x:c>
      <x:c r="C293" s="18" t="str">
        <x:v>음식만안와요</x:v>
      </x:c>
      <x:c r="D293" s="18" t="str">
        <x:v>[]</x:v>
      </x:c>
      <x:c r="E293" s="18" t="str">
        <x:v>product_brand</x:v>
      </x:c>
      <x:c r="F293" s="18" t="str">
        <x:v>digital_culture</x:v>
      </x:c>
      <x:c r="G293" s="19" t="n">
        <x:v>46156.625</x:v>
      </x:c>
      <x:c r="H293" s="18" t="str"/>
      <x:c r="I293" s="18" t="str"/>
      <x:c r="J293" s="18" t="str">
        <x:v>Y</x:v>
      </x:c>
      <x:c r="K293" s="18" t="str">
        <x:v>가짜 배달 앱부터 온라인 담타까지, 요즘 Z세대가 빠진 웹사이트 21가지에서 구체적인 상품·현상으로 관찰돼 후속 검색·언급 증가 여부를 검증할 후보로 수집했다.</x:v>
      </x:c>
      <x:c r="L293" s="18" t="str">
        <x:v>공개 자료에서 음식만안와요 관찰</x:v>
      </x:c>
      <x:c r="M293" s="18" t="str">
        <x:v>other</x:v>
      </x:c>
      <x:c r="N293" s="18" t="str">
        <x:v>고구마팜</x:v>
      </x:c>
      <x:c r="O293" s="19" t="n">
        <x:v>46156.625</x:v>
      </x:c>
      <x:c r="P293" s="18" t="str">
        <x:v>가짜 배달 앱부터 온라인 담타까지, 요즘 Z세대가 빠진 웹사이트 21가지</x:v>
      </x:c>
      <x:c r="Q293" s="18" t="str">
        <x:v>https://gogumafarm.kr/%EA%B0%80%EC%A7%9C-%EB%B0%B0%EB%8B%AC-%EC%95%B1%EB%B6%80%ED%84%B0-%EC%98%A8%EB%9D%BC%EC%9D%B8-%EB%8B%B4%ED%83%80%EA%B9%8C%EC%A7%80-%EC%9A%94%EC%A6%98-z%EC%84%B8%EB%8C%80%EA%B0%80-%EB%B9%A0%EC%A7%84/</x:v>
      </x:c>
      <x:c r="R293" s="18" t="str">
        <x:v>other</x:v>
      </x:c>
      <x:c r="S293" s="18" t="str">
        <x:v>편의점 신제품리뷰 채널</x:v>
      </x:c>
      <x:c r="T293" s="19" t="n">
        <x:v>46247.625</x:v>
      </x:c>
      <x:c r="U293" s="18" t="str">
        <x:v>편의점 신제품리뷰 공개 목록</x:v>
      </x:c>
      <x:c r="V293" s="18" t="str">
        <x:v>https://v.daum.net/channel/551515/contents</x:v>
      </x:c>
      <x:c r="W293" s="18" t="str">
        <x:v>resolved_excluded</x:v>
      </x:c>
      <x:c r="X293" s="18" t="str">
        <x:v>excluded</x:v>
      </x:c>
      <x:c r="Y293" s="18" t="str">
        <x:v>근거 부족</x:v>
      </x:c>
      <x:c r="Z293" s="18" t="str"/>
      <x:c r="AA293" s="18" t="str">
        <x:v>두 번째 독립 공개 근거 또는 당시 확산을 입증할 자료가 부족해 트렌드에서 제외했다.</x:v>
      </x:c>
    </x:row>
    <x:row r="294">
      <x:c r="A294" s="18" t="n">
        <x:v>291</x:v>
      </x:c>
      <x:c r="B294" s="18" t="str">
        <x:v>kr_202608_candidate_291</x:v>
      </x:c>
      <x:c r="C294" s="18" t="str">
        <x:v>사자사자</x:v>
      </x:c>
      <x:c r="D294" s="18" t="str">
        <x:v>[]</x:v>
      </x:c>
      <x:c r="E294" s="18" t="str">
        <x:v>product_brand</x:v>
      </x:c>
      <x:c r="F294" s="18" t="str">
        <x:v>digital_culture</x:v>
      </x:c>
      <x:c r="G294" s="19" t="n">
        <x:v>46156.625</x:v>
      </x:c>
      <x:c r="H294" s="18" t="str"/>
      <x:c r="I294" s="18" t="str"/>
      <x:c r="J294" s="18" t="str">
        <x:v>Y</x:v>
      </x:c>
      <x:c r="K294" s="18" t="str">
        <x:v>가짜 배달 앱부터 온라인 담타까지, 요즘 Z세대가 빠진 웹사이트 21가지에서 구체적인 상품·현상으로 관찰돼 후속 검색·언급 증가 여부를 검증할 후보로 수집했다.</x:v>
      </x:c>
      <x:c r="L294" s="18" t="str">
        <x:v>공개 자료에서 사자사자 관찰</x:v>
      </x:c>
      <x:c r="M294" s="18" t="str">
        <x:v>other</x:v>
      </x:c>
      <x:c r="N294" s="18" t="str">
        <x:v>고구마팜</x:v>
      </x:c>
      <x:c r="O294" s="19" t="n">
        <x:v>46156.625</x:v>
      </x:c>
      <x:c r="P294" s="18" t="str">
        <x:v>가짜 배달 앱부터 온라인 담타까지, 요즘 Z세대가 빠진 웹사이트 21가지</x:v>
      </x:c>
      <x:c r="Q294" s="18" t="str">
        <x:v>https://gogumafarm.kr/%EA%B0%80%EC%A7%9C-%EB%B0%B0%EB%8B%AC-%EC%95%B1%EB%B6%80%ED%84%B0-%EC%98%A8%EB%9D%BC%EC%9D%B8-%EB%8B%B4%ED%83%80%EA%B9%8C%EC%A7%80-%EC%9A%94%EC%A6%98-z%EC%84%B8%EB%8C%80%EA%B0%80-%EB%B9%A0%EC%A7%84/</x:v>
      </x:c>
      <x:c r="R294" s="18" t="str">
        <x:v>other</x:v>
      </x:c>
      <x:c r="S294" s="18" t="str">
        <x:v>편의점 신제품리뷰 채널</x:v>
      </x:c>
      <x:c r="T294" s="19" t="n">
        <x:v>46247.625</x:v>
      </x:c>
      <x:c r="U294" s="18" t="str">
        <x:v>편의점 신제품리뷰 공개 목록</x:v>
      </x:c>
      <x:c r="V294" s="18" t="str">
        <x:v>https://v.daum.net/channel/551515/contents</x:v>
      </x:c>
      <x:c r="W294" s="18" t="str">
        <x:v>resolved_excluded</x:v>
      </x:c>
      <x:c r="X294" s="18" t="str">
        <x:v>excluded</x:v>
      </x:c>
      <x:c r="Y294" s="18" t="str">
        <x:v>근거 부족</x:v>
      </x:c>
      <x:c r="Z294" s="18" t="str"/>
      <x:c r="AA294" s="18" t="str">
        <x:v>두 번째 독립 공개 근거 또는 당시 확산을 입증할 자료가 부족해 트렌드에서 제외했다.</x:v>
      </x:c>
    </x:row>
    <x:row r="295">
      <x:c r="A295" s="18" t="n">
        <x:v>292</x:v>
      </x:c>
      <x:c r="B295" s="18" t="str">
        <x:v>kr_202608_candidate_292</x:v>
      </x:c>
      <x:c r="C295" s="18" t="str">
        <x:v>온라인 담타</x:v>
      </x:c>
      <x:c r="D295" s="18" t="str">
        <x:v>[]</x:v>
      </x:c>
      <x:c r="E295" s="18" t="str">
        <x:v>product_brand</x:v>
      </x:c>
      <x:c r="F295" s="18" t="str">
        <x:v>digital_culture</x:v>
      </x:c>
      <x:c r="G295" s="19" t="n">
        <x:v>46156.625</x:v>
      </x:c>
      <x:c r="H295" s="18" t="str"/>
      <x:c r="I295" s="18" t="str"/>
      <x:c r="J295" s="18" t="str">
        <x:v>Y</x:v>
      </x:c>
      <x:c r="K295" s="18" t="str">
        <x:v>가짜 배달 앱부터 온라인 담타까지, 요즘 Z세대가 빠진 웹사이트 21가지에서 구체적인 상품·현상으로 관찰돼 후속 검색·언급 증가 여부를 검증할 후보로 수집했다.</x:v>
      </x:c>
      <x:c r="L295" s="18" t="str">
        <x:v>공개 자료에서 온라인 담타 관찰</x:v>
      </x:c>
      <x:c r="M295" s="18" t="str">
        <x:v>other</x:v>
      </x:c>
      <x:c r="N295" s="18" t="str">
        <x:v>고구마팜</x:v>
      </x:c>
      <x:c r="O295" s="19" t="n">
        <x:v>46156.625</x:v>
      </x:c>
      <x:c r="P295" s="18" t="str">
        <x:v>가짜 배달 앱부터 온라인 담타까지, 요즘 Z세대가 빠진 웹사이트 21가지</x:v>
      </x:c>
      <x:c r="Q295" s="18" t="str">
        <x:v>https://gogumafarm.kr/%EA%B0%80%EC%A7%9C-%EB%B0%B0%EB%8B%AC-%EC%95%B1%EB%B6%80%ED%84%B0-%EC%98%A8%EB%9D%BC%EC%9D%B8-%EB%8B%B4%ED%83%80%EA%B9%8C%EC%A7%80-%EC%9A%94%EC%A6%98-z%EC%84%B8%EB%8C%80%EA%B0%80-%EB%B9%A0%EC%A7%84/</x:v>
      </x:c>
      <x:c r="R295" s="18" t="str">
        <x:v>other</x:v>
      </x:c>
      <x:c r="S295" s="18" t="str">
        <x:v>편의점 신제품리뷰 채널</x:v>
      </x:c>
      <x:c r="T295" s="19" t="n">
        <x:v>46247.625</x:v>
      </x:c>
      <x:c r="U295" s="18" t="str">
        <x:v>편의점 신제품리뷰 공개 목록</x:v>
      </x:c>
      <x:c r="V295" s="18" t="str">
        <x:v>https://v.daum.net/channel/551515/contents</x:v>
      </x:c>
      <x:c r="W295" s="18" t="str">
        <x:v>resolved_excluded</x:v>
      </x:c>
      <x:c r="X295" s="18" t="str">
        <x:v>excluded</x:v>
      </x:c>
      <x:c r="Y295" s="18" t="str">
        <x:v>근거 부족</x:v>
      </x:c>
      <x:c r="Z295" s="18" t="str"/>
      <x:c r="AA295" s="18" t="str">
        <x:v>두 번째 독립 공개 근거 또는 당시 확산을 입증할 자료가 부족해 트렌드에서 제외했다.</x:v>
      </x:c>
    </x:row>
    <x:row r="296">
      <x:c r="A296" s="18" t="n">
        <x:v>293</x:v>
      </x:c>
      <x:c r="B296" s="18" t="str">
        <x:v>kr_202608_candidate_293</x:v>
      </x:c>
      <x:c r="C296" s="18" t="str">
        <x:v>UNKNOWNREALITY STUDIO 핸드트래킹 코어</x:v>
      </x:c>
      <x:c r="D296" s="18" t="str">
        <x:v>[]</x:v>
      </x:c>
      <x:c r="E296" s="18" t="str">
        <x:v>product_brand</x:v>
      </x:c>
      <x:c r="F296" s="18" t="str">
        <x:v>digital_culture</x:v>
      </x:c>
      <x:c r="G296" s="19" t="n">
        <x:v>46156.625</x:v>
      </x:c>
      <x:c r="H296" s="18" t="str"/>
      <x:c r="I296" s="18" t="str"/>
      <x:c r="J296" s="18" t="str">
        <x:v>Y</x:v>
      </x:c>
      <x:c r="K296" s="18" t="str">
        <x:v>가짜 배달 앱부터 온라인 담타까지, 요즘 Z세대가 빠진 웹사이트 21가지에서 구체적인 상품·현상으로 관찰돼 후속 검색·언급 증가 여부를 검증할 후보로 수집했다.</x:v>
      </x:c>
      <x:c r="L296" s="18" t="str">
        <x:v>공개 자료에서 UNKNOWNREALITY STUDIO 핸드트래킹 코어 관찰</x:v>
      </x:c>
      <x:c r="M296" s="18" t="str">
        <x:v>other</x:v>
      </x:c>
      <x:c r="N296" s="18" t="str">
        <x:v>고구마팜</x:v>
      </x:c>
      <x:c r="O296" s="19" t="n">
        <x:v>46156.625</x:v>
      </x:c>
      <x:c r="P296" s="18" t="str">
        <x:v>가짜 배달 앱부터 온라인 담타까지, 요즘 Z세대가 빠진 웹사이트 21가지</x:v>
      </x:c>
      <x:c r="Q296" s="18" t="str">
        <x:v>https://gogumafarm.kr/%EA%B0%80%EC%A7%9C-%EB%B0%B0%EB%8B%AC-%EC%95%B1%EB%B6%80%ED%84%B0-%EC%98%A8%EB%9D%BC%EC%9D%B8-%EB%8B%B4%ED%83%80%EA%B9%8C%EC%A7%80-%EC%9A%94%EC%A6%98-z%EC%84%B8%EB%8C%80%EA%B0%80-%EB%B9%A0%EC%A7%84/</x:v>
      </x:c>
      <x:c r="R296" s="18" t="str">
        <x:v>other</x:v>
      </x:c>
      <x:c r="S296" s="18" t="str">
        <x:v>편의점 신제품리뷰 채널</x:v>
      </x:c>
      <x:c r="T296" s="19" t="n">
        <x:v>46247.625</x:v>
      </x:c>
      <x:c r="U296" s="18" t="str">
        <x:v>편의점 신제품리뷰 공개 목록</x:v>
      </x:c>
      <x:c r="V296" s="18" t="str">
        <x:v>https://v.daum.net/channel/551515/contents</x:v>
      </x:c>
      <x:c r="W296" s="18" t="str">
        <x:v>resolved_excluded</x:v>
      </x:c>
      <x:c r="X296" s="18" t="str">
        <x:v>excluded</x:v>
      </x:c>
      <x:c r="Y296" s="18" t="str">
        <x:v>근거 부족</x:v>
      </x:c>
      <x:c r="Z296" s="18" t="str"/>
      <x:c r="AA296" s="18" t="str">
        <x:v>두 번째 독립 공개 근거 또는 당시 확산을 입증할 자료가 부족해 트렌드에서 제외했다.</x:v>
      </x:c>
    </x:row>
    <x:row r="297">
      <x:c r="A297" s="18" t="n">
        <x:v>294</x:v>
      </x:c>
      <x:c r="B297" s="18" t="str">
        <x:v>kr_202608_candidate_294</x:v>
      </x:c>
      <x:c r="C297" s="18" t="str">
        <x:v>백일몽 사내 인트라넷</x:v>
      </x:c>
      <x:c r="D297" s="18" t="str">
        <x:v>[]</x:v>
      </x:c>
      <x:c r="E297" s="18" t="str">
        <x:v>product_brand</x:v>
      </x:c>
      <x:c r="F297" s="18" t="str">
        <x:v>digital_culture</x:v>
      </x:c>
      <x:c r="G297" s="19" t="n">
        <x:v>46156.625</x:v>
      </x:c>
      <x:c r="H297" s="18" t="str"/>
      <x:c r="I297" s="18" t="str"/>
      <x:c r="J297" s="18" t="str">
        <x:v>Y</x:v>
      </x:c>
      <x:c r="K297" s="18" t="str">
        <x:v>가짜 배달 앱부터 온라인 담타까지, 요즘 Z세대가 빠진 웹사이트 21가지에서 구체적인 상품·현상으로 관찰돼 후속 검색·언급 증가 여부를 검증할 후보로 수집했다.</x:v>
      </x:c>
      <x:c r="L297" s="18" t="str">
        <x:v>공개 자료에서 백일몽 사내 인트라넷 관찰</x:v>
      </x:c>
      <x:c r="M297" s="18" t="str">
        <x:v>other</x:v>
      </x:c>
      <x:c r="N297" s="18" t="str">
        <x:v>고구마팜</x:v>
      </x:c>
      <x:c r="O297" s="19" t="n">
        <x:v>46156.625</x:v>
      </x:c>
      <x:c r="P297" s="18" t="str">
        <x:v>가짜 배달 앱부터 온라인 담타까지, 요즘 Z세대가 빠진 웹사이트 21가지</x:v>
      </x:c>
      <x:c r="Q297" s="18" t="str">
        <x:v>https://gogumafarm.kr/%EA%B0%80%EC%A7%9C-%EB%B0%B0%EB%8B%AC-%EC%95%B1%EB%B6%80%ED%84%B0-%EC%98%A8%EB%9D%BC%EC%9D%B8-%EB%8B%B4%ED%83%80%EA%B9%8C%EC%A7%80-%EC%9A%94%EC%A6%98-z%EC%84%B8%EB%8C%80%EA%B0%80-%EB%B9%A0%EC%A7%84/</x:v>
      </x:c>
      <x:c r="R297" s="18" t="str">
        <x:v>other</x:v>
      </x:c>
      <x:c r="S297" s="18" t="str">
        <x:v>편의점 신제품리뷰 채널</x:v>
      </x:c>
      <x:c r="T297" s="19" t="n">
        <x:v>46247.625</x:v>
      </x:c>
      <x:c r="U297" s="18" t="str">
        <x:v>편의점 신제품리뷰 공개 목록</x:v>
      </x:c>
      <x:c r="V297" s="18" t="str">
        <x:v>https://v.daum.net/channel/551515/contents</x:v>
      </x:c>
      <x:c r="W297" s="18" t="str">
        <x:v>resolved_excluded</x:v>
      </x:c>
      <x:c r="X297" s="18" t="str">
        <x:v>excluded</x:v>
      </x:c>
      <x:c r="Y297" s="18" t="str">
        <x:v>근거 부족</x:v>
      </x:c>
      <x:c r="Z297" s="18" t="str"/>
      <x:c r="AA297" s="18" t="str">
        <x:v>두 번째 독립 공개 근거 또는 당시 확산을 입증할 자료가 부족해 트렌드에서 제외했다.</x:v>
      </x:c>
    </x:row>
    <x:row r="298">
      <x:c r="A298" s="18" t="n">
        <x:v>295</x:v>
      </x:c>
      <x:c r="B298" s="18" t="str">
        <x:v>kr_202608_candidate_295</x:v>
      </x:c>
      <x:c r="C298" s="18" t="str">
        <x:v>거지맵</x:v>
      </x:c>
      <x:c r="D298" s="18" t="str">
        <x:v>[]</x:v>
      </x:c>
      <x:c r="E298" s="18" t="str">
        <x:v>product_brand</x:v>
      </x:c>
      <x:c r="F298" s="18" t="str">
        <x:v>digital_culture</x:v>
      </x:c>
      <x:c r="G298" s="19" t="n">
        <x:v>46156.625</x:v>
      </x:c>
      <x:c r="H298" s="18" t="str"/>
      <x:c r="I298" s="18" t="str"/>
      <x:c r="J298" s="18" t="str">
        <x:v>Y</x:v>
      </x:c>
      <x:c r="K298" s="18" t="str">
        <x:v>가짜 배달 앱부터 온라인 담타까지, 요즘 Z세대가 빠진 웹사이트 21가지에서 구체적인 상품·현상으로 관찰돼 후속 검색·언급 증가 여부를 검증할 후보로 수집했다.</x:v>
      </x:c>
      <x:c r="L298" s="18" t="str">
        <x:v>공개 자료에서 거지맵 관찰</x:v>
      </x:c>
      <x:c r="M298" s="18" t="str">
        <x:v>other</x:v>
      </x:c>
      <x:c r="N298" s="18" t="str">
        <x:v>고구마팜</x:v>
      </x:c>
      <x:c r="O298" s="19" t="n">
        <x:v>46156.625</x:v>
      </x:c>
      <x:c r="P298" s="18" t="str">
        <x:v>가짜 배달 앱부터 온라인 담타까지, 요즘 Z세대가 빠진 웹사이트 21가지</x:v>
      </x:c>
      <x:c r="Q298" s="18" t="str">
        <x:v>https://gogumafarm.kr/%EA%B0%80%EC%A7%9C-%EB%B0%B0%EB%8B%AC-%EC%95%B1%EB%B6%80%ED%84%B0-%EC%98%A8%EB%9D%BC%EC%9D%B8-%EB%8B%B4%ED%83%80%EA%B9%8C%EC%A7%80-%EC%9A%94%EC%A6%98-z%EC%84%B8%EB%8C%80%EA%B0%80-%EB%B9%A0%EC%A7%84/</x:v>
      </x:c>
      <x:c r="R298" s="18" t="str">
        <x:v>other</x:v>
      </x:c>
      <x:c r="S298" s="18" t="str">
        <x:v>편의점 신제품리뷰 채널</x:v>
      </x:c>
      <x:c r="T298" s="19" t="n">
        <x:v>46247.625</x:v>
      </x:c>
      <x:c r="U298" s="18" t="str">
        <x:v>편의점 신제품리뷰 공개 목록</x:v>
      </x:c>
      <x:c r="V298" s="18" t="str">
        <x:v>https://v.daum.net/channel/551515/contents</x:v>
      </x:c>
      <x:c r="W298" s="18" t="str">
        <x:v>resolved_excluded</x:v>
      </x:c>
      <x:c r="X298" s="18" t="str">
        <x:v>excluded</x:v>
      </x:c>
      <x:c r="Y298" s="18" t="str">
        <x:v>근거 부족</x:v>
      </x:c>
      <x:c r="Z298" s="18" t="str"/>
      <x:c r="AA298" s="18" t="str">
        <x:v>두 번째 독립 공개 근거 또는 당시 확산을 입증할 자료가 부족해 트렌드에서 제외했다.</x:v>
      </x:c>
    </x:row>
    <x:row r="299">
      <x:c r="A299" s="18" t="n">
        <x:v>296</x:v>
      </x:c>
      <x:c r="B299" s="18" t="str">
        <x:v>kr_202608_candidate_296</x:v>
      </x:c>
      <x:c r="C299" s="18" t="str">
        <x:v>SubscriptionCat</x:v>
      </x:c>
      <x:c r="D299" s="18" t="str">
        <x:v>[]</x:v>
      </x:c>
      <x:c r="E299" s="18" t="str">
        <x:v>product_brand</x:v>
      </x:c>
      <x:c r="F299" s="18" t="str">
        <x:v>digital_culture</x:v>
      </x:c>
      <x:c r="G299" s="19" t="n">
        <x:v>46156.625</x:v>
      </x:c>
      <x:c r="H299" s="18" t="str"/>
      <x:c r="I299" s="18" t="str"/>
      <x:c r="J299" s="18" t="str">
        <x:v>Y</x:v>
      </x:c>
      <x:c r="K299" s="18" t="str">
        <x:v>가짜 배달 앱부터 온라인 담타까지, 요즘 Z세대가 빠진 웹사이트 21가지에서 구체적인 상품·현상으로 관찰돼 후속 검색·언급 증가 여부를 검증할 후보로 수집했다.</x:v>
      </x:c>
      <x:c r="L299" s="18" t="str">
        <x:v>공개 자료에서 SubscriptionCat 관찰</x:v>
      </x:c>
      <x:c r="M299" s="18" t="str">
        <x:v>other</x:v>
      </x:c>
      <x:c r="N299" s="18" t="str">
        <x:v>고구마팜</x:v>
      </x:c>
      <x:c r="O299" s="19" t="n">
        <x:v>46156.625</x:v>
      </x:c>
      <x:c r="P299" s="18" t="str">
        <x:v>가짜 배달 앱부터 온라인 담타까지, 요즘 Z세대가 빠진 웹사이트 21가지</x:v>
      </x:c>
      <x:c r="Q299" s="18" t="str">
        <x:v>https://gogumafarm.kr/%EA%B0%80%EC%A7%9C-%EB%B0%B0%EB%8B%AC-%EC%95%B1%EB%B6%80%ED%84%B0-%EC%98%A8%EB%9D%BC%EC%9D%B8-%EB%8B%B4%ED%83%80%EA%B9%8C%EC%A7%80-%EC%9A%94%EC%A6%98-z%EC%84%B8%EB%8C%80%EA%B0%80-%EB%B9%A0%EC%A7%84/</x:v>
      </x:c>
      <x:c r="R299" s="18" t="str">
        <x:v>other</x:v>
      </x:c>
      <x:c r="S299" s="18" t="str">
        <x:v>편의점 신제품리뷰 채널</x:v>
      </x:c>
      <x:c r="T299" s="19" t="n">
        <x:v>46247.625</x:v>
      </x:c>
      <x:c r="U299" s="18" t="str">
        <x:v>편의점 신제품리뷰 공개 목록</x:v>
      </x:c>
      <x:c r="V299" s="18" t="str">
        <x:v>https://v.daum.net/channel/551515/contents</x:v>
      </x:c>
      <x:c r="W299" s="18" t="str">
        <x:v>resolved_excluded</x:v>
      </x:c>
      <x:c r="X299" s="18" t="str">
        <x:v>excluded</x:v>
      </x:c>
      <x:c r="Y299" s="18" t="str">
        <x:v>근거 부족</x:v>
      </x:c>
      <x:c r="Z299" s="18" t="str"/>
      <x:c r="AA299" s="18" t="str">
        <x:v>두 번째 독립 공개 근거 또는 당시 확산을 입증할 자료가 부족해 트렌드에서 제외했다.</x:v>
      </x:c>
    </x:row>
    <x:row r="300">
      <x:c r="A300" s="18" t="n">
        <x:v>297</x:v>
      </x:c>
      <x:c r="B300" s="18" t="str">
        <x:v>kr_202608_candidate_297</x:v>
      </x:c>
      <x:c r="C300" s="18" t="str">
        <x:v>SIGNSCAPE</x:v>
      </x:c>
      <x:c r="D300" s="18" t="str">
        <x:v>[]</x:v>
      </x:c>
      <x:c r="E300" s="18" t="str">
        <x:v>product_brand</x:v>
      </x:c>
      <x:c r="F300" s="18" t="str">
        <x:v>digital_culture</x:v>
      </x:c>
      <x:c r="G300" s="19" t="n">
        <x:v>46156.625</x:v>
      </x:c>
      <x:c r="H300" s="18" t="str"/>
      <x:c r="I300" s="18" t="str"/>
      <x:c r="J300" s="18" t="str">
        <x:v>Y</x:v>
      </x:c>
      <x:c r="K300" s="18" t="str">
        <x:v>가짜 배달 앱부터 온라인 담타까지, 요즘 Z세대가 빠진 웹사이트 21가지에서 구체적인 상품·현상으로 관찰돼 후속 검색·언급 증가 여부를 검증할 후보로 수집했다.</x:v>
      </x:c>
      <x:c r="L300" s="18" t="str">
        <x:v>공개 자료에서 SIGNSCAPE 관찰</x:v>
      </x:c>
      <x:c r="M300" s="18" t="str">
        <x:v>other</x:v>
      </x:c>
      <x:c r="N300" s="18" t="str">
        <x:v>고구마팜</x:v>
      </x:c>
      <x:c r="O300" s="19" t="n">
        <x:v>46156.625</x:v>
      </x:c>
      <x:c r="P300" s="18" t="str">
        <x:v>가짜 배달 앱부터 온라인 담타까지, 요즘 Z세대가 빠진 웹사이트 21가지</x:v>
      </x:c>
      <x:c r="Q300" s="18" t="str">
        <x:v>https://gogumafarm.kr/%EA%B0%80%EC%A7%9C-%EB%B0%B0%EB%8B%AC-%EC%95%B1%EB%B6%80%ED%84%B0-%EC%98%A8%EB%9D%BC%EC%9D%B8-%EB%8B%B4%ED%83%80%EA%B9%8C%EC%A7%80-%EC%9A%94%EC%A6%98-z%EC%84%B8%EB%8C%80%EA%B0%80-%EB%B9%A0%EC%A7%84/</x:v>
      </x:c>
      <x:c r="R300" s="18" t="str">
        <x:v>other</x:v>
      </x:c>
      <x:c r="S300" s="18" t="str">
        <x:v>편의점 신제품리뷰 채널</x:v>
      </x:c>
      <x:c r="T300" s="19" t="n">
        <x:v>46247.625</x:v>
      </x:c>
      <x:c r="U300" s="18" t="str">
        <x:v>편의점 신제품리뷰 공개 목록</x:v>
      </x:c>
      <x:c r="V300" s="18" t="str">
        <x:v>https://v.daum.net/channel/551515/contents</x:v>
      </x:c>
      <x:c r="W300" s="18" t="str">
        <x:v>resolved_excluded</x:v>
      </x:c>
      <x:c r="X300" s="18" t="str">
        <x:v>excluded</x:v>
      </x:c>
      <x:c r="Y300" s="18" t="str">
        <x:v>근거 부족</x:v>
      </x:c>
      <x:c r="Z300" s="18" t="str"/>
      <x:c r="AA300" s="18" t="str">
        <x:v>두 번째 독립 공개 근거 또는 당시 확산을 입증할 자료가 부족해 트렌드에서 제외했다.</x:v>
      </x:c>
    </x:row>
    <x:row r="301">
      <x:c r="A301" s="18" t="n">
        <x:v>298</x:v>
      </x:c>
      <x:c r="B301" s="18" t="str">
        <x:v>kr_202608_candidate_298</x:v>
      </x:c>
      <x:c r="C301" s="18" t="str">
        <x:v>Every Noise at Once</x:v>
      </x:c>
      <x:c r="D301" s="18" t="str">
        <x:v>[]</x:v>
      </x:c>
      <x:c r="E301" s="18" t="str">
        <x:v>product_brand</x:v>
      </x:c>
      <x:c r="F301" s="18" t="str">
        <x:v>digital_culture</x:v>
      </x:c>
      <x:c r="G301" s="19" t="n">
        <x:v>46156.625</x:v>
      </x:c>
      <x:c r="H301" s="18" t="str"/>
      <x:c r="I301" s="18" t="str"/>
      <x:c r="J301" s="18" t="str">
        <x:v>Y</x:v>
      </x:c>
      <x:c r="K301" s="18" t="str">
        <x:v>가짜 배달 앱부터 온라인 담타까지, 요즘 Z세대가 빠진 웹사이트 21가지에서 구체적인 상품·현상으로 관찰돼 후속 검색·언급 증가 여부를 검증할 후보로 수집했다.</x:v>
      </x:c>
      <x:c r="L301" s="18" t="str">
        <x:v>공개 자료에서 Every Noise at Once 관찰</x:v>
      </x:c>
      <x:c r="M301" s="18" t="str">
        <x:v>other</x:v>
      </x:c>
      <x:c r="N301" s="18" t="str">
        <x:v>고구마팜</x:v>
      </x:c>
      <x:c r="O301" s="19" t="n">
        <x:v>46156.625</x:v>
      </x:c>
      <x:c r="P301" s="18" t="str">
        <x:v>가짜 배달 앱부터 온라인 담타까지, 요즘 Z세대가 빠진 웹사이트 21가지</x:v>
      </x:c>
      <x:c r="Q301" s="18" t="str">
        <x:v>https://gogumafarm.kr/%EA%B0%80%EC%A7%9C-%EB%B0%B0%EB%8B%AC-%EC%95%B1%EB%B6%80%ED%84%B0-%EC%98%A8%EB%9D%BC%EC%9D%B8-%EB%8B%B4%ED%83%80%EA%B9%8C%EC%A7%80-%EC%9A%94%EC%A6%98-z%EC%84%B8%EB%8C%80%EA%B0%80-%EB%B9%A0%EC%A7%84/</x:v>
      </x:c>
      <x:c r="R301" s="18" t="str">
        <x:v>other</x:v>
      </x:c>
      <x:c r="S301" s="18" t="str">
        <x:v>편의점 신제품리뷰 채널</x:v>
      </x:c>
      <x:c r="T301" s="19" t="n">
        <x:v>46247.625</x:v>
      </x:c>
      <x:c r="U301" s="18" t="str">
        <x:v>편의점 신제품리뷰 공개 목록</x:v>
      </x:c>
      <x:c r="V301" s="18" t="str">
        <x:v>https://v.daum.net/channel/551515/contents</x:v>
      </x:c>
      <x:c r="W301" s="18" t="str">
        <x:v>resolved_excluded</x:v>
      </x:c>
      <x:c r="X301" s="18" t="str">
        <x:v>excluded</x:v>
      </x:c>
      <x:c r="Y301" s="18" t="str">
        <x:v>근거 부족</x:v>
      </x:c>
      <x:c r="Z301" s="18" t="str"/>
      <x:c r="AA301" s="18" t="str">
        <x:v>두 번째 독립 공개 근거 또는 당시 확산을 입증할 자료가 부족해 트렌드에서 제외했다.</x:v>
      </x:c>
    </x:row>
    <x:row r="302">
      <x:c r="A302" s="18" t="n">
        <x:v>299</x:v>
      </x:c>
      <x:c r="B302" s="18" t="str">
        <x:v>kr_202608_candidate_299</x:v>
      </x:c>
      <x:c r="C302" s="18" t="str">
        <x:v>Song Bottle</x:v>
      </x:c>
      <x:c r="D302" s="18" t="str">
        <x:v>[]</x:v>
      </x:c>
      <x:c r="E302" s="18" t="str">
        <x:v>product_brand</x:v>
      </x:c>
      <x:c r="F302" s="18" t="str">
        <x:v>digital_culture</x:v>
      </x:c>
      <x:c r="G302" s="19" t="n">
        <x:v>46156.625</x:v>
      </x:c>
      <x:c r="H302" s="18" t="str"/>
      <x:c r="I302" s="18" t="str"/>
      <x:c r="J302" s="18" t="str">
        <x:v>Y</x:v>
      </x:c>
      <x:c r="K302" s="18" t="str">
        <x:v>가짜 배달 앱부터 온라인 담타까지, 요즘 Z세대가 빠진 웹사이트 21가지에서 구체적인 상품·현상으로 관찰돼 후속 검색·언급 증가 여부를 검증할 후보로 수집했다.</x:v>
      </x:c>
      <x:c r="L302" s="18" t="str">
        <x:v>공개 자료에서 Song Bottle 관찰</x:v>
      </x:c>
      <x:c r="M302" s="18" t="str">
        <x:v>other</x:v>
      </x:c>
      <x:c r="N302" s="18" t="str">
        <x:v>고구마팜</x:v>
      </x:c>
      <x:c r="O302" s="19" t="n">
        <x:v>46156.625</x:v>
      </x:c>
      <x:c r="P302" s="18" t="str">
        <x:v>가짜 배달 앱부터 온라인 담타까지, 요즘 Z세대가 빠진 웹사이트 21가지</x:v>
      </x:c>
      <x:c r="Q302" s="18" t="str">
        <x:v>https://gogumafarm.kr/%EA%B0%80%EC%A7%9C-%EB%B0%B0%EB%8B%AC-%EC%95%B1%EB%B6%80%ED%84%B0-%EC%98%A8%EB%9D%BC%EC%9D%B8-%EB%8B%B4%ED%83%80%EA%B9%8C%EC%A7%80-%EC%9A%94%EC%A6%98-z%EC%84%B8%EB%8C%80%EA%B0%80-%EB%B9%A0%EC%A7%84/</x:v>
      </x:c>
      <x:c r="R302" s="18" t="str">
        <x:v>other</x:v>
      </x:c>
      <x:c r="S302" s="18" t="str">
        <x:v>편의점 신제품리뷰 채널</x:v>
      </x:c>
      <x:c r="T302" s="19" t="n">
        <x:v>46247.625</x:v>
      </x:c>
      <x:c r="U302" s="18" t="str">
        <x:v>편의점 신제품리뷰 공개 목록</x:v>
      </x:c>
      <x:c r="V302" s="18" t="str">
        <x:v>https://v.daum.net/channel/551515/contents</x:v>
      </x:c>
      <x:c r="W302" s="18" t="str">
        <x:v>resolved_excluded</x:v>
      </x:c>
      <x:c r="X302" s="18" t="str">
        <x:v>excluded</x:v>
      </x:c>
      <x:c r="Y302" s="18" t="str">
        <x:v>근거 부족</x:v>
      </x:c>
      <x:c r="Z302" s="18" t="str"/>
      <x:c r="AA302" s="18" t="str">
        <x:v>두 번째 독립 공개 근거 또는 당시 확산을 입증할 자료가 부족해 트렌드에서 제외했다.</x:v>
      </x:c>
    </x:row>
    <x:row r="303">
      <x:c r="A303" s="18" t="n">
        <x:v>300</x:v>
      </x:c>
      <x:c r="B303" s="18" t="str">
        <x:v>kr_202608_candidate_300</x:v>
      </x:c>
      <x:c r="C303" s="18" t="str">
        <x:v>Drive and Listen</x:v>
      </x:c>
      <x:c r="D303" s="18" t="str">
        <x:v>[]</x:v>
      </x:c>
      <x:c r="E303" s="18" t="str">
        <x:v>product_brand</x:v>
      </x:c>
      <x:c r="F303" s="18" t="str">
        <x:v>digital_culture</x:v>
      </x:c>
      <x:c r="G303" s="19" t="n">
        <x:v>46156.625</x:v>
      </x:c>
      <x:c r="H303" s="18" t="str"/>
      <x:c r="I303" s="18" t="str"/>
      <x:c r="J303" s="18" t="str">
        <x:v>Y</x:v>
      </x:c>
      <x:c r="K303" s="18" t="str">
        <x:v>가짜 배달 앱부터 온라인 담타까지, 요즘 Z세대가 빠진 웹사이트 21가지에서 구체적인 상품·현상으로 관찰돼 후속 검색·언급 증가 여부를 검증할 후보로 수집했다.</x:v>
      </x:c>
      <x:c r="L303" s="18" t="str">
        <x:v>공개 자료에서 Drive and Listen 관찰</x:v>
      </x:c>
      <x:c r="M303" s="18" t="str">
        <x:v>other</x:v>
      </x:c>
      <x:c r="N303" s="18" t="str">
        <x:v>고구마팜</x:v>
      </x:c>
      <x:c r="O303" s="19" t="n">
        <x:v>46156.625</x:v>
      </x:c>
      <x:c r="P303" s="18" t="str">
        <x:v>가짜 배달 앱부터 온라인 담타까지, 요즘 Z세대가 빠진 웹사이트 21가지</x:v>
      </x:c>
      <x:c r="Q303" s="18" t="str">
        <x:v>https://gogumafarm.kr/%EA%B0%80%EC%A7%9C-%EB%B0%B0%EB%8B%AC-%EC%95%B1%EB%B6%80%ED%84%B0-%EC%98%A8%EB%9D%BC%EC%9D%B8-%EB%8B%B4%ED%83%80%EA%B9%8C%EC%A7%80-%EC%9A%94%EC%A6%98-z%EC%84%B8%EB%8C%80%EA%B0%80-%EB%B9%A0%EC%A7%84/</x:v>
      </x:c>
      <x:c r="R303" s="18" t="str">
        <x:v>other</x:v>
      </x:c>
      <x:c r="S303" s="18" t="str">
        <x:v>편의점 신제품리뷰 채널</x:v>
      </x:c>
      <x:c r="T303" s="19" t="n">
        <x:v>46247.625</x:v>
      </x:c>
      <x:c r="U303" s="18" t="str">
        <x:v>편의점 신제품리뷰 공개 목록</x:v>
      </x:c>
      <x:c r="V303" s="18" t="str">
        <x:v>https://v.daum.net/channel/551515/contents</x:v>
      </x:c>
      <x:c r="W303" s="18" t="str">
        <x:v>resolved_excluded</x:v>
      </x:c>
      <x:c r="X303" s="18" t="str">
        <x:v>excluded</x:v>
      </x:c>
      <x:c r="Y303" s="18" t="str">
        <x:v>근거 부족</x:v>
      </x:c>
      <x:c r="Z303" s="18" t="str"/>
      <x:c r="AA303" s="18" t="str">
        <x:v>두 번째 독립 공개 근거 또는 당시 확산을 입증할 자료가 부족해 트렌드에서 제외했다.</x:v>
      </x:c>
    </x:row>
    <x:row r="304">
      <x:c r="A304" s="18"/>
      <x:c r="B304" s="18"/>
      <x:c r="C304" s="18"/>
      <x:c r="D304" s="18"/>
      <x:c r="E304" s="18"/>
      <x:c r="F304" s="18"/>
      <x:c r="G304" s="19"/>
      <x:c r="H304" s="18"/>
      <x:c r="I304" s="18"/>
      <x:c r="J304" s="18"/>
      <x:c r="K304" s="18"/>
      <x:c r="L304" s="18"/>
      <x:c r="M304" s="18"/>
      <x:c r="N304" s="18"/>
      <x:c r="O304" s="19"/>
      <x:c r="P304" s="18"/>
      <x:c r="Q304" s="18"/>
      <x:c r="R304" s="18"/>
      <x:c r="S304" s="18"/>
      <x:c r="T304" s="19"/>
      <x:c r="U304" s="18"/>
      <x:c r="V304" s="18"/>
      <x:c r="W304" s="18"/>
      <x:c r="X304" s="18"/>
      <x:c r="Y304" s="18"/>
      <x:c r="Z304" s="18"/>
      <x:c r="AA304" s="18"/>
    </x:row>
    <x:row r="305">
      <x:c r="A305" s="18"/>
      <x:c r="B305" s="18"/>
      <x:c r="C305" s="18"/>
      <x:c r="D305" s="18"/>
      <x:c r="E305" s="18"/>
      <x:c r="F305" s="18"/>
      <x:c r="G305" s="19"/>
      <x:c r="H305" s="18"/>
      <x:c r="I305" s="18"/>
      <x:c r="J305" s="18"/>
      <x:c r="K305" s="18"/>
      <x:c r="L305" s="18"/>
      <x:c r="M305" s="18"/>
      <x:c r="N305" s="18"/>
      <x:c r="O305" s="19"/>
      <x:c r="P305" s="18"/>
      <x:c r="Q305" s="18"/>
      <x:c r="R305" s="18"/>
      <x:c r="S305" s="18"/>
      <x:c r="T305" s="19"/>
      <x:c r="U305" s="18"/>
      <x:c r="V305" s="18"/>
      <x:c r="W305" s="18"/>
      <x:c r="X305" s="18"/>
      <x:c r="Y305" s="18"/>
      <x:c r="Z305" s="18"/>
      <x:c r="AA305" s="18"/>
    </x:row>
    <x:row r="306">
      <x:c r="A306" s="18"/>
      <x:c r="B306" s="18"/>
      <x:c r="C306" s="18"/>
      <x:c r="D306" s="18"/>
      <x:c r="E306" s="18"/>
      <x:c r="F306" s="18"/>
      <x:c r="G306" s="19"/>
      <x:c r="H306" s="18"/>
      <x:c r="I306" s="18"/>
      <x:c r="J306" s="18"/>
      <x:c r="K306" s="18"/>
      <x:c r="L306" s="18"/>
      <x:c r="M306" s="18"/>
      <x:c r="N306" s="18"/>
      <x:c r="O306" s="19"/>
      <x:c r="P306" s="18"/>
      <x:c r="Q306" s="18"/>
      <x:c r="R306" s="18"/>
      <x:c r="S306" s="18"/>
      <x:c r="T306" s="19"/>
      <x:c r="U306" s="18"/>
      <x:c r="V306" s="18"/>
      <x:c r="W306" s="18"/>
      <x:c r="X306" s="18"/>
      <x:c r="Y306" s="18"/>
      <x:c r="Z306" s="18"/>
      <x:c r="AA306" s="18"/>
    </x:row>
    <x:row r="307">
      <x:c r="A307" s="18"/>
      <x:c r="B307" s="18"/>
      <x:c r="C307" s="18"/>
      <x:c r="D307" s="18"/>
      <x:c r="E307" s="18"/>
      <x:c r="F307" s="18"/>
      <x:c r="G307" s="19"/>
      <x:c r="H307" s="18"/>
      <x:c r="I307" s="18"/>
      <x:c r="J307" s="18"/>
      <x:c r="K307" s="18"/>
      <x:c r="L307" s="18"/>
      <x:c r="M307" s="18"/>
      <x:c r="N307" s="18"/>
      <x:c r="O307" s="19"/>
      <x:c r="P307" s="18"/>
      <x:c r="Q307" s="18"/>
      <x:c r="R307" s="18"/>
      <x:c r="S307" s="18"/>
      <x:c r="T307" s="19"/>
      <x:c r="U307" s="18"/>
      <x:c r="V307" s="18"/>
      <x:c r="W307" s="18"/>
      <x:c r="X307" s="18"/>
      <x:c r="Y307" s="18"/>
      <x:c r="Z307" s="18"/>
      <x:c r="AA307" s="18"/>
    </x:row>
    <x:row r="308">
      <x:c r="A308" s="18"/>
      <x:c r="B308" s="18"/>
      <x:c r="C308" s="18"/>
      <x:c r="D308" s="18"/>
      <x:c r="E308" s="18"/>
      <x:c r="F308" s="18"/>
      <x:c r="G308" s="19"/>
      <x:c r="H308" s="18"/>
      <x:c r="I308" s="18"/>
      <x:c r="J308" s="18"/>
      <x:c r="K308" s="18"/>
      <x:c r="L308" s="18"/>
      <x:c r="M308" s="18"/>
      <x:c r="N308" s="18"/>
      <x:c r="O308" s="19"/>
      <x:c r="P308" s="18"/>
      <x:c r="Q308" s="18"/>
      <x:c r="R308" s="18"/>
      <x:c r="S308" s="18"/>
      <x:c r="T308" s="19"/>
      <x:c r="U308" s="18"/>
      <x:c r="V308" s="18"/>
      <x:c r="W308" s="18"/>
      <x:c r="X308" s="18"/>
      <x:c r="Y308" s="18"/>
      <x:c r="Z308" s="18"/>
      <x:c r="AA308" s="18"/>
    </x:row>
    <x:row r="309">
      <x:c r="A309" s="18"/>
      <x:c r="B309" s="18"/>
      <x:c r="C309" s="18"/>
      <x:c r="D309" s="18"/>
      <x:c r="E309" s="18"/>
      <x:c r="F309" s="18"/>
      <x:c r="G309" s="19"/>
      <x:c r="H309" s="18"/>
      <x:c r="I309" s="18"/>
      <x:c r="J309" s="18"/>
      <x:c r="K309" s="18"/>
      <x:c r="L309" s="18"/>
      <x:c r="M309" s="18"/>
      <x:c r="N309" s="18"/>
      <x:c r="O309" s="19"/>
      <x:c r="P309" s="18"/>
      <x:c r="Q309" s="18"/>
      <x:c r="R309" s="18"/>
      <x:c r="S309" s="18"/>
      <x:c r="T309" s="19"/>
      <x:c r="U309" s="18"/>
      <x:c r="V309" s="18"/>
      <x:c r="W309" s="18"/>
      <x:c r="X309" s="18"/>
      <x:c r="Y309" s="18"/>
      <x:c r="Z309" s="18"/>
      <x:c r="AA309" s="18"/>
    </x:row>
    <x:row r="310">
      <x:c r="A310" s="18"/>
      <x:c r="B310" s="18"/>
      <x:c r="C310" s="18"/>
      <x:c r="D310" s="18"/>
      <x:c r="E310" s="18"/>
      <x:c r="F310" s="18"/>
      <x:c r="G310" s="19"/>
      <x:c r="H310" s="18"/>
      <x:c r="I310" s="18"/>
      <x:c r="J310" s="18"/>
      <x:c r="K310" s="18"/>
      <x:c r="L310" s="18"/>
      <x:c r="M310" s="18"/>
      <x:c r="N310" s="18"/>
      <x:c r="O310" s="19"/>
      <x:c r="P310" s="18"/>
      <x:c r="Q310" s="18"/>
      <x:c r="R310" s="18"/>
      <x:c r="S310" s="18"/>
      <x:c r="T310" s="19"/>
      <x:c r="U310" s="18"/>
      <x:c r="V310" s="18"/>
      <x:c r="W310" s="18"/>
      <x:c r="X310" s="18"/>
      <x:c r="Y310" s="18"/>
      <x:c r="Z310" s="18"/>
      <x:c r="AA310" s="18"/>
    </x:row>
    <x:row r="311">
      <x:c r="A311" s="18"/>
      <x:c r="B311" s="18"/>
      <x:c r="C311" s="18"/>
      <x:c r="D311" s="18"/>
      <x:c r="E311" s="18"/>
      <x:c r="F311" s="18"/>
      <x:c r="G311" s="19"/>
      <x:c r="H311" s="18"/>
      <x:c r="I311" s="18"/>
      <x:c r="J311" s="18"/>
      <x:c r="K311" s="18"/>
      <x:c r="L311" s="18"/>
      <x:c r="M311" s="18"/>
      <x:c r="N311" s="18"/>
      <x:c r="O311" s="19"/>
      <x:c r="P311" s="18"/>
      <x:c r="Q311" s="18"/>
      <x:c r="R311" s="18"/>
      <x:c r="S311" s="18"/>
      <x:c r="T311" s="19"/>
      <x:c r="U311" s="18"/>
      <x:c r="V311" s="18"/>
      <x:c r="W311" s="18"/>
      <x:c r="X311" s="18"/>
      <x:c r="Y311" s="18"/>
      <x:c r="Z311" s="18"/>
      <x:c r="AA311" s="18"/>
    </x:row>
    <x:row r="312">
      <x:c r="A312" s="18"/>
      <x:c r="B312" s="18"/>
      <x:c r="C312" s="18"/>
      <x:c r="D312" s="18"/>
      <x:c r="E312" s="18"/>
      <x:c r="F312" s="18"/>
      <x:c r="G312" s="19"/>
      <x:c r="H312" s="18"/>
      <x:c r="I312" s="18"/>
      <x:c r="J312" s="18"/>
      <x:c r="K312" s="18"/>
      <x:c r="L312" s="18"/>
      <x:c r="M312" s="18"/>
      <x:c r="N312" s="18"/>
      <x:c r="O312" s="19"/>
      <x:c r="P312" s="18"/>
      <x:c r="Q312" s="18"/>
      <x:c r="R312" s="18"/>
      <x:c r="S312" s="18"/>
      <x:c r="T312" s="19"/>
      <x:c r="U312" s="18"/>
      <x:c r="V312" s="18"/>
      <x:c r="W312" s="18"/>
      <x:c r="X312" s="18"/>
      <x:c r="Y312" s="18"/>
      <x:c r="Z312" s="18"/>
      <x:c r="AA312" s="18"/>
    </x:row>
    <x:row r="313">
      <x:c r="A313" s="18"/>
      <x:c r="B313" s="18"/>
      <x:c r="C313" s="18"/>
      <x:c r="D313" s="18"/>
      <x:c r="E313" s="18"/>
      <x:c r="F313" s="18"/>
      <x:c r="G313" s="19"/>
      <x:c r="H313" s="18"/>
      <x:c r="I313" s="18"/>
      <x:c r="J313" s="18"/>
      <x:c r="K313" s="18"/>
      <x:c r="L313" s="18"/>
      <x:c r="M313" s="18"/>
      <x:c r="N313" s="18"/>
      <x:c r="O313" s="19"/>
      <x:c r="P313" s="18"/>
      <x:c r="Q313" s="18"/>
      <x:c r="R313" s="18"/>
      <x:c r="S313" s="18"/>
      <x:c r="T313" s="19"/>
      <x:c r="U313" s="18"/>
      <x:c r="V313" s="18"/>
      <x:c r="W313" s="18"/>
      <x:c r="X313" s="18"/>
      <x:c r="Y313" s="18"/>
      <x:c r="Z313" s="18"/>
      <x:c r="AA313" s="18"/>
    </x:row>
    <x:row r="314">
      <x:c r="A314" s="18"/>
      <x:c r="B314" s="18"/>
      <x:c r="C314" s="18"/>
      <x:c r="D314" s="18"/>
      <x:c r="E314" s="18"/>
      <x:c r="F314" s="18"/>
      <x:c r="G314" s="19"/>
      <x:c r="H314" s="18"/>
      <x:c r="I314" s="18"/>
      <x:c r="J314" s="18"/>
      <x:c r="K314" s="18"/>
      <x:c r="L314" s="18"/>
      <x:c r="M314" s="18"/>
      <x:c r="N314" s="18"/>
      <x:c r="O314" s="19"/>
      <x:c r="P314" s="18"/>
      <x:c r="Q314" s="18"/>
      <x:c r="R314" s="18"/>
      <x:c r="S314" s="18"/>
      <x:c r="T314" s="19"/>
      <x:c r="U314" s="18"/>
      <x:c r="V314" s="18"/>
      <x:c r="W314" s="18"/>
      <x:c r="X314" s="18"/>
      <x:c r="Y314" s="18"/>
      <x:c r="Z314" s="18"/>
      <x:c r="AA314" s="18"/>
    </x:row>
    <x:row r="315">
      <x:c r="A315" s="18"/>
      <x:c r="B315" s="18"/>
      <x:c r="C315" s="18"/>
      <x:c r="D315" s="18"/>
      <x:c r="E315" s="18"/>
      <x:c r="F315" s="18"/>
      <x:c r="G315" s="19"/>
      <x:c r="H315" s="18"/>
      <x:c r="I315" s="18"/>
      <x:c r="J315" s="18"/>
      <x:c r="K315" s="18"/>
      <x:c r="L315" s="18"/>
      <x:c r="M315" s="18"/>
      <x:c r="N315" s="18"/>
      <x:c r="O315" s="19"/>
      <x:c r="P315" s="18"/>
      <x:c r="Q315" s="18"/>
      <x:c r="R315" s="18"/>
      <x:c r="S315" s="18"/>
      <x:c r="T315" s="19"/>
      <x:c r="U315" s="18"/>
      <x:c r="V315" s="18"/>
      <x:c r="W315" s="18"/>
      <x:c r="X315" s="18"/>
      <x:c r="Y315" s="18"/>
      <x:c r="Z315" s="18"/>
      <x:c r="AA315" s="18"/>
    </x:row>
    <x:row r="316">
      <x:c r="A316" s="18"/>
      <x:c r="B316" s="18"/>
      <x:c r="C316" s="18"/>
      <x:c r="D316" s="18"/>
      <x:c r="E316" s="18"/>
      <x:c r="F316" s="18"/>
      <x:c r="G316" s="19"/>
      <x:c r="H316" s="18"/>
      <x:c r="I316" s="18"/>
      <x:c r="J316" s="18"/>
      <x:c r="K316" s="18"/>
      <x:c r="L316" s="18"/>
      <x:c r="M316" s="18"/>
      <x:c r="N316" s="18"/>
      <x:c r="O316" s="19"/>
      <x:c r="P316" s="18"/>
      <x:c r="Q316" s="18"/>
      <x:c r="R316" s="18"/>
      <x:c r="S316" s="18"/>
      <x:c r="T316" s="19"/>
      <x:c r="U316" s="18"/>
      <x:c r="V316" s="18"/>
      <x:c r="W316" s="18"/>
      <x:c r="X316" s="18"/>
      <x:c r="Y316" s="18"/>
      <x:c r="Z316" s="18"/>
      <x:c r="AA316" s="18"/>
    </x:row>
    <x:row r="317">
      <x:c r="A317" s="18"/>
      <x:c r="B317" s="18"/>
      <x:c r="C317" s="18"/>
      <x:c r="D317" s="18"/>
      <x:c r="E317" s="18"/>
      <x:c r="F317" s="18"/>
      <x:c r="G317" s="19"/>
      <x:c r="H317" s="18"/>
      <x:c r="I317" s="18"/>
      <x:c r="J317" s="18"/>
      <x:c r="K317" s="18"/>
      <x:c r="L317" s="18"/>
      <x:c r="M317" s="18"/>
      <x:c r="N317" s="18"/>
      <x:c r="O317" s="19"/>
      <x:c r="P317" s="18"/>
      <x:c r="Q317" s="18"/>
      <x:c r="R317" s="18"/>
      <x:c r="S317" s="18"/>
      <x:c r="T317" s="19"/>
      <x:c r="U317" s="18"/>
      <x:c r="V317" s="18"/>
      <x:c r="W317" s="18"/>
      <x:c r="X317" s="18"/>
      <x:c r="Y317" s="18"/>
      <x:c r="Z317" s="18"/>
      <x:c r="AA317" s="18"/>
    </x:row>
    <x:row r="318">
      <x:c r="A318" s="18"/>
      <x:c r="B318" s="18"/>
      <x:c r="C318" s="18"/>
      <x:c r="D318" s="18"/>
      <x:c r="E318" s="18"/>
      <x:c r="F318" s="18"/>
      <x:c r="G318" s="19"/>
      <x:c r="H318" s="18"/>
      <x:c r="I318" s="18"/>
      <x:c r="J318" s="18"/>
      <x:c r="K318" s="18"/>
      <x:c r="L318" s="18"/>
      <x:c r="M318" s="18"/>
      <x:c r="N318" s="18"/>
      <x:c r="O318" s="19"/>
      <x:c r="P318" s="18"/>
      <x:c r="Q318" s="18"/>
      <x:c r="R318" s="18"/>
      <x:c r="S318" s="18"/>
      <x:c r="T318" s="19"/>
      <x:c r="U318" s="18"/>
      <x:c r="V318" s="18"/>
      <x:c r="W318" s="18"/>
      <x:c r="X318" s="18"/>
      <x:c r="Y318" s="18"/>
      <x:c r="Z318" s="18"/>
      <x:c r="AA318" s="18"/>
    </x:row>
    <x:row r="319">
      <x:c r="A319" s="18"/>
      <x:c r="B319" s="18"/>
      <x:c r="C319" s="18"/>
      <x:c r="D319" s="18"/>
      <x:c r="E319" s="18"/>
      <x:c r="F319" s="18"/>
      <x:c r="G319" s="19"/>
      <x:c r="H319" s="18"/>
      <x:c r="I319" s="18"/>
      <x:c r="J319" s="18"/>
      <x:c r="K319" s="18"/>
      <x:c r="L319" s="18"/>
      <x:c r="M319" s="18"/>
      <x:c r="N319" s="18"/>
      <x:c r="O319" s="19"/>
      <x:c r="P319" s="18"/>
      <x:c r="Q319" s="18"/>
      <x:c r="R319" s="18"/>
      <x:c r="S319" s="18"/>
      <x:c r="T319" s="19"/>
      <x:c r="U319" s="18"/>
      <x:c r="V319" s="18"/>
      <x:c r="W319" s="18"/>
      <x:c r="X319" s="18"/>
      <x:c r="Y319" s="18"/>
      <x:c r="Z319" s="18"/>
      <x:c r="AA319" s="18"/>
    </x:row>
    <x:row r="320">
      <x:c r="A320" s="18"/>
      <x:c r="B320" s="18"/>
      <x:c r="C320" s="18"/>
      <x:c r="D320" s="18"/>
      <x:c r="E320" s="18"/>
      <x:c r="F320" s="18"/>
      <x:c r="G320" s="19"/>
      <x:c r="H320" s="18"/>
      <x:c r="I320" s="18"/>
      <x:c r="J320" s="18"/>
      <x:c r="K320" s="18"/>
      <x:c r="L320" s="18"/>
      <x:c r="M320" s="18"/>
      <x:c r="N320" s="18"/>
      <x:c r="O320" s="19"/>
      <x:c r="P320" s="18"/>
      <x:c r="Q320" s="18"/>
      <x:c r="R320" s="18"/>
      <x:c r="S320" s="18"/>
      <x:c r="T320" s="19"/>
      <x:c r="U320" s="18"/>
      <x:c r="V320" s="18"/>
      <x:c r="W320" s="18"/>
      <x:c r="X320" s="18"/>
      <x:c r="Y320" s="18"/>
      <x:c r="Z320" s="18"/>
      <x:c r="AA320" s="18"/>
    </x:row>
    <x:row r="321">
      <x:c r="A321" s="18"/>
      <x:c r="B321" s="18"/>
      <x:c r="C321" s="18"/>
      <x:c r="D321" s="18"/>
      <x:c r="E321" s="18"/>
      <x:c r="F321" s="18"/>
      <x:c r="G321" s="19"/>
      <x:c r="H321" s="18"/>
      <x:c r="I321" s="18"/>
      <x:c r="J321" s="18"/>
      <x:c r="K321" s="18"/>
      <x:c r="L321" s="18"/>
      <x:c r="M321" s="18"/>
      <x:c r="N321" s="18"/>
      <x:c r="O321" s="19"/>
      <x:c r="P321" s="18"/>
      <x:c r="Q321" s="18"/>
      <x:c r="R321" s="18"/>
      <x:c r="S321" s="18"/>
      <x:c r="T321" s="19"/>
      <x:c r="U321" s="18"/>
      <x:c r="V321" s="18"/>
      <x:c r="W321" s="18"/>
      <x:c r="X321" s="18"/>
      <x:c r="Y321" s="18"/>
      <x:c r="Z321" s="18"/>
      <x:c r="AA321" s="18"/>
    </x:row>
    <x:row r="322">
      <x:c r="A322" s="18"/>
      <x:c r="B322" s="18"/>
      <x:c r="C322" s="18"/>
      <x:c r="D322" s="18"/>
      <x:c r="E322" s="18"/>
      <x:c r="F322" s="18"/>
      <x:c r="G322" s="19"/>
      <x:c r="H322" s="18"/>
      <x:c r="I322" s="18"/>
      <x:c r="J322" s="18"/>
      <x:c r="K322" s="18"/>
      <x:c r="L322" s="18"/>
      <x:c r="M322" s="18"/>
      <x:c r="N322" s="18"/>
      <x:c r="O322" s="19"/>
      <x:c r="P322" s="18"/>
      <x:c r="Q322" s="18"/>
      <x:c r="R322" s="18"/>
      <x:c r="S322" s="18"/>
      <x:c r="T322" s="19"/>
      <x:c r="U322" s="18"/>
      <x:c r="V322" s="18"/>
      <x:c r="W322" s="18"/>
      <x:c r="X322" s="18"/>
      <x:c r="Y322" s="18"/>
      <x:c r="Z322" s="18"/>
      <x:c r="AA322" s="18"/>
    </x:row>
    <x:row r="323">
      <x:c r="A323" s="18"/>
      <x:c r="B323" s="18"/>
      <x:c r="C323" s="18"/>
      <x:c r="D323" s="18"/>
      <x:c r="E323" s="18"/>
      <x:c r="F323" s="18"/>
      <x:c r="G323" s="19"/>
      <x:c r="H323" s="18"/>
      <x:c r="I323" s="18"/>
      <x:c r="J323" s="18"/>
      <x:c r="K323" s="18"/>
      <x:c r="L323" s="18"/>
      <x:c r="M323" s="18"/>
      <x:c r="N323" s="18"/>
      <x:c r="O323" s="19"/>
      <x:c r="P323" s="18"/>
      <x:c r="Q323" s="18"/>
      <x:c r="R323" s="18"/>
      <x:c r="S323" s="18"/>
      <x:c r="T323" s="19"/>
      <x:c r="U323" s="18"/>
      <x:c r="V323" s="18"/>
      <x:c r="W323" s="18"/>
      <x:c r="X323" s="18"/>
      <x:c r="Y323" s="18"/>
      <x:c r="Z323" s="18"/>
      <x:c r="AA323" s="18"/>
    </x:row>
    <x:row r="324">
      <x:c r="A324" s="18"/>
      <x:c r="B324" s="18"/>
      <x:c r="C324" s="18"/>
      <x:c r="D324" s="18"/>
      <x:c r="E324" s="18"/>
      <x:c r="F324" s="18"/>
      <x:c r="G324" s="19"/>
      <x:c r="H324" s="18"/>
      <x:c r="I324" s="18"/>
      <x:c r="J324" s="18"/>
      <x:c r="K324" s="18"/>
      <x:c r="L324" s="18"/>
      <x:c r="M324" s="18"/>
      <x:c r="N324" s="18"/>
      <x:c r="O324" s="19"/>
      <x:c r="P324" s="18"/>
      <x:c r="Q324" s="18"/>
      <x:c r="R324" s="18"/>
      <x:c r="S324" s="18"/>
      <x:c r="T324" s="19"/>
      <x:c r="U324" s="18"/>
      <x:c r="V324" s="18"/>
      <x:c r="W324" s="18"/>
      <x:c r="X324" s="18"/>
      <x:c r="Y324" s="18"/>
      <x:c r="Z324" s="18"/>
      <x:c r="AA324" s="18"/>
    </x:row>
    <x:row r="325">
      <x:c r="A325" s="18"/>
      <x:c r="B325" s="18"/>
      <x:c r="C325" s="18"/>
      <x:c r="D325" s="18"/>
      <x:c r="E325" s="18"/>
      <x:c r="F325" s="18"/>
      <x:c r="G325" s="19"/>
      <x:c r="H325" s="18"/>
      <x:c r="I325" s="18"/>
      <x:c r="J325" s="18"/>
      <x:c r="K325" s="18"/>
      <x:c r="L325" s="18"/>
      <x:c r="M325" s="18"/>
      <x:c r="N325" s="18"/>
      <x:c r="O325" s="19"/>
      <x:c r="P325" s="18"/>
      <x:c r="Q325" s="18"/>
      <x:c r="R325" s="18"/>
      <x:c r="S325" s="18"/>
      <x:c r="T325" s="19"/>
      <x:c r="U325" s="18"/>
      <x:c r="V325" s="18"/>
      <x:c r="W325" s="18"/>
      <x:c r="X325" s="18"/>
      <x:c r="Y325" s="18"/>
      <x:c r="Z325" s="18"/>
      <x:c r="AA325" s="18"/>
    </x:row>
    <x:row r="326">
      <x:c r="A326" s="18"/>
      <x:c r="B326" s="18"/>
      <x:c r="C326" s="18"/>
      <x:c r="D326" s="18"/>
      <x:c r="E326" s="18"/>
      <x:c r="F326" s="18"/>
      <x:c r="G326" s="19"/>
      <x:c r="H326" s="18"/>
      <x:c r="I326" s="18"/>
      <x:c r="J326" s="18"/>
      <x:c r="K326" s="18"/>
      <x:c r="L326" s="18"/>
      <x:c r="M326" s="18"/>
      <x:c r="N326" s="18"/>
      <x:c r="O326" s="19"/>
      <x:c r="P326" s="18"/>
      <x:c r="Q326" s="18"/>
      <x:c r="R326" s="18"/>
      <x:c r="S326" s="18"/>
      <x:c r="T326" s="19"/>
      <x:c r="U326" s="18"/>
      <x:c r="V326" s="18"/>
      <x:c r="W326" s="18"/>
      <x:c r="X326" s="18"/>
      <x:c r="Y326" s="18"/>
      <x:c r="Z326" s="18"/>
      <x:c r="AA326" s="18"/>
    </x:row>
    <x:row r="327">
      <x:c r="A327" s="18"/>
      <x:c r="B327" s="18"/>
      <x:c r="C327" s="18"/>
      <x:c r="D327" s="18"/>
      <x:c r="E327" s="18"/>
      <x:c r="F327" s="18"/>
      <x:c r="G327" s="19"/>
      <x:c r="H327" s="18"/>
      <x:c r="I327" s="18"/>
      <x:c r="J327" s="18"/>
      <x:c r="K327" s="18"/>
      <x:c r="L327" s="18"/>
      <x:c r="M327" s="18"/>
      <x:c r="N327" s="18"/>
      <x:c r="O327" s="19"/>
      <x:c r="P327" s="18"/>
      <x:c r="Q327" s="18"/>
      <x:c r="R327" s="18"/>
      <x:c r="S327" s="18"/>
      <x:c r="T327" s="19"/>
      <x:c r="U327" s="18"/>
      <x:c r="V327" s="18"/>
      <x:c r="W327" s="18"/>
      <x:c r="X327" s="18"/>
      <x:c r="Y327" s="18"/>
      <x:c r="Z327" s="18"/>
      <x:c r="AA327" s="18"/>
    </x:row>
    <x:row r="328">
      <x:c r="A328" s="18"/>
      <x:c r="B328" s="18"/>
      <x:c r="C328" s="18"/>
      <x:c r="D328" s="18"/>
      <x:c r="E328" s="18"/>
      <x:c r="F328" s="18"/>
      <x:c r="G328" s="19"/>
      <x:c r="H328" s="18"/>
      <x:c r="I328" s="18"/>
      <x:c r="J328" s="18"/>
      <x:c r="K328" s="18"/>
      <x:c r="L328" s="18"/>
      <x:c r="M328" s="18"/>
      <x:c r="N328" s="18"/>
      <x:c r="O328" s="19"/>
      <x:c r="P328" s="18"/>
      <x:c r="Q328" s="18"/>
      <x:c r="R328" s="18"/>
      <x:c r="S328" s="18"/>
      <x:c r="T328" s="19"/>
      <x:c r="U328" s="18"/>
      <x:c r="V328" s="18"/>
      <x:c r="W328" s="18"/>
      <x:c r="X328" s="18"/>
      <x:c r="Y328" s="18"/>
      <x:c r="Z328" s="18"/>
      <x:c r="AA328" s="18"/>
    </x:row>
    <x:row r="329">
      <x:c r="A329" s="18"/>
      <x:c r="B329" s="18"/>
      <x:c r="C329" s="18"/>
      <x:c r="D329" s="18"/>
      <x:c r="E329" s="18"/>
      <x:c r="F329" s="18"/>
      <x:c r="G329" s="19"/>
      <x:c r="H329" s="18"/>
      <x:c r="I329" s="18"/>
      <x:c r="J329" s="18"/>
      <x:c r="K329" s="18"/>
      <x:c r="L329" s="18"/>
      <x:c r="M329" s="18"/>
      <x:c r="N329" s="18"/>
      <x:c r="O329" s="19"/>
      <x:c r="P329" s="18"/>
      <x:c r="Q329" s="18"/>
      <x:c r="R329" s="18"/>
      <x:c r="S329" s="18"/>
      <x:c r="T329" s="19"/>
      <x:c r="U329" s="18"/>
      <x:c r="V329" s="18"/>
      <x:c r="W329" s="18"/>
      <x:c r="X329" s="18"/>
      <x:c r="Y329" s="18"/>
      <x:c r="Z329" s="18"/>
      <x:c r="AA329" s="18"/>
    </x:row>
    <x:row r="330">
      <x:c r="A330" s="18"/>
      <x:c r="B330" s="18"/>
      <x:c r="C330" s="18"/>
      <x:c r="D330" s="18"/>
      <x:c r="E330" s="18"/>
      <x:c r="F330" s="18"/>
      <x:c r="G330" s="19"/>
      <x:c r="H330" s="18"/>
      <x:c r="I330" s="18"/>
      <x:c r="J330" s="18"/>
      <x:c r="K330" s="18"/>
      <x:c r="L330" s="18"/>
      <x:c r="M330" s="18"/>
      <x:c r="N330" s="18"/>
      <x:c r="O330" s="19"/>
      <x:c r="P330" s="18"/>
      <x:c r="Q330" s="18"/>
      <x:c r="R330" s="18"/>
      <x:c r="S330" s="18"/>
      <x:c r="T330" s="19"/>
      <x:c r="U330" s="18"/>
      <x:c r="V330" s="18"/>
      <x:c r="W330" s="18"/>
      <x:c r="X330" s="18"/>
      <x:c r="Y330" s="18"/>
      <x:c r="Z330" s="18"/>
      <x:c r="AA330" s="18"/>
    </x:row>
    <x:row r="331">
      <x:c r="A331" s="18"/>
      <x:c r="B331" s="18"/>
      <x:c r="C331" s="18"/>
      <x:c r="D331" s="18"/>
      <x:c r="E331" s="18"/>
      <x:c r="F331" s="18"/>
      <x:c r="G331" s="19"/>
      <x:c r="H331" s="18"/>
      <x:c r="I331" s="18"/>
      <x:c r="J331" s="18"/>
      <x:c r="K331" s="18"/>
      <x:c r="L331" s="18"/>
      <x:c r="M331" s="18"/>
      <x:c r="N331" s="18"/>
      <x:c r="O331" s="19"/>
      <x:c r="P331" s="18"/>
      <x:c r="Q331" s="18"/>
      <x:c r="R331" s="18"/>
      <x:c r="S331" s="18"/>
      <x:c r="T331" s="19"/>
      <x:c r="U331" s="18"/>
      <x:c r="V331" s="18"/>
      <x:c r="W331" s="18"/>
      <x:c r="X331" s="18"/>
      <x:c r="Y331" s="18"/>
      <x:c r="Z331" s="18"/>
      <x:c r="AA331" s="18"/>
    </x:row>
    <x:row r="332">
      <x:c r="A332" s="18"/>
      <x:c r="B332" s="18"/>
      <x:c r="C332" s="18"/>
      <x:c r="D332" s="18"/>
      <x:c r="E332" s="18"/>
      <x:c r="F332" s="18"/>
      <x:c r="G332" s="19"/>
      <x:c r="H332" s="18"/>
      <x:c r="I332" s="18"/>
      <x:c r="J332" s="18"/>
      <x:c r="K332" s="18"/>
      <x:c r="L332" s="18"/>
      <x:c r="M332" s="18"/>
      <x:c r="N332" s="18"/>
      <x:c r="O332" s="19"/>
      <x:c r="P332" s="18"/>
      <x:c r="Q332" s="18"/>
      <x:c r="R332" s="18"/>
      <x:c r="S332" s="18"/>
      <x:c r="T332" s="19"/>
      <x:c r="U332" s="18"/>
      <x:c r="V332" s="18"/>
      <x:c r="W332" s="18"/>
      <x:c r="X332" s="18"/>
      <x:c r="Y332" s="18"/>
      <x:c r="Z332" s="18"/>
      <x:c r="AA332" s="18"/>
    </x:row>
    <x:row r="333">
      <x:c r="A333" s="18"/>
      <x:c r="B333" s="18"/>
      <x:c r="C333" s="18"/>
      <x:c r="D333" s="18"/>
      <x:c r="E333" s="18"/>
      <x:c r="F333" s="18"/>
      <x:c r="G333" s="19"/>
      <x:c r="H333" s="18"/>
      <x:c r="I333" s="18"/>
      <x:c r="J333" s="18"/>
      <x:c r="K333" s="18"/>
      <x:c r="L333" s="18"/>
      <x:c r="M333" s="18"/>
      <x:c r="N333" s="18"/>
      <x:c r="O333" s="19"/>
      <x:c r="P333" s="18"/>
      <x:c r="Q333" s="18"/>
      <x:c r="R333" s="18"/>
      <x:c r="S333" s="18"/>
      <x:c r="T333" s="19"/>
      <x:c r="U333" s="18"/>
      <x:c r="V333" s="18"/>
      <x:c r="W333" s="18"/>
      <x:c r="X333" s="18"/>
      <x:c r="Y333" s="18"/>
      <x:c r="Z333" s="18"/>
      <x:c r="AA333" s="18"/>
    </x:row>
    <x:row r="334">
      <x:c r="A334" s="18"/>
      <x:c r="B334" s="18"/>
      <x:c r="C334" s="18"/>
      <x:c r="D334" s="18"/>
      <x:c r="E334" s="18"/>
      <x:c r="F334" s="18"/>
      <x:c r="G334" s="19"/>
      <x:c r="H334" s="18"/>
      <x:c r="I334" s="18"/>
      <x:c r="J334" s="18"/>
      <x:c r="K334" s="18"/>
      <x:c r="L334" s="18"/>
      <x:c r="M334" s="18"/>
      <x:c r="N334" s="18"/>
      <x:c r="O334" s="19"/>
      <x:c r="P334" s="18"/>
      <x:c r="Q334" s="18"/>
      <x:c r="R334" s="18"/>
      <x:c r="S334" s="18"/>
      <x:c r="T334" s="19"/>
      <x:c r="U334" s="18"/>
      <x:c r="V334" s="18"/>
      <x:c r="W334" s="18"/>
      <x:c r="X334" s="18"/>
      <x:c r="Y334" s="18"/>
      <x:c r="Z334" s="18"/>
      <x:c r="AA334" s="18"/>
    </x:row>
    <x:row r="335">
      <x:c r="A335" s="18"/>
      <x:c r="B335" s="18"/>
      <x:c r="C335" s="18"/>
      <x:c r="D335" s="18"/>
      <x:c r="E335" s="18"/>
      <x:c r="F335" s="18"/>
      <x:c r="G335" s="19"/>
      <x:c r="H335" s="18"/>
      <x:c r="I335" s="18"/>
      <x:c r="J335" s="18"/>
      <x:c r="K335" s="18"/>
      <x:c r="L335" s="18"/>
      <x:c r="M335" s="18"/>
      <x:c r="N335" s="18"/>
      <x:c r="O335" s="19"/>
      <x:c r="P335" s="18"/>
      <x:c r="Q335" s="18"/>
      <x:c r="R335" s="18"/>
      <x:c r="S335" s="18"/>
      <x:c r="T335" s="19"/>
      <x:c r="U335" s="18"/>
      <x:c r="V335" s="18"/>
      <x:c r="W335" s="18"/>
      <x:c r="X335" s="18"/>
      <x:c r="Y335" s="18"/>
      <x:c r="Z335" s="18"/>
      <x:c r="AA335" s="18"/>
    </x:row>
    <x:row r="336">
      <x:c r="A336" s="18"/>
      <x:c r="B336" s="18"/>
      <x:c r="C336" s="18"/>
      <x:c r="D336" s="18"/>
      <x:c r="E336" s="18"/>
      <x:c r="F336" s="18"/>
      <x:c r="G336" s="19"/>
      <x:c r="H336" s="18"/>
      <x:c r="I336" s="18"/>
      <x:c r="J336" s="18"/>
      <x:c r="K336" s="18"/>
      <x:c r="L336" s="18"/>
      <x:c r="M336" s="18"/>
      <x:c r="N336" s="18"/>
      <x:c r="O336" s="19"/>
      <x:c r="P336" s="18"/>
      <x:c r="Q336" s="18"/>
      <x:c r="R336" s="18"/>
      <x:c r="S336" s="18"/>
      <x:c r="T336" s="19"/>
      <x:c r="U336" s="18"/>
      <x:c r="V336" s="18"/>
      <x:c r="W336" s="18"/>
      <x:c r="X336" s="18"/>
      <x:c r="Y336" s="18"/>
      <x:c r="Z336" s="18"/>
      <x:c r="AA336" s="18"/>
    </x:row>
    <x:row r="337">
      <x:c r="A337" s="18"/>
      <x:c r="B337" s="18"/>
      <x:c r="C337" s="18"/>
      <x:c r="D337" s="18"/>
      <x:c r="E337" s="18"/>
      <x:c r="F337" s="18"/>
      <x:c r="G337" s="19"/>
      <x:c r="H337" s="18"/>
      <x:c r="I337" s="18"/>
      <x:c r="J337" s="18"/>
      <x:c r="K337" s="18"/>
      <x:c r="L337" s="18"/>
      <x:c r="M337" s="18"/>
      <x:c r="N337" s="18"/>
      <x:c r="O337" s="19"/>
      <x:c r="P337" s="18"/>
      <x:c r="Q337" s="18"/>
      <x:c r="R337" s="18"/>
      <x:c r="S337" s="18"/>
      <x:c r="T337" s="19"/>
      <x:c r="U337" s="18"/>
      <x:c r="V337" s="18"/>
      <x:c r="W337" s="18"/>
      <x:c r="X337" s="18"/>
      <x:c r="Y337" s="18"/>
      <x:c r="Z337" s="18"/>
      <x:c r="AA337" s="18"/>
    </x:row>
    <x:row r="338">
      <x:c r="A338" s="18"/>
      <x:c r="B338" s="18"/>
      <x:c r="C338" s="18"/>
      <x:c r="D338" s="18"/>
      <x:c r="E338" s="18"/>
      <x:c r="F338" s="18"/>
      <x:c r="G338" s="19"/>
      <x:c r="H338" s="18"/>
      <x:c r="I338" s="18"/>
      <x:c r="J338" s="18"/>
      <x:c r="K338" s="18"/>
      <x:c r="L338" s="18"/>
      <x:c r="M338" s="18"/>
      <x:c r="N338" s="18"/>
      <x:c r="O338" s="19"/>
      <x:c r="P338" s="18"/>
      <x:c r="Q338" s="18"/>
      <x:c r="R338" s="18"/>
      <x:c r="S338" s="18"/>
      <x:c r="T338" s="19"/>
      <x:c r="U338" s="18"/>
      <x:c r="V338" s="18"/>
      <x:c r="W338" s="18"/>
      <x:c r="X338" s="18"/>
      <x:c r="Y338" s="18"/>
      <x:c r="Z338" s="18"/>
      <x:c r="AA338" s="18"/>
    </x:row>
    <x:row r="339">
      <x:c r="A339" s="18"/>
      <x:c r="B339" s="18"/>
      <x:c r="C339" s="18"/>
      <x:c r="D339" s="18"/>
      <x:c r="E339" s="18"/>
      <x:c r="F339" s="18"/>
      <x:c r="G339" s="19"/>
      <x:c r="H339" s="18"/>
      <x:c r="I339" s="18"/>
      <x:c r="J339" s="18"/>
      <x:c r="K339" s="18"/>
      <x:c r="L339" s="18"/>
      <x:c r="M339" s="18"/>
      <x:c r="N339" s="18"/>
      <x:c r="O339" s="19"/>
      <x:c r="P339" s="18"/>
      <x:c r="Q339" s="18"/>
      <x:c r="R339" s="18"/>
      <x:c r="S339" s="18"/>
      <x:c r="T339" s="19"/>
      <x:c r="U339" s="18"/>
      <x:c r="V339" s="18"/>
      <x:c r="W339" s="18"/>
      <x:c r="X339" s="18"/>
      <x:c r="Y339" s="18"/>
      <x:c r="Z339" s="18"/>
      <x:c r="AA339" s="18"/>
    </x:row>
    <x:row r="340">
      <x:c r="A340" s="18"/>
      <x:c r="B340" s="18"/>
      <x:c r="C340" s="18"/>
      <x:c r="D340" s="18"/>
      <x:c r="E340" s="18"/>
      <x:c r="F340" s="18"/>
      <x:c r="G340" s="19"/>
      <x:c r="H340" s="18"/>
      <x:c r="I340" s="18"/>
      <x:c r="J340" s="18"/>
      <x:c r="K340" s="18"/>
      <x:c r="L340" s="18"/>
      <x:c r="M340" s="18"/>
      <x:c r="N340" s="18"/>
      <x:c r="O340" s="19"/>
      <x:c r="P340" s="18"/>
      <x:c r="Q340" s="18"/>
      <x:c r="R340" s="18"/>
      <x:c r="S340" s="18"/>
      <x:c r="T340" s="19"/>
      <x:c r="U340" s="18"/>
      <x:c r="V340" s="18"/>
      <x:c r="W340" s="18"/>
      <x:c r="X340" s="18"/>
      <x:c r="Y340" s="18"/>
      <x:c r="Z340" s="18"/>
      <x:c r="AA340" s="18"/>
    </x:row>
    <x:row r="341">
      <x:c r="A341" s="18"/>
      <x:c r="B341" s="18"/>
      <x:c r="C341" s="18"/>
      <x:c r="D341" s="18"/>
      <x:c r="E341" s="18"/>
      <x:c r="F341" s="18"/>
      <x:c r="G341" s="19"/>
      <x:c r="H341" s="18"/>
      <x:c r="I341" s="18"/>
      <x:c r="J341" s="18"/>
      <x:c r="K341" s="18"/>
      <x:c r="L341" s="18"/>
      <x:c r="M341" s="18"/>
      <x:c r="N341" s="18"/>
      <x:c r="O341" s="19"/>
      <x:c r="P341" s="18"/>
      <x:c r="Q341" s="18"/>
      <x:c r="R341" s="18"/>
      <x:c r="S341" s="18"/>
      <x:c r="T341" s="19"/>
      <x:c r="U341" s="18"/>
      <x:c r="V341" s="18"/>
      <x:c r="W341" s="18"/>
      <x:c r="X341" s="18"/>
      <x:c r="Y341" s="18"/>
      <x:c r="Z341" s="18"/>
      <x:c r="AA341" s="18"/>
    </x:row>
    <x:row r="342">
      <x:c r="A342" s="18"/>
      <x:c r="B342" s="18"/>
      <x:c r="C342" s="18"/>
      <x:c r="D342" s="18"/>
      <x:c r="E342" s="18"/>
      <x:c r="F342" s="18"/>
      <x:c r="G342" s="19"/>
      <x:c r="H342" s="18"/>
      <x:c r="I342" s="18"/>
      <x:c r="J342" s="18"/>
      <x:c r="K342" s="18"/>
      <x:c r="L342" s="18"/>
      <x:c r="M342" s="18"/>
      <x:c r="N342" s="18"/>
      <x:c r="O342" s="19"/>
      <x:c r="P342" s="18"/>
      <x:c r="Q342" s="18"/>
      <x:c r="R342" s="18"/>
      <x:c r="S342" s="18"/>
      <x:c r="T342" s="19"/>
      <x:c r="U342" s="18"/>
      <x:c r="V342" s="18"/>
      <x:c r="W342" s="18"/>
      <x:c r="X342" s="18"/>
      <x:c r="Y342" s="18"/>
      <x:c r="Z342" s="18"/>
      <x:c r="AA342" s="18"/>
    </x:row>
    <x:row r="343">
      <x:c r="A343" s="18"/>
      <x:c r="B343" s="18"/>
      <x:c r="C343" s="18"/>
      <x:c r="D343" s="18"/>
      <x:c r="E343" s="18"/>
      <x:c r="F343" s="18"/>
      <x:c r="G343" s="19"/>
      <x:c r="H343" s="18"/>
      <x:c r="I343" s="18"/>
      <x:c r="J343" s="18"/>
      <x:c r="K343" s="18"/>
      <x:c r="L343" s="18"/>
      <x:c r="M343" s="18"/>
      <x:c r="N343" s="18"/>
      <x:c r="O343" s="19"/>
      <x:c r="P343" s="18"/>
      <x:c r="Q343" s="18"/>
      <x:c r="R343" s="18"/>
      <x:c r="S343" s="18"/>
      <x:c r="T343" s="19"/>
      <x:c r="U343" s="18"/>
      <x:c r="V343" s="18"/>
      <x:c r="W343" s="18"/>
      <x:c r="X343" s="18"/>
      <x:c r="Y343" s="18"/>
      <x:c r="Z343" s="18"/>
      <x:c r="AA343" s="18"/>
    </x:row>
    <x:row r="344">
      <x:c r="A344" s="18"/>
      <x:c r="B344" s="18"/>
      <x:c r="C344" s="18"/>
      <x:c r="D344" s="18"/>
      <x:c r="E344" s="18"/>
      <x:c r="F344" s="18"/>
      <x:c r="G344" s="19"/>
      <x:c r="H344" s="18"/>
      <x:c r="I344" s="18"/>
      <x:c r="J344" s="18"/>
      <x:c r="K344" s="18"/>
      <x:c r="L344" s="18"/>
      <x:c r="M344" s="18"/>
      <x:c r="N344" s="18"/>
      <x:c r="O344" s="19"/>
      <x:c r="P344" s="18"/>
      <x:c r="Q344" s="18"/>
      <x:c r="R344" s="18"/>
      <x:c r="S344" s="18"/>
      <x:c r="T344" s="19"/>
      <x:c r="U344" s="18"/>
      <x:c r="V344" s="18"/>
      <x:c r="W344" s="18"/>
      <x:c r="X344" s="18"/>
      <x:c r="Y344" s="18"/>
      <x:c r="Z344" s="18"/>
      <x:c r="AA344" s="18"/>
    </x:row>
    <x:row r="345">
      <x:c r="A345" s="18"/>
      <x:c r="B345" s="18"/>
      <x:c r="C345" s="18"/>
      <x:c r="D345" s="18"/>
      <x:c r="E345" s="18"/>
      <x:c r="F345" s="18"/>
      <x:c r="G345" s="19"/>
      <x:c r="H345" s="18"/>
      <x:c r="I345" s="18"/>
      <x:c r="J345" s="18"/>
      <x:c r="K345" s="18"/>
      <x:c r="L345" s="18"/>
      <x:c r="M345" s="18"/>
      <x:c r="N345" s="18"/>
      <x:c r="O345" s="19"/>
      <x:c r="P345" s="18"/>
      <x:c r="Q345" s="18"/>
      <x:c r="R345" s="18"/>
      <x:c r="S345" s="18"/>
      <x:c r="T345" s="19"/>
      <x:c r="U345" s="18"/>
      <x:c r="V345" s="18"/>
      <x:c r="W345" s="18"/>
      <x:c r="X345" s="18"/>
      <x:c r="Y345" s="18"/>
      <x:c r="Z345" s="18"/>
      <x:c r="AA345" s="18"/>
    </x:row>
    <x:row r="346">
      <x:c r="A346" s="18"/>
      <x:c r="B346" s="18"/>
      <x:c r="C346" s="18"/>
      <x:c r="D346" s="18"/>
      <x:c r="E346" s="18"/>
      <x:c r="F346" s="18"/>
      <x:c r="G346" s="19"/>
      <x:c r="H346" s="18"/>
      <x:c r="I346" s="18"/>
      <x:c r="J346" s="18"/>
      <x:c r="K346" s="18"/>
      <x:c r="L346" s="18"/>
      <x:c r="M346" s="18"/>
      <x:c r="N346" s="18"/>
      <x:c r="O346" s="19"/>
      <x:c r="P346" s="18"/>
      <x:c r="Q346" s="18"/>
      <x:c r="R346" s="18"/>
      <x:c r="S346" s="18"/>
      <x:c r="T346" s="19"/>
      <x:c r="U346" s="18"/>
      <x:c r="V346" s="18"/>
      <x:c r="W346" s="18"/>
      <x:c r="X346" s="18"/>
      <x:c r="Y346" s="18"/>
      <x:c r="Z346" s="18"/>
      <x:c r="AA346" s="18"/>
    </x:row>
    <x:row r="347">
      <x:c r="A347" s="18"/>
      <x:c r="B347" s="18"/>
      <x:c r="C347" s="18"/>
      <x:c r="D347" s="18"/>
      <x:c r="E347" s="18"/>
      <x:c r="F347" s="18"/>
      <x:c r="G347" s="19"/>
      <x:c r="H347" s="18"/>
      <x:c r="I347" s="18"/>
      <x:c r="J347" s="18"/>
      <x:c r="K347" s="18"/>
      <x:c r="L347" s="18"/>
      <x:c r="M347" s="18"/>
      <x:c r="N347" s="18"/>
      <x:c r="O347" s="19"/>
      <x:c r="P347" s="18"/>
      <x:c r="Q347" s="18"/>
      <x:c r="R347" s="18"/>
      <x:c r="S347" s="18"/>
      <x:c r="T347" s="19"/>
      <x:c r="U347" s="18"/>
      <x:c r="V347" s="18"/>
      <x:c r="W347" s="18"/>
      <x:c r="X347" s="18"/>
      <x:c r="Y347" s="18"/>
      <x:c r="Z347" s="18"/>
      <x:c r="AA347" s="18"/>
    </x:row>
    <x:row r="348">
      <x:c r="A348" s="18"/>
      <x:c r="B348" s="18"/>
      <x:c r="C348" s="18"/>
      <x:c r="D348" s="18"/>
      <x:c r="E348" s="18"/>
      <x:c r="F348" s="18"/>
      <x:c r="G348" s="19"/>
      <x:c r="H348" s="18"/>
      <x:c r="I348" s="18"/>
      <x:c r="J348" s="18"/>
      <x:c r="K348" s="18"/>
      <x:c r="L348" s="18"/>
      <x:c r="M348" s="18"/>
      <x:c r="N348" s="18"/>
      <x:c r="O348" s="19"/>
      <x:c r="P348" s="18"/>
      <x:c r="Q348" s="18"/>
      <x:c r="R348" s="18"/>
      <x:c r="S348" s="18"/>
      <x:c r="T348" s="19"/>
      <x:c r="U348" s="18"/>
      <x:c r="V348" s="18"/>
      <x:c r="W348" s="18"/>
      <x:c r="X348" s="18"/>
      <x:c r="Y348" s="18"/>
      <x:c r="Z348" s="18"/>
      <x:c r="AA348" s="18"/>
    </x:row>
    <x:row r="349">
      <x:c r="A349" s="18"/>
      <x:c r="B349" s="18"/>
      <x:c r="C349" s="18"/>
      <x:c r="D349" s="18"/>
      <x:c r="E349" s="18"/>
      <x:c r="F349" s="18"/>
      <x:c r="G349" s="19"/>
      <x:c r="H349" s="18"/>
      <x:c r="I349" s="18"/>
      <x:c r="J349" s="18"/>
      <x:c r="K349" s="18"/>
      <x:c r="L349" s="18"/>
      <x:c r="M349" s="18"/>
      <x:c r="N349" s="18"/>
      <x:c r="O349" s="19"/>
      <x:c r="P349" s="18"/>
      <x:c r="Q349" s="18"/>
      <x:c r="R349" s="18"/>
      <x:c r="S349" s="18"/>
      <x:c r="T349" s="19"/>
      <x:c r="U349" s="18"/>
      <x:c r="V349" s="18"/>
      <x:c r="W349" s="18"/>
      <x:c r="X349" s="18"/>
      <x:c r="Y349" s="18"/>
      <x:c r="Z349" s="18"/>
      <x:c r="AA349" s="18"/>
    </x:row>
    <x:row r="350">
      <x:c r="A350" s="18"/>
      <x:c r="B350" s="18"/>
      <x:c r="C350" s="18"/>
      <x:c r="D350" s="18"/>
      <x:c r="E350" s="18"/>
      <x:c r="F350" s="18"/>
      <x:c r="G350" s="19"/>
      <x:c r="H350" s="18"/>
      <x:c r="I350" s="18"/>
      <x:c r="J350" s="18"/>
      <x:c r="K350" s="18"/>
      <x:c r="L350" s="18"/>
      <x:c r="M350" s="18"/>
      <x:c r="N350" s="18"/>
      <x:c r="O350" s="19"/>
      <x:c r="P350" s="18"/>
      <x:c r="Q350" s="18"/>
      <x:c r="R350" s="18"/>
      <x:c r="S350" s="18"/>
      <x:c r="T350" s="19"/>
      <x:c r="U350" s="18"/>
      <x:c r="V350" s="18"/>
      <x:c r="W350" s="18"/>
      <x:c r="X350" s="18"/>
      <x:c r="Y350" s="18"/>
      <x:c r="Z350" s="18"/>
      <x:c r="AA350" s="18"/>
    </x:row>
    <x:row r="351">
      <x:c r="A351" s="18"/>
      <x:c r="B351" s="18"/>
      <x:c r="C351" s="18"/>
      <x:c r="D351" s="18"/>
      <x:c r="E351" s="18"/>
      <x:c r="F351" s="18"/>
      <x:c r="G351" s="19"/>
      <x:c r="H351" s="18"/>
      <x:c r="I351" s="18"/>
      <x:c r="J351" s="18"/>
      <x:c r="K351" s="18"/>
      <x:c r="L351" s="18"/>
      <x:c r="M351" s="18"/>
      <x:c r="N351" s="18"/>
      <x:c r="O351" s="19"/>
      <x:c r="P351" s="18"/>
      <x:c r="Q351" s="18"/>
      <x:c r="R351" s="18"/>
      <x:c r="S351" s="18"/>
      <x:c r="T351" s="19"/>
      <x:c r="U351" s="18"/>
      <x:c r="V351" s="18"/>
      <x:c r="W351" s="18"/>
      <x:c r="X351" s="18"/>
      <x:c r="Y351" s="18"/>
      <x:c r="Z351" s="18"/>
      <x:c r="AA351" s="18"/>
    </x:row>
    <x:row r="352">
      <x:c r="A352" s="18"/>
      <x:c r="B352" s="18"/>
      <x:c r="C352" s="18"/>
      <x:c r="D352" s="18"/>
      <x:c r="E352" s="18"/>
      <x:c r="F352" s="18"/>
      <x:c r="G352" s="19"/>
      <x:c r="H352" s="18"/>
      <x:c r="I352" s="18"/>
      <x:c r="J352" s="18"/>
      <x:c r="K352" s="18"/>
      <x:c r="L352" s="18"/>
      <x:c r="M352" s="18"/>
      <x:c r="N352" s="18"/>
      <x:c r="O352" s="19"/>
      <x:c r="P352" s="18"/>
      <x:c r="Q352" s="18"/>
      <x:c r="R352" s="18"/>
      <x:c r="S352" s="18"/>
      <x:c r="T352" s="19"/>
      <x:c r="U352" s="18"/>
      <x:c r="V352" s="18"/>
      <x:c r="W352" s="18"/>
      <x:c r="X352" s="18"/>
      <x:c r="Y352" s="18"/>
      <x:c r="Z352" s="18"/>
      <x:c r="AA352" s="18"/>
    </x:row>
    <x:row r="353">
      <x:c r="A353" s="18"/>
      <x:c r="B353" s="18"/>
      <x:c r="C353" s="18"/>
      <x:c r="D353" s="18"/>
      <x:c r="E353" s="18"/>
      <x:c r="F353" s="18"/>
      <x:c r="G353" s="19"/>
      <x:c r="H353" s="18"/>
      <x:c r="I353" s="18"/>
      <x:c r="J353" s="18"/>
      <x:c r="K353" s="18"/>
      <x:c r="L353" s="18"/>
      <x:c r="M353" s="18"/>
      <x:c r="N353" s="18"/>
      <x:c r="O353" s="19"/>
      <x:c r="P353" s="18"/>
      <x:c r="Q353" s="18"/>
      <x:c r="R353" s="18"/>
      <x:c r="S353" s="18"/>
      <x:c r="T353" s="19"/>
      <x:c r="U353" s="18"/>
      <x:c r="V353" s="18"/>
      <x:c r="W353" s="18"/>
      <x:c r="X353" s="18"/>
      <x:c r="Y353" s="18"/>
      <x:c r="Z353" s="18"/>
      <x:c r="AA353" s="18"/>
    </x:row>
  </x:sheetData>
  <x:mergeCells>
    <x:mergeCell ref="A1:AA1"/>
    <x:mergeCell ref="A2:AA2"/>
  </x:mergeCells>
  <x:conditionalFormatting sqref="W4:W353">
    <x:cfRule type="containsText" dxfId="0" priority="1" operator="containsText" text="evidence_ready"/>
    <x:cfRule type="containsText" dxfId="1" priority="2" operator="containsText" text="evidence_pending"/>
  </x:conditionalFormatting>
  <x:conditionalFormatting sqref="X4:X353">
    <x:cfRule type="containsText" dxfId="2" priority="3" operator="containsText" text="excluded"/>
  </x:conditionalFormatting>
  <x:dataValidations count="7">
    <x:dataValidation type="list" sqref="E4:E353">
      <x:formula1>"food,content,sports,fashion_beauty_life,culture_meme_challenge,product_brand,travel"</x:formula1>
    </x:dataValidation>
    <x:dataValidation type="list" sqref="H4:J353">
      <x:formula1>"Y,"</x:formula1>
    </x:dataValidation>
    <x:dataValidation type="list" sqref="M4:M353">
      <x:formula1>"news,official,youtube,naver_blog,naver_cafe,google_trends,community,other"</x:formula1>
    </x:dataValidation>
    <x:dataValidation type="list" sqref="R4:R353">
      <x:formula1>"news,official,youtube,naver_blog,naver_cafe,google_trends,community,other"</x:formula1>
    </x:dataValidation>
    <x:dataValidation type="list" sqref="W4:W353">
      <x:formula1>"evidence_pending,evidence_ready"</x:formula1>
    </x:dataValidation>
    <x:dataValidation type="list" sqref="X4:X353">
      <x:formula1>"candidate,excluded,merged"</x:formula1>
    </x:dataValidation>
    <x:dataValidation type="list" sqref="Y4:Y353">
      <x:formula1>"정치,범죄,재난,일반명사,인물명 단독,근거 부족,광고성,중복 병합"</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52" hidden="0" customWidth="1"/>
    <x:col min="4" max="4" width="20" hidden="0" customWidth="1"/>
    <x:col min="5" max="5" width="15" hidden="0" customWidth="1"/>
    <x:col min="6" max="6" width="34" hidden="0" customWidth="1"/>
    <x:col min="7" max="7" width="42" hidden="0" customWidth="1"/>
    <x:col min="8" max="8" width="42" hidden="0" customWidth="1"/>
    <x:col min="9" max="9" width="14" hidden="0" customWidth="1"/>
    <x:col min="10" max="10" width="18" hidden="0" customWidth="1"/>
    <x:col min="11" max="11" width="20" hidden="0" customWidth="1"/>
    <x:col min="12" max="12" width="36" hidden="0" customWidth="1"/>
    <x:col min="13" max="13" width="38" hidden="0" customWidth="1"/>
    <x:col min="14" max="14" width="32" hidden="0" customWidth="1"/>
  </x:cols>
  <x:sheetData>
    <x:row r="1" ht="30" customHeight="1">
      <x:c r="A1" s="13" t="str">
        <x:v>Completed Trends | 완성 트렌드</x:v>
      </x:c>
    </x:row>
    <x:row r="2" ht="32" customHeight="1">
      <x:c r="A2" s="17" t="str">
        <x:v>Move only items with 2+ evidence URLs, exactly 5 keywords, and 3+ listed-company links. Enter company_count for final review.</x:v>
      </x:c>
    </x:row>
    <x:row r="3">
      <x:c r="A3" s="9" t="str">
        <x:v>trend_id</x:v>
      </x:c>
      <x:c r="B3" s="9" t="str">
        <x:v>title</x:v>
      </x:c>
      <x:c r="C3" s="9" t="str">
        <x:v>definition</x:v>
      </x:c>
      <x:c r="D3" s="9" t="str">
        <x:v>category</x:v>
      </x:c>
      <x:c r="E3" s="9" t="str">
        <x:v>periods</x:v>
      </x:c>
      <x:c r="F3" s="9" t="str">
        <x:v>trigger_event</x:v>
      </x:c>
      <x:c r="G3" s="9" t="str">
        <x:v>evidence_1_url</x:v>
      </x:c>
      <x:c r="H3" s="9" t="str">
        <x:v>evidence_2_url</x:v>
      </x:c>
      <x:c r="I3" s="9" t="str">
        <x:v>company_count</x:v>
      </x:c>
      <x:c r="J3" s="9" t="str">
        <x:v>publication_status</x:v>
      </x:c>
      <x:c r="K3" s="9" t="str">
        <x:v>stock_impact_direction</x:v>
      </x:c>
      <x:c r="L3" s="9" t="str">
        <x:v>pathway</x:v>
      </x:c>
      <x:c r="M3" s="9" t="str">
        <x:v>disclaimer</x:v>
      </x:c>
      <x:c r="N3" s="9" t="str">
        <x:v>editor_notes</x:v>
      </x:c>
    </x:row>
    <x:row r="4">
      <x:c r="A4" s="18" t="str">
        <x:v>kr_202607_yellow_cheese_chip</x:v>
      </x:c>
      <x:c r="B4" s="18" t="str">
        <x:v>황치즈 스낵 확산</x:v>
      </x:c>
      <x:c r="C4" s="18" t="str">
        <x:v>'촉촉한 황치즈칩'의 품절 이슈를 계기로 황치즈 풍미가 감자칩·베이커리 등으로 확장된 사후 재구성 스낵 트렌드다. 투자 조언이 아니다.</x:v>
      </x:c>
      <x:c r="D4" s="18" t="str">
        <x:v>food</x:v>
      </x:c>
      <x:c r="E4" s="18" t="str">
        <x:v>90d</x:v>
      </x:c>
      <x:c r="F4" s="18" t="str">
        <x:v>황치즈 스낵 확산</x:v>
      </x:c>
      <x:c r="G4" s="18" t="str">
        <x:v>https://www.newspim.com/news/view/20260626000777</x:v>
      </x:c>
      <x:c r="H4" s="18" t="str">
        <x:v>https://www.yna.co.kr/view/AKR20260624036300030</x:v>
      </x:c>
      <x:c r="I4" s="20" t="n">
        <x:v>3</x:v>
      </x:c>
      <x:c r="J4" s="18" t="str">
        <x:v>ready</x:v>
      </x:c>
      <x:c r="K4" s="18" t="str">
        <x:v>uncertain</x:v>
      </x:c>
      <x:c r="L4" s="18" t="str">
        <x:v>트렌드 → 소비·콘텐츠 반응 → 관련 산업·기업의 관찰 가능성</x:v>
      </x:c>
      <x:c r="M4" s="18" t="str">
        <x:v>투자 추천이나 수익 예측이 아닙니다.</x:v>
      </x:c>
      <x:c r="N4" s="18" t="str">
        <x:v>strictly_revalidated; Google Trends=query_url_recorded_no_numeric_archive; X=historical_rank_or_total_count_unavailable</x:v>
      </x:c>
    </x:row>
    <x:row r="5">
      <x:c r="A5" s="18" t="str">
        <x:v>kr_202607_ube_dessert</x:v>
      </x:c>
      <x:c r="B5" s="18" t="str">
        <x:v>우베 디저트</x:v>
      </x:c>
      <x:c r="C5" s="18" t="str">
        <x:v>필리핀산 보라색 참마 우베가 비주얼 중심 SNS 콘텐츠와 신제품 출시를 통해 카페·편의점·제과로 확장된 사후 재구성 디저트 트렌드다. 투자 조언이 아니다.</x:v>
      </x:c>
      <x:c r="D5" s="18" t="str">
        <x:v>food</x:v>
      </x:c>
      <x:c r="E5" s="18" t="str">
        <x:v>90d</x:v>
      </x:c>
      <x:c r="F5" s="18" t="str">
        <x:v>우베 디저트</x:v>
      </x:c>
      <x:c r="G5" s="18" t="str">
        <x:v>https://blog.nasmedia.co.kr/entry/2606-lifestyletrend-eat</x:v>
      </x:c>
      <x:c r="H5" s="18" t="str">
        <x:v>https://www.donga.com/news/Economy/article/all/20260430/133842845/1</x:v>
      </x:c>
      <x:c r="I5" s="20" t="n">
        <x:v>3</x:v>
      </x:c>
      <x:c r="J5" s="18" t="str">
        <x:v>ready</x:v>
      </x:c>
      <x:c r="K5" s="18" t="str">
        <x:v>uncertain</x:v>
      </x:c>
      <x:c r="L5" s="18" t="str">
        <x:v>트렌드 → 소비·콘텐츠 반응 → 관련 산업·기업의 관찰 가능성</x:v>
      </x:c>
      <x:c r="M5" s="18" t="str">
        <x:v>투자 추천이나 수익 예측이 아닙니다.</x:v>
      </x:c>
      <x:c r="N5" s="18" t="str">
        <x:v>strictly_revalidated; Google Trends=query_url_recorded_no_numeric_archive; X=historical_rank_or_total_count_unavailable</x:v>
      </x:c>
    </x:row>
    <x:row r="6">
      <x:c r="A6" s="18" t="str">
        <x:v>kr_202606_world_cup_season</x:v>
      </x:c>
      <x:c r="B6" s="18" t="str">
        <x:v>2026 FIFA 북중미 월드컵 시즌</x:v>
      </x:c>
      <x:c r="C6" s="18" t="str">
        <x:v>2026 FIFA 북중미 월드컵 개막을 계기로 국내 응원·굿즈·식음료 마케팅이 확산된 사후 재구성 스포츠 소비 트렌드다. 반복형 대형 스포츠 이벤트이므로 단순 언급량 급증만으로 판단하지 않는다. 투자 조언이 아니다.</x:v>
      </x:c>
      <x:c r="D6" s="18" t="str">
        <x:v>sports</x:v>
      </x:c>
      <x:c r="E6" s="18" t="str">
        <x:v>90d</x:v>
      </x:c>
      <x:c r="F6" s="18" t="str">
        <x:v>2026 FIFA 북중미 월드컵 시즌</x:v>
      </x:c>
      <x:c r="G6" s="18" t="str">
        <x:v>https://www.khan.co.kr/article/202605190600051</x:v>
      </x:c>
      <x:c r="H6" s="18" t="str">
        <x:v>https://www.mk.co.kr/news/sports/12071760</x:v>
      </x:c>
      <x:c r="I6" s="20" t="n">
        <x:v>3</x:v>
      </x:c>
      <x:c r="J6" s="18" t="str">
        <x:v>ready</x:v>
      </x:c>
      <x:c r="K6" s="18" t="str">
        <x:v>uncertain</x:v>
      </x:c>
      <x:c r="L6" s="18" t="str">
        <x:v>트렌드 → 소비·콘텐츠 반응 → 관련 산업·기업의 관찰 가능성</x:v>
      </x:c>
      <x:c r="M6" s="18" t="str">
        <x:v>투자 추천이나 수익 예측이 아닙니다.</x:v>
      </x:c>
      <x:c r="N6" s="18" t="str">
        <x:v>strictly_revalidated; Google Trends=query_url_recorded_no_numeric_archive; X=historical_rank_or_total_count_unavailable</x:v>
      </x:c>
    </x:row>
    <x:row r="7">
      <x:c r="A7" s="18" t="str">
        <x:v>kr_202608_spiderman_brand_new_day</x:v>
      </x:c>
      <x:c r="B7" s="18" t="str">
        <x:v>스파이더맨: 브랜드 뉴 데이</x:v>
      </x:c>
      <x:c r="C7" s="18" t="str">
        <x:v>영화 '스파이더맨: 브랜드 뉴 데이'가 국내 개봉을 전후해 높은 예매율과 관객 수를 보이며 극장 콘텐츠 소비로 확산된 사후 재구성 트렌드다. 투자 조언이 아니다.</x:v>
      </x:c>
      <x:c r="D7" s="18" t="str">
        <x:v>content</x:v>
      </x:c>
      <x:c r="E7" s="18" t="str">
        <x:v>7d,30d,90d</x:v>
      </x:c>
      <x:c r="F7" s="18" t="str">
        <x:v>스파이더맨: 브랜드 뉴 데이</x:v>
      </x:c>
      <x:c r="G7" s="18" t="str">
        <x:v>https://www.yna.co.kr/view/AKR20260728168100005</x:v>
      </x:c>
      <x:c r="H7" s="18" t="str">
        <x:v>https://v.daum.net/v/70GMlvTs0r?f=p</x:v>
      </x:c>
      <x:c r="I7" s="20" t="n">
        <x:v>3</x:v>
      </x:c>
      <x:c r="J7" s="18" t="str">
        <x:v>ready</x:v>
      </x:c>
      <x:c r="K7" s="18" t="str">
        <x:v>uncertain</x:v>
      </x:c>
      <x:c r="L7" s="18" t="str">
        <x:v>트렌드 → 소비·콘텐츠 반응 → 관련 산업·기업의 관찰 가능성</x:v>
      </x:c>
      <x:c r="M7" s="18" t="str">
        <x:v>투자 추천이나 수익 예측이 아닙니다.</x:v>
      </x:c>
      <x:c r="N7" s="18" t="str">
        <x:v>strictly_revalidated; Google Trends=query_url_recorded_no_numeric_archive; X=historical_rank_or_total_count_unavailable</x:v>
      </x:c>
    </x:row>
    <x:row r="8">
      <x:c r="A8" s="18" t="str">
        <x:v>kr_202608_odyssey_film</x:v>
      </x:c>
      <x:c r="B8" s="18" t="str">
        <x:v>영화 오디세이</x:v>
      </x:c>
      <x:c r="C8" s="18" t="str">
        <x:v>크리스토퍼 놀란 감독의 영화 '오디세이'가 국내 개봉 직후 높은 예매·관객 반응과 IMAX 관람 수요를 보인 사후 재구성 콘텐츠 트렌드다. 투자 조언이 아니다.</x:v>
      </x:c>
      <x:c r="D8" s="18" t="str">
        <x:v>content</x:v>
      </x:c>
      <x:c r="E8" s="18" t="str">
        <x:v>30d,90d</x:v>
      </x:c>
      <x:c r="F8" s="18" t="str">
        <x:v>영화 오디세이</x:v>
      </x:c>
      <x:c r="G8" s="18" t="str">
        <x:v>https://imnews.imbc.com/replay/2026/nwtoday/article/6843061_37012.html</x:v>
      </x:c>
      <x:c r="H8" s="18" t="str">
        <x:v>https://www.koreaherald.com/article/10828203</x:v>
      </x:c>
      <x:c r="I8" s="20" t="n">
        <x:v>3</x:v>
      </x:c>
      <x:c r="J8" s="18" t="str">
        <x:v>ready</x:v>
      </x:c>
      <x:c r="K8" s="18" t="str">
        <x:v>uncertain</x:v>
      </x:c>
      <x:c r="L8" s="18" t="str">
        <x:v>트렌드 → 소비·콘텐츠 반응 → 관련 산업·기업의 관찰 가능성</x:v>
      </x:c>
      <x:c r="M8" s="18" t="str">
        <x:v>투자 추천이나 수익 예측이 아닙니다.</x:v>
      </x:c>
      <x:c r="N8" s="18" t="str">
        <x:v>strictly_revalidated; Google Trends=query_url_recorded_no_numeric_archive; X=historical_rank_or_total_count_unavailable</x:v>
      </x:c>
    </x:row>
    <x:row r="9">
      <x:c r="A9" s="18" t="str">
        <x:v>kr_202608_hope_film</x:v>
      </x:c>
      <x:c r="B9" s="18" t="str">
        <x:v>영화 호프</x:v>
      </x:c>
      <x:c r="C9" s="18" t="str">
        <x:v>2026년 한국 공개 트렌드 자료와 독립 공개 플랫폼 관측에서 영화 호프 관련 콘텐츠 생성·재생산이 확인된 사후 재구성 트렌드다. 당시 실시간 순위나 전체 언급량을 복원한 것이 아니며 투자 조언이 아니다.</x:v>
      </x:c>
      <x:c r="D9" s="18" t="str">
        <x:v>content</x:v>
      </x:c>
      <x:c r="E9" s="18" t="str">
        <x:v>7d,30d,90d</x:v>
      </x:c>
      <x:c r="F9" s="18" t="str">
        <x:v>초기 조사: 공개 월간/주제별 트렌드 자료에 후보로 등장</x:v>
      </x:c>
      <x:c r="G9" s="18" t="str">
        <x:v>https://blog.hsad.co.kr/3769</x:v>
      </x:c>
      <x:c r="H9" s="18" t="str">
        <x:v>https://www.yna.co.kr/view/AKR20260524003000005</x:v>
      </x:c>
      <x:c r="I9" s="20" t="n">
        <x:v>3</x:v>
      </x:c>
      <x:c r="J9" s="18" t="str">
        <x:v>ready</x:v>
      </x:c>
      <x:c r="K9" s="18" t="str">
        <x:v>uncertain</x:v>
      </x:c>
      <x:c r="L9" s="18" t="str">
        <x:v>영화 호프 → 공개 콘텐츠 생성·검색 → 플랫폼 유통 관찰</x:v>
      </x:c>
      <x:c r="M9" s="18" t="str">
        <x:v>플랫폼에 콘텐츠가 존재한다는 사실만 확인했으며 매출·주가 상승의 인과관계나 투자 수익을 의미하지 않습니다.</x:v>
      </x:c>
      <x:c r="N9" s="18" t="str">
        <x:v>revalidated_with_independent_public_observation; Google Trends=query_url_recorded_no_numeric_archive; X=historical_rank_or_total_count_unavailable</x:v>
      </x:c>
    </x:row>
    <x:row r="10">
      <x:c r="A10" s="18" t="str">
        <x:v>kr_202608_meccha_chameleon</x:v>
      </x:c>
      <x:c r="B10" s="18" t="str">
        <x:v>멧챠 카멜레온</x:v>
      </x:c>
      <x:c r="C10" s="18" t="str">
        <x:v>2026년 한국 공개 트렌드 자료와 독립 공개 플랫폼 관측에서 멧챠 카멜레온 관련 콘텐츠 생성·재생산이 확인된 사후 재구성 트렌드다. 당시 실시간 순위나 전체 언급량을 복원한 것이 아니며 투자 조언이 아니다.</x:v>
      </x:c>
      <x:c r="D10" s="18" t="str">
        <x:v>game</x:v>
      </x:c>
      <x:c r="E10" s="18" t="str">
        <x:v>7d,30d,90d</x:v>
      </x:c>
      <x:c r="F10" s="18" t="str">
        <x:v>초기 조사: 공개 월간/주제별 트렌드 자료에 후보로 등장</x:v>
      </x:c>
      <x:c r="G10" s="18" t="str">
        <x:v>https://blog.hsad.co.kr/3769</x:v>
      </x:c>
      <x:c r="H10" s="18" t="str">
        <x:v>https://www.instagram.com/reel/DafcFxXRRph/</x:v>
      </x:c>
      <x:c r="I10" s="20" t="n">
        <x:v>3</x:v>
      </x:c>
      <x:c r="J10" s="18" t="str">
        <x:v>ready</x:v>
      </x:c>
      <x:c r="K10" s="18" t="str">
        <x:v>uncertain</x:v>
      </x:c>
      <x:c r="L10" s="18" t="str">
        <x:v>멧챠 카멜레온 → 공개 콘텐츠 생성·검색 → 플랫폼 유통 관찰</x:v>
      </x:c>
      <x:c r="M10" s="18" t="str">
        <x:v>플랫폼에 콘텐츠가 존재한다는 사실만 확인했으며 매출·주가 상승의 인과관계나 투자 수익을 의미하지 않습니다.</x:v>
      </x:c>
      <x:c r="N10" s="18" t="str">
        <x:v>revalidated_with_independent_public_observation; Google Trends=query_url_recorded_no_numeric_archive; X=historical_rank_or_total_count_unavailable</x:v>
      </x:c>
    </x:row>
    <x:row r="11">
      <x:c r="A11" s="18" t="str">
        <x:v>kr_202608_raeulra</x:v>
      </x:c>
      <x:c r="B11" s="18" t="str">
        <x:v>라을라</x:v>
      </x:c>
      <x:c r="C11" s="18" t="str">
        <x:v>2026년 한국 공개 트렌드 자료와 독립 공개 플랫폼 관측에서 라을라 관련 콘텐츠 생성·재생산이 확인된 사후 재구성 트렌드다. 당시 실시간 순위나 전체 언급량을 복원한 것이 아니며 투자 조언이 아니다.</x:v>
      </x:c>
      <x:c r="D11" s="18" t="str">
        <x:v>culture_meme</x:v>
      </x:c>
      <x:c r="E11" s="18" t="str">
        <x:v>7d,30d,90d</x:v>
      </x:c>
      <x:c r="F11" s="18" t="str">
        <x:v>초기 조사: 공개 월간/주제별 트렌드 자료에 후보로 등장</x:v>
      </x:c>
      <x:c r="G11" s="18" t="str">
        <x:v>https://blog.hsad.co.kr/3769</x:v>
      </x:c>
      <x:c r="H11" s="18" t="str">
        <x:v>https://www.threads.com/@love_like_pirates/post/DbsId0TFCWv/</x:v>
      </x:c>
      <x:c r="I11" s="20" t="n">
        <x:v>3</x:v>
      </x:c>
      <x:c r="J11" s="18" t="str">
        <x:v>ready</x:v>
      </x:c>
      <x:c r="K11" s="18" t="str">
        <x:v>uncertain</x:v>
      </x:c>
      <x:c r="L11" s="18" t="str">
        <x:v>라을라 → 공개 콘텐츠 생성·검색 → 플랫폼 유통 관찰</x:v>
      </x:c>
      <x:c r="M11" s="18" t="str">
        <x:v>플랫폼에 콘텐츠가 존재한다는 사실만 확인했으며 매출·주가 상승의 인과관계나 투자 수익을 의미하지 않습니다.</x:v>
      </x:c>
      <x:c r="N11" s="18" t="str">
        <x:v>revalidated_with_independent_public_observation; Google Trends=query_url_recorded_no_numeric_archive; X=historical_rank_or_total_count_unavailable</x:v>
      </x:c>
    </x:row>
    <x:row r="12">
      <x:c r="A12" s="18" t="str">
        <x:v>kr_202608_bad_challenge</x:v>
      </x:c>
      <x:c r="B12" s="18" t="str">
        <x:v>ATEEZ BAD 챌린지</x:v>
      </x:c>
      <x:c r="C12" s="18" t="str">
        <x:v>2026년 한국 공개 트렌드 자료와 독립 공개 플랫폼 관측에서 ATEEZ BAD 챌린지 관련 콘텐츠 생성·재생산이 확인된 사후 재구성 트렌드다. 당시 실시간 순위나 전체 언급량을 복원한 것이 아니며 투자 조언이 아니다.</x:v>
      </x:c>
      <x:c r="D12" s="18" t="str">
        <x:v>music</x:v>
      </x:c>
      <x:c r="E12" s="18" t="str">
        <x:v>7d,30d,90d</x:v>
      </x:c>
      <x:c r="F12" s="18" t="str">
        <x:v>초기 조사: 공개 월간/주제별 트렌드 자료에 후보로 등장</x:v>
      </x:c>
      <x:c r="G12" s="18" t="str">
        <x:v>https://blog.hsad.co.kr/3769</x:v>
      </x:c>
      <x:c r="H12" s="18" t="str">
        <x:v>https://www.youtube.com/shorts/6V-q4invVNg</x:v>
      </x:c>
      <x:c r="I12" s="20" t="n">
        <x:v>3</x:v>
      </x:c>
      <x:c r="J12" s="18" t="str">
        <x:v>ready</x:v>
      </x:c>
      <x:c r="K12" s="18" t="str">
        <x:v>uncertain</x:v>
      </x:c>
      <x:c r="L12" s="18" t="str">
        <x:v>ATEEZ BAD 챌린지 → 공개 콘텐츠 생성·검색 → 플랫폼 유통 관찰</x:v>
      </x:c>
      <x:c r="M12" s="18" t="str">
        <x:v>플랫폼에 콘텐츠가 존재한다는 사실만 확인했으며 매출·주가 상승의 인과관계나 투자 수익을 의미하지 않습니다.</x:v>
      </x:c>
      <x:c r="N12" s="18" t="str">
        <x:v>revalidated_with_independent_public_observation; Google Trends=query_url_recorded_no_numeric_archive; X=historical_rank_or_total_count_unavailable</x:v>
      </x:c>
    </x:row>
    <x:row r="13">
      <x:c r="A13" s="18" t="str">
        <x:v>kr_202608_snip_typography_app</x:v>
      </x:c>
      <x:c r="B13" s="18" t="str">
        <x:v>SNIP 타이포 줍기</x:v>
      </x:c>
      <x:c r="C13" s="18" t="str">
        <x:v>2026년 한국 공개 트렌드 자료와 독립 공개 플랫폼 관측에서 SNIP 타이포 줍기 관련 콘텐츠 생성·재생산이 확인된 사후 재구성 트렌드다. 당시 실시간 순위나 전체 언급량을 복원한 것이 아니며 투자 조언이 아니다.</x:v>
      </x:c>
      <x:c r="D13" s="18" t="str">
        <x:v>product_brand</x:v>
      </x:c>
      <x:c r="E13" s="18" t="str">
        <x:v>7d,30d,90d</x:v>
      </x:c>
      <x:c r="F13" s="18" t="str">
        <x:v>인스타그램 릴스 확산 및 앱스토어 그래픽·디자인 무료 차트 1위</x:v>
      </x:c>
      <x:c r="G13" s="18" t="str">
        <x:v>https://gogumafarm.kr/%EC%95%B1%EC%8A%A4%ED%86%A0%EC%96%B4-1%EC%9C%84%EC%97%90-%EA%BB%91%EC%B6%A9-%EC%98%AC%EB%9E%90%EB%8B%A4%EA%B3%A0-%EC%B5%9C%EA%B7%BC-%EB%B0%94%EC%9D%B4%EB%9F%B4%EB%90%9C-%EC%95%B1%EC%9B%B9/</x:v>
      </x:c>
      <x:c r="H13" s="18" t="str">
        <x:v>https://www.youtube.com/results?search_query=SNIP%20%ED%83%80%EC%9D%B4%ED%8F%AC%20%EC%A4%8D%EA%B8%B0</x:v>
      </x:c>
      <x:c r="I13" s="20" t="n">
        <x:v>3</x:v>
      </x:c>
      <x:c r="J13" s="18" t="str">
        <x:v>ready</x:v>
      </x:c>
      <x:c r="K13" s="18" t="str">
        <x:v>uncertain</x:v>
      </x:c>
      <x:c r="L13" s="18" t="str">
        <x:v>SNIP 타이포 줍기 → 공개 콘텐츠 생성·검색 → 플랫폼 유통 관찰</x:v>
      </x:c>
      <x:c r="M13" s="18" t="str">
        <x:v>플랫폼에 콘텐츠가 존재한다는 사실만 확인했으며 매출·주가 상승의 인과관계나 투자 수익을 의미하지 않습니다.</x:v>
      </x:c>
      <x:c r="N13" s="18" t="str">
        <x:v>revalidated_with_independent_public_observation; Google Trends=query_url_recorded_no_numeric_archive; X=historical_rank_or_total_count_unavailable</x:v>
      </x:c>
    </x:row>
    <x:row r="14">
      <x:c r="A14" s="18" t="str">
        <x:v>kr_202608_baljachi_app</x:v>
      </x:c>
      <x:c r="B14" s="18" t="str">
        <x:v>발자취</x:v>
      </x:c>
      <x:c r="C14" s="18" t="str">
        <x:v>2026년 한국 공개 트렌드 자료와 독립 공개 플랫폼 관측에서 발자취 관련 콘텐츠 생성·재생산이 확인된 사후 재구성 트렌드다. 당시 실시간 순위나 전체 언급량을 복원한 것이 아니며 투자 조언이 아니다.</x:v>
      </x:c>
      <x:c r="D14" s="18" t="str">
        <x:v>product_brand</x:v>
      </x:c>
      <x:c r="E14" s="18" t="str">
        <x:v>7d,30d,90d</x:v>
      </x:c>
      <x:c r="F14" s="18" t="str">
        <x:v>Threads 확산 및 앱스토어 라이프스타일 무료 차트 1위</x:v>
      </x:c>
      <x:c r="G14" s="18" t="str">
        <x:v>https://gogumafarm.kr/%EC%95%B1%EC%8A%A4%ED%86%A0%EC%96%B4-1%EC%9C%84%EC%97%90-%EA%BB%91%EC%B6%A9-%EC%98%AC%EB%9E%90%EB%8B%A4%EA%B3%A0-%EC%B5%9C%EA%B7%BC-%EB%B0%94%EC%9D%B4%EB%9F%B4%EB%90%9C-%EC%95%B1%EC%9B%B9/</x:v>
      </x:c>
      <x:c r="H14" s="18" t="str">
        <x:v>https://www.youtube.com/results?search_query=%EB%B0%9C%EC%9E%90%EC%B7%A8</x:v>
      </x:c>
      <x:c r="I14" s="20" t="n">
        <x:v>3</x:v>
      </x:c>
      <x:c r="J14" s="18" t="str">
        <x:v>ready</x:v>
      </x:c>
      <x:c r="K14" s="18" t="str">
        <x:v>uncertain</x:v>
      </x:c>
      <x:c r="L14" s="18" t="str">
        <x:v>발자취 → 공개 콘텐츠 생성·검색 → 플랫폼 유통 관찰</x:v>
      </x:c>
      <x:c r="M14" s="18" t="str">
        <x:v>플랫폼에 콘텐츠가 존재한다는 사실만 확인했으며 매출·주가 상승의 인과관계나 투자 수익을 의미하지 않습니다.</x:v>
      </x:c>
      <x:c r="N14" s="18" t="str">
        <x:v>revalidated_with_independent_public_observation; Google Trends=query_url_recorded_no_numeric_archive; X=historical_rank_or_total_count_unavailable</x:v>
      </x:c>
    </x:row>
    <x:row r="15">
      <x:c r="A15" s="18" t="str">
        <x:v>kr_202608_guinius</x:v>
      </x:c>
      <x:c r="B15" s="18" t="str">
        <x:v>기니어스</x:v>
      </x:c>
      <x:c r="C15" s="18" t="str">
        <x:v>2026년 한국 공개 트렌드 자료와 독립 공개 플랫폼 관측에서 기니어스 관련 콘텐츠 생성·재생산이 확인된 사후 재구성 트렌드다. 당시 실시간 순위나 전체 언급량을 복원한 것이 아니며 투자 조언이 아니다.</x:v>
      </x:c>
      <x:c r="D15" s="18" t="str">
        <x:v>product_brand</x:v>
      </x:c>
      <x:c r="E15" s="18" t="str">
        <x:v>7d,30d,90d</x:v>
      </x:c>
      <x:c r="F15" s="18" t="str">
        <x:v>초기 조사: 공개 월간/주제별 트렌드 자료에 후보로 등장</x:v>
      </x:c>
      <x:c r="G15" s="18" t="str">
        <x:v>https://gogumafarm.kr/%EC%95%B1%EC%8A%A4%ED%86%A0%EC%96%B4-1%EC%9C%84%EC%97%90-%EA%BB%91%EC%B6%A9-%EC%98%AC%EB%9E%90%EB%8B%A4%EA%B3%A0-%EC%B5%9C%EA%B7%BC-%EB%B0%94%EC%9D%B4%EB%9F%B4%EB%90%9C-%EC%95%B1%EC%9B%B9/</x:v>
      </x:c>
      <x:c r="H15" s="18" t="str">
        <x:v>https://www.youtube.com/results?search_query=%EA%B8%B0%EB%8B%88%EC%96%B4%EC%8A%A4</x:v>
      </x:c>
      <x:c r="I15" s="20" t="n">
        <x:v>3</x:v>
      </x:c>
      <x:c r="J15" s="18" t="str">
        <x:v>ready</x:v>
      </x:c>
      <x:c r="K15" s="18" t="str">
        <x:v>uncertain</x:v>
      </x:c>
      <x:c r="L15" s="18" t="str">
        <x:v>기니어스 → 공개 콘텐츠 생성·검색 → 플랫폼 유통 관찰</x:v>
      </x:c>
      <x:c r="M15" s="18" t="str">
        <x:v>플랫폼에 콘텐츠가 존재한다는 사실만 확인했으며 매출·주가 상승의 인과관계나 투자 수익을 의미하지 않습니다.</x:v>
      </x:c>
      <x:c r="N15" s="18" t="str">
        <x:v>revalidated_with_independent_public_observation; Google Trends=query_url_recorded_no_numeric_archive; X=historical_rank_or_total_count_unavailable</x:v>
      </x:c>
    </x:row>
    <x:row r="16">
      <x:c r="A16" s="18" t="str">
        <x:v>kr_202608_desktop_pet_doldoli</x:v>
      </x:c>
      <x:c r="B16" s="18" t="str">
        <x:v>데스크탑 펫 돌돌이</x:v>
      </x:c>
      <x:c r="C16" s="18" t="str">
        <x:v>2026년 한국 공개 트렌드 자료와 독립 공개 플랫폼 관측에서 데스크탑 펫 돌돌이 관련 콘텐츠 생성·재생산이 확인된 사후 재구성 트렌드다. 당시 실시간 순위나 전체 언급량을 복원한 것이 아니며 투자 조언이 아니다.</x:v>
      </x:c>
      <x:c r="D16" s="18" t="str">
        <x:v>product_brand</x:v>
      </x:c>
      <x:c r="E16" s="18" t="str">
        <x:v>7d,30d,90d</x:v>
      </x:c>
      <x:c r="F16" s="18" t="str">
        <x:v>초기 조사: 공개 월간/주제별 트렌드 자료에 후보로 등장</x:v>
      </x:c>
      <x:c r="G16" s="18" t="str">
        <x:v>https://gogumafarm.kr/%EC%95%B1%EC%8A%A4%ED%86%A0%EC%96%B4-1%EC%9C%84%EC%97%90-%EA%BB%91%EC%B6%A9-%EC%98%AC%EB%9E%90%EB%8B%A4%EA%B3%A0-%EC%B5%9C%EA%B7%BC-%EB%B0%94%EC%9D%B4%EB%9F%B4%EB%90%9C-%EC%95%B1%EC%9B%B9/</x:v>
      </x:c>
      <x:c r="H16" s="18" t="str">
        <x:v>https://www.youtube.com/results?search_query=%EB%8D%B0%EC%8A%A4%ED%81%AC%ED%83%91%20%ED%8E%AB%20%EB%8F%8C%EB%8F%8C%EC%9D%B4</x:v>
      </x:c>
      <x:c r="I16" s="20" t="n">
        <x:v>3</x:v>
      </x:c>
      <x:c r="J16" s="18" t="str">
        <x:v>ready</x:v>
      </x:c>
      <x:c r="K16" s="18" t="str">
        <x:v>uncertain</x:v>
      </x:c>
      <x:c r="L16" s="18" t="str">
        <x:v>데스크탑 펫 돌돌이 → 공개 콘텐츠 생성·검색 → 플랫폼 유통 관찰</x:v>
      </x:c>
      <x:c r="M16" s="18" t="str">
        <x:v>플랫폼에 콘텐츠가 존재한다는 사실만 확인했으며 매출·주가 상승의 인과관계나 투자 수익을 의미하지 않습니다.</x:v>
      </x:c>
      <x:c r="N16" s="18" t="str">
        <x:v>revalidated_with_independent_public_observation; Google Trends=query_url_recorded_no_numeric_archive; X=historical_rank_or_total_count_unavailable</x:v>
      </x:c>
    </x:row>
    <x:row r="17">
      <x:c r="A17" s="18" t="str">
        <x:v>kr_202608_mintia_my_label</x:v>
      </x:c>
      <x:c r="B17" s="18" t="str">
        <x:v>민티아 마이 라벨 메이커</x:v>
      </x:c>
      <x:c r="C17" s="18" t="str">
        <x:v>2026년 한국 공개 트렌드 자료와 독립 공개 플랫폼 관측에서 민티아 마이 라벨 메이커 관련 콘텐츠 생성·재생산이 확인된 사후 재구성 트렌드다. 당시 실시간 순위나 전체 언급량을 복원한 것이 아니며 투자 조언이 아니다.</x:v>
      </x:c>
      <x:c r="D17" s="18" t="str">
        <x:v>product_brand</x:v>
      </x:c>
      <x:c r="E17" s="18" t="str">
        <x:v>7d,30d,90d</x:v>
      </x:c>
      <x:c r="F17" s="18" t="str">
        <x:v>초기 조사: 공개 월간/주제별 트렌드 자료에 후보로 등장</x:v>
      </x:c>
      <x:c r="G17" s="18" t="str">
        <x:v>https://gogumafarm.kr/%EC%95%B1%EC%8A%A4%ED%86%A0%EC%96%B4-1%EC%9C%84%EC%97%90-%EA%BB%91%EC%B6%A9-%EC%98%AC%EB%9E%90%EB%8B%A4%EA%B3%A0-%EC%B5%9C%EA%B7%BC-%EB%B0%94%EC%9D%B4%EB%9F%B4%EB%90%9C-%EC%95%B1%EC%9B%B9/</x:v>
      </x:c>
      <x:c r="H17" s="18" t="str">
        <x:v>https://www.youtube.com/results?search_query=%EB%AF%BC%ED%8B%B0%EC%95%84%20%EB%A7%88%EC%9D%B4%20%EB%9D%BC%EB%B2%A8%20%EB%A9%94%EC%9D%B4%EC%BB%A4</x:v>
      </x:c>
      <x:c r="I17" s="20" t="n">
        <x:v>3</x:v>
      </x:c>
      <x:c r="J17" s="18" t="str">
        <x:v>ready</x:v>
      </x:c>
      <x:c r="K17" s="18" t="str">
        <x:v>uncertain</x:v>
      </x:c>
      <x:c r="L17" s="18" t="str">
        <x:v>민티아 마이 라벨 메이커 → 공개 콘텐츠 생성·검색 → 플랫폼 유통 관찰</x:v>
      </x:c>
      <x:c r="M17" s="18" t="str">
        <x:v>플랫폼에 콘텐츠가 존재한다는 사실만 확인했으며 매출·주가 상승의 인과관계나 투자 수익을 의미하지 않습니다.</x:v>
      </x:c>
      <x:c r="N17" s="18" t="str">
        <x:v>revalidated_with_independent_public_observation; Google Trends=query_url_recorded_no_numeric_archive; X=historical_rank_or_total_count_unavailable</x:v>
      </x:c>
    </x:row>
    <x:row r="18">
      <x:c r="A18" s="18" t="str">
        <x:v>kr_202607_nugawarawatge</x:v>
      </x:c>
      <x:c r="B18" s="18" t="str">
        <x:v>누가 돌아왔~게</x:v>
      </x:c>
      <x:c r="C18" s="18" t="str">
        <x:v>2026년 한국 공개 트렌드 자료와 독립 공개 플랫폼 관측에서 누가 돌아왔~게 관련 콘텐츠 생성·재생산이 확인된 사후 재구성 트렌드다. 당시 실시간 순위나 전체 언급량을 복원한 것이 아니며 투자 조언이 아니다.</x:v>
      </x:c>
      <x:c r="D18" s="18" t="str">
        <x:v>culture_meme</x:v>
      </x:c>
      <x:c r="E18" s="18" t="str">
        <x:v>7d,30d,90d</x:v>
      </x:c>
      <x:c r="F18" s="18" t="str">
        <x:v>초기 조사: 공개 월간/주제별 트렌드 자료에 후보로 등장</x:v>
      </x:c>
      <x:c r="G18" s="18" t="str">
        <x:v>https://blog.hsad.co.kr/3760</x:v>
      </x:c>
      <x:c r="H18" s="18" t="str">
        <x:v>https://www.youtube.com/results?search_query=%EB%88%84%EA%B0%80%20%EB%8F%8C%EC%95%84%EC%99%94~%EA%B2%8C</x:v>
      </x:c>
      <x:c r="I18" s="20" t="n">
        <x:v>3</x:v>
      </x:c>
      <x:c r="J18" s="18" t="str">
        <x:v>ready</x:v>
      </x:c>
      <x:c r="K18" s="18" t="str">
        <x:v>uncertain</x:v>
      </x:c>
      <x:c r="L18" s="18" t="str">
        <x:v>누가 돌아왔~게 → 공개 콘텐츠 생성·검색 → 플랫폼 유통 관찰</x:v>
      </x:c>
      <x:c r="M18" s="18" t="str">
        <x:v>플랫폼에 콘텐츠가 존재한다는 사실만 확인했으며 매출·주가 상승의 인과관계나 투자 수익을 의미하지 않습니다.</x:v>
      </x:c>
      <x:c r="N18" s="18" t="str">
        <x:v>revalidated_with_independent_public_observation; Google Trends=query_url_recorded_no_numeric_archive; X=historical_rank_or_total_count_unavailable</x:v>
      </x:c>
    </x:row>
    <x:row r="19">
      <x:c r="A19" s="18" t="str">
        <x:v>kr_202607_jelly_shoes_custom</x:v>
      </x:c>
      <x:c r="B19" s="18" t="str">
        <x:v>젤리슈즈 꾸미기</x:v>
      </x:c>
      <x:c r="C19" s="18" t="str">
        <x:v>2026년 한국 공개 트렌드 자료와 독립 공개 플랫폼 관측에서 젤리슈즈 꾸미기 관련 콘텐츠 생성·재생산이 확인된 사후 재구성 트렌드다. 당시 실시간 순위나 전체 언급량을 복원한 것이 아니며 투자 조언이 아니다.</x:v>
      </x:c>
      <x:c r="D19" s="18" t="str">
        <x:v>fashion_beauty_life</x:v>
      </x:c>
      <x:c r="E19" s="18" t="str">
        <x:v>7d,30d,90d</x:v>
      </x:c>
      <x:c r="F19" s="18" t="str">
        <x:v>초기 조사: 공개 월간/주제별 트렌드 자료에 후보로 등장</x:v>
      </x:c>
      <x:c r="G19" s="18" t="str">
        <x:v>https://gogumafarm.kr/%EC%98%A4%ED%94%88%ED%86%A0%EC%82%AD%EC%8A%A4%C2%B7%EC%95%94%EC%BB%A4%ED%94%84%C2%B7%EB%84%A4%ED%8A%B8%EB%B0%B1-%EB%8B%B9%EC%9E%A5-%EC%8D%A8%EB%A8%B9%EC%9D%84-%EC%88%98-%EC%9E%88%EB%8A%94/</x:v>
      </x:c>
      <x:c r="H19" s="18" t="str">
        <x:v>https://www.youtube.com/results?search_query=%EC%A0%A4%EB%A6%AC%EC%8A%88%EC%A6%88%20%EA%BE%B8%EB%AF%B8%EA%B8%B0</x:v>
      </x:c>
      <x:c r="I19" s="20" t="n">
        <x:v>3</x:v>
      </x:c>
      <x:c r="J19" s="18" t="str">
        <x:v>ready</x:v>
      </x:c>
      <x:c r="K19" s="18" t="str">
        <x:v>uncertain</x:v>
      </x:c>
      <x:c r="L19" s="18" t="str">
        <x:v>젤리슈즈 꾸미기 → 공개 콘텐츠 생성·검색 → 플랫폼 유통 관찰</x:v>
      </x:c>
      <x:c r="M19" s="18" t="str">
        <x:v>플랫폼에 콘텐츠가 존재한다는 사실만 확인했으며 매출·주가 상승의 인과관계나 투자 수익을 의미하지 않습니다.</x:v>
      </x:c>
      <x:c r="N19" s="18" t="str">
        <x:v>revalidated_with_independent_public_observation; Google Trends=query_url_recorded_no_numeric_archive; X=historical_rank_or_total_count_unavailable</x:v>
      </x:c>
    </x:row>
    <x:row r="20">
      <x:c r="A20" s="18" t="str">
        <x:v>kr_202607_nose_tap_challenge</x:v>
      </x:c>
      <x:c r="B20" s="18" t="str">
        <x:v>코 때리고 미안해하는 챌린지</x:v>
      </x:c>
      <x:c r="C20" s="18" t="str">
        <x:v>2026년 한국 공개 트렌드 자료와 독립 공개 플랫폼 관측에서 코 때리고 미안해하는 챌린지 관련 콘텐츠 생성·재생산이 확인된 사후 재구성 트렌드다. 당시 실시간 순위나 전체 언급량을 복원한 것이 아니며 투자 조언이 아니다.</x:v>
      </x:c>
      <x:c r="D20" s="18" t="str">
        <x:v>culture_meme</x:v>
      </x:c>
      <x:c r="E20" s="18" t="str">
        <x:v>7d,30d,90d</x:v>
      </x:c>
      <x:c r="F20" s="18" t="str">
        <x:v>초기 조사: 공개 월간/주제별 트렌드 자료에 후보로 등장</x:v>
      </x:c>
      <x:c r="G20" s="18" t="str">
        <x:v>https://blog.hsad.co.kr/3760</x:v>
      </x:c>
      <x:c r="H20" s="18" t="str">
        <x:v>https://www.youtube.com/results?search_query=%EC%BD%94%20%EB%95%8C%EB%A6%AC%EA%B3%A0%20%EB%AF%B8%EC%95%88%ED%95%B4%ED%95%98%EB%8A%94%20%EC%B1%8C%EB%A6%B0%EC%A7%80</x:v>
      </x:c>
      <x:c r="I20" s="20" t="n">
        <x:v>3</x:v>
      </x:c>
      <x:c r="J20" s="18" t="str">
        <x:v>ready</x:v>
      </x:c>
      <x:c r="K20" s="18" t="str">
        <x:v>uncertain</x:v>
      </x:c>
      <x:c r="L20" s="18" t="str">
        <x:v>코 때리고 미안해하는 챌린지 → 공개 콘텐츠 생성·검색 → 플랫폼 유통 관찰</x:v>
      </x:c>
      <x:c r="M20" s="18" t="str">
        <x:v>플랫폼에 콘텐츠가 존재한다는 사실만 확인했으며 매출·주가 상승의 인과관계나 투자 수익을 의미하지 않습니다.</x:v>
      </x:c>
      <x:c r="N20" s="18" t="str">
        <x:v>revalidated_with_independent_public_observation; Google Trends=query_url_recorded_no_numeric_archive; X=historical_rank_or_total_count_unavailable</x:v>
      </x:c>
    </x:row>
    <x:row r="21">
      <x:c r="A21" s="18" t="str">
        <x:v>kr_202607_yar_song</x:v>
      </x:c>
      <x:c r="B21" s="18" t="str">
        <x:v>야르송</x:v>
      </x:c>
      <x:c r="C21" s="18" t="str">
        <x:v>2026년 한국 공개 트렌드 자료와 독립 공개 플랫폼 관측에서 야르송 관련 콘텐츠 생성·재생산이 확인된 사후 재구성 트렌드다. 당시 실시간 순위나 전체 언급량을 복원한 것이 아니며 투자 조언이 아니다.</x:v>
      </x:c>
      <x:c r="D21" s="18" t="str">
        <x:v>music</x:v>
      </x:c>
      <x:c r="E21" s="18" t="str">
        <x:v>7d,30d,90d</x:v>
      </x:c>
      <x:c r="F21" s="18" t="str">
        <x:v>초기 조사: 공개 월간/주제별 트렌드 자료에 후보로 등장</x:v>
      </x:c>
      <x:c r="G21" s="18" t="str">
        <x:v>https://blog.hsad.co.kr/3760</x:v>
      </x:c>
      <x:c r="H21" s="18" t="str">
        <x:v>https://www.youtube.com/results?search_query=%EC%95%BC%EB%A5%B4%EC%86%A1</x:v>
      </x:c>
      <x:c r="I21" s="20" t="n">
        <x:v>3</x:v>
      </x:c>
      <x:c r="J21" s="18" t="str">
        <x:v>ready</x:v>
      </x:c>
      <x:c r="K21" s="18" t="str">
        <x:v>uncertain</x:v>
      </x:c>
      <x:c r="L21" s="18" t="str">
        <x:v>야르송 → 공개 콘텐츠 생성·검색 → 플랫폼 유통 관찰</x:v>
      </x:c>
      <x:c r="M21" s="18" t="str">
        <x:v>플랫폼에 콘텐츠가 존재한다는 사실만 확인했으며 매출·주가 상승의 인과관계나 투자 수익을 의미하지 않습니다.</x:v>
      </x:c>
      <x:c r="N21" s="18" t="str">
        <x:v>revalidated_with_independent_public_observation; Google Trends=query_url_recorded_no_numeric_archive; X=historical_rank_or_total_count_unavailable</x:v>
      </x:c>
    </x:row>
    <x:row r="22">
      <x:c r="A22" s="18" t="str">
        <x:v>kr_202607_actor_challenge</x:v>
      </x:c>
      <x:c r="B22" s="18" t="str">
        <x:v>배우 도전 N일차</x:v>
      </x:c>
      <x:c r="C22" s="18" t="str">
        <x:v>2026년 한국 공개 트렌드 자료와 독립 공개 플랫폼 관측에서 배우 도전 N일차 관련 콘텐츠 생성·재생산이 확인된 사후 재구성 트렌드다. 당시 실시간 순위나 전체 언급량을 복원한 것이 아니며 투자 조언이 아니다.</x:v>
      </x:c>
      <x:c r="D22" s="18" t="str">
        <x:v>culture_meme</x:v>
      </x:c>
      <x:c r="E22" s="18" t="str">
        <x:v>7d,30d,90d</x:v>
      </x:c>
      <x:c r="F22" s="18" t="str">
        <x:v>초기 조사: 공개 월간/주제별 트렌드 자료에 후보로 등장</x:v>
      </x:c>
      <x:c r="G22" s="18" t="str">
        <x:v>https://blog.hsad.co.kr/3760</x:v>
      </x:c>
      <x:c r="H22" s="18" t="str">
        <x:v>https://www.youtube.com/results?search_query=%EB%B0%B0%EC%9A%B0%20%EB%8F%84%EC%A0%84%20N%EC%9D%BC%EC%B0%A8</x:v>
      </x:c>
      <x:c r="I22" s="20" t="n">
        <x:v>3</x:v>
      </x:c>
      <x:c r="J22" s="18" t="str">
        <x:v>ready</x:v>
      </x:c>
      <x:c r="K22" s="18" t="str">
        <x:v>uncertain</x:v>
      </x:c>
      <x:c r="L22" s="18" t="str">
        <x:v>배우 도전 N일차 → 공개 콘텐츠 생성·검색 → 플랫폼 유통 관찰</x:v>
      </x:c>
      <x:c r="M22" s="18" t="str">
        <x:v>플랫폼에 콘텐츠가 존재한다는 사실만 확인했으며 매출·주가 상승의 인과관계나 투자 수익을 의미하지 않습니다.</x:v>
      </x:c>
      <x:c r="N22" s="18" t="str">
        <x:v>revalidated_with_independent_public_observation; Google Trends=query_url_recorded_no_numeric_archive; X=historical_rank_or_total_count_unavailable</x:v>
      </x:c>
    </x:row>
    <x:row r="23">
      <x:c r="A23" s="18" t="str">
        <x:v>kr_202607_taptap_tinyhand</x:v>
      </x:c>
      <x:c r="B23" s="18" t="str">
        <x:v>탭탭·태뱁 숏폼</x:v>
      </x:c>
      <x:c r="C23" s="18" t="str">
        <x:v>2026년 한국 공개 트렌드 자료와 독립 공개 플랫폼 관측에서 탭탭·태뱁 숏폼 관련 콘텐츠 생성·재생산이 확인된 사후 재구성 트렌드다. 당시 실시간 순위나 전체 언급량을 복원한 것이 아니며 투자 조언이 아니다.</x:v>
      </x:c>
      <x:c r="D23" s="18" t="str">
        <x:v>culture_meme</x:v>
      </x:c>
      <x:c r="E23" s="18" t="str">
        <x:v>30d,90d</x:v>
      </x:c>
      <x:c r="F23" s="18" t="str">
        <x:v>초기 조사: 공개 월간/주제별 트렌드 자료에 후보로 등장</x:v>
      </x:c>
      <x:c r="G23" s="18" t="str">
        <x:v>https://blog.hsad.co.kr/3760</x:v>
      </x:c>
      <x:c r="H23" s="18" t="str">
        <x:v>https://www.youtube.com/results?search_query=%ED%83%AD%ED%83%AD%C2%B7%ED%83%9C%EB%B1%81%20%EC%88%8F%ED%8F%BC</x:v>
      </x:c>
      <x:c r="I23" s="20" t="n">
        <x:v>3</x:v>
      </x:c>
      <x:c r="J23" s="18" t="str">
        <x:v>ready</x:v>
      </x:c>
      <x:c r="K23" s="18" t="str">
        <x:v>uncertain</x:v>
      </x:c>
      <x:c r="L23" s="18" t="str">
        <x:v>탭탭·태뱁 숏폼 → 공개 콘텐츠 생성·검색 → 플랫폼 유통 관찰</x:v>
      </x:c>
      <x:c r="M23" s="18" t="str">
        <x:v>플랫폼에 콘텐츠가 존재한다는 사실만 확인했으며 매출·주가 상승의 인과관계나 투자 수익을 의미하지 않습니다.</x:v>
      </x:c>
      <x:c r="N23" s="18" t="str">
        <x:v>revalidated_with_independent_public_observation; Google Trends=query_url_recorded_no_numeric_archive; X=historical_rank_or_total_count_unavailable</x:v>
      </x:c>
    </x:row>
    <x:row r="24">
      <x:c r="A24" s="18" t="str">
        <x:v>kr_202607_malrang_slangi</x:v>
      </x:c>
      <x:c r="B24" s="18" t="str">
        <x:v>말랑이·슬랑이·왁뿌볼</x:v>
      </x:c>
      <x:c r="C24" s="18" t="str">
        <x:v>2026년 한국 공개 트렌드 자료와 독립 공개 플랫폼 관측에서 말랑이·슬랑이·왁뿌볼 관련 콘텐츠 생성·재생산이 확인된 사후 재구성 트렌드다. 당시 실시간 순위나 전체 언급량을 복원한 것이 아니며 투자 조언이 아니다.</x:v>
      </x:c>
      <x:c r="D24" s="18" t="str">
        <x:v>culture_meme</x:v>
      </x:c>
      <x:c r="E24" s="18" t="str">
        <x:v>30d,90d</x:v>
      </x:c>
      <x:c r="F24" s="18" t="str">
        <x:v>초기 조사: 공개 월간/주제별 트렌드 자료에 후보로 등장</x:v>
      </x:c>
      <x:c r="G24" s="18" t="str">
        <x:v>https://blog.hsad.co.kr/3760</x:v>
      </x:c>
      <x:c r="H24" s="18" t="str">
        <x:v>https://www.youtube.com/results?search_query=%EB%A7%90%EB%9E%91%EC%9D%B4%C2%B7%EC%8A%AC%EB%9E%91%EC%9D%B4%C2%B7%EC%99%81%EB%BF%8C%EB%B3%BC</x:v>
      </x:c>
      <x:c r="I24" s="20" t="n">
        <x:v>3</x:v>
      </x:c>
      <x:c r="J24" s="18" t="str">
        <x:v>ready</x:v>
      </x:c>
      <x:c r="K24" s="18" t="str">
        <x:v>uncertain</x:v>
      </x:c>
      <x:c r="L24" s="18" t="str">
        <x:v>말랑이·슬랑이·왁뿌볼 → 공개 콘텐츠 생성·검색 → 플랫폼 유통 관찰</x:v>
      </x:c>
      <x:c r="M24" s="18" t="str">
        <x:v>플랫폼에 콘텐츠가 존재한다는 사실만 확인했으며 매출·주가 상승의 인과관계나 투자 수익을 의미하지 않습니다.</x:v>
      </x:c>
      <x:c r="N24" s="18" t="str">
        <x:v>revalidated_with_independent_public_observation; Google Trends=query_url_recorded_no_numeric_archive; X=historical_rank_or_total_count_unavailable</x:v>
      </x:c>
    </x:row>
    <x:row r="25">
      <x:c r="A25" s="18" t="str">
        <x:v>kr_202607_open_toe_socks</x:v>
      </x:c>
      <x:c r="B25" s="18" t="str">
        <x:v>오픈토삭스</x:v>
      </x:c>
      <x:c r="C25" s="18" t="str">
        <x:v>2026년 한국 공개 트렌드 자료와 독립 공개 플랫폼 관측에서 오픈토삭스 관련 콘텐츠 생성·재생산이 확인된 사후 재구성 트렌드다. 당시 실시간 순위나 전체 언급량을 복원한 것이 아니며 투자 조언이 아니다.</x:v>
      </x:c>
      <x:c r="D25" s="18" t="str">
        <x:v>fashion_beauty_life</x:v>
      </x:c>
      <x:c r="E25" s="18" t="str">
        <x:v>30d,90d</x:v>
      </x:c>
      <x:c r="F25" s="18" t="str">
        <x:v>초기 조사: 공개 월간/주제별 트렌드 자료에 후보로 등장</x:v>
      </x:c>
      <x:c r="G25" s="18" t="str">
        <x:v>https://gogumafarm.kr/%EC%98%A4%ED%94%88%ED%86%A0%EC%82%AD%EC%8A%A4%C2%B7%EC%95%94%EC%BB%A4%ED%94%84%C2%B7%EB%84%A4%ED%8A%B8%EB%B0%B1-%EB%8B%B9%EC%9E%A5-%EC%8D%A8%EB%A8%B9%EC%9D%84-%EC%88%98-%EC%9E%88%EB%8A%94/</x:v>
      </x:c>
      <x:c r="H25" s="18" t="str">
        <x:v>https://www.youtube.com/results?search_query=%EC%98%A4%ED%94%88%ED%86%A0%EC%82%AD%EC%8A%A4</x:v>
      </x:c>
      <x:c r="I25" s="20" t="n">
        <x:v>3</x:v>
      </x:c>
      <x:c r="J25" s="18" t="str">
        <x:v>ready</x:v>
      </x:c>
      <x:c r="K25" s="18" t="str">
        <x:v>uncertain</x:v>
      </x:c>
      <x:c r="L25" s="18" t="str">
        <x:v>오픈토삭스 → 공개 콘텐츠 생성·검색 → 플랫폼 유통 관찰</x:v>
      </x:c>
      <x:c r="M25" s="18" t="str">
        <x:v>플랫폼에 콘텐츠가 존재한다는 사실만 확인했으며 매출·주가 상승의 인과관계나 투자 수익을 의미하지 않습니다.</x:v>
      </x:c>
      <x:c r="N25" s="18" t="str">
        <x:v>revalidated_with_independent_public_observation; Google Trends=query_url_recorded_no_numeric_archive; X=historical_rank_or_total_count_unavailable</x:v>
      </x:c>
    </x:row>
    <x:row r="26">
      <x:c r="A26" s="18" t="str">
        <x:v>kr_202607_neungsohwa_photo</x:v>
      </x:c>
      <x:c r="B26" s="18" t="str">
        <x:v>능소화 인증샷</x:v>
      </x:c>
      <x:c r="C26" s="18" t="str">
        <x:v>2026년 한국 공개 트렌드 자료와 독립 공개 플랫폼 관측에서 능소화 인증샷 관련 콘텐츠 생성·재생산이 확인된 사후 재구성 트렌드다. 당시 실시간 순위나 전체 언급량을 복원한 것이 아니며 투자 조언이 아니다.</x:v>
      </x:c>
      <x:c r="D26" s="18" t="str">
        <x:v>travel_life</x:v>
      </x:c>
      <x:c r="E26" s="18" t="str">
        <x:v>30d,90d</x:v>
      </x:c>
      <x:c r="F26" s="18" t="str">
        <x:v>초기 조사: 공개 월간/주제별 트렌드 자료에 후보로 등장</x:v>
      </x:c>
      <x:c r="G26" s="18" t="str">
        <x:v>https://gogumafarm.kr/%EC%98%A4%ED%94%88%ED%86%A0%EC%82%AD%EC%8A%A4%C2%B7%EC%95%94%EC%BB%A4%ED%94%84%C2%B7%EB%84%A4%ED%8A%B8%EB%B0%B1-%EB%8B%B9%EC%9E%A5-%EC%8D%A8%EB%A8%B9%EC%9D%84-%EC%88%98-%EC%9E%88%EB%8A%94/</x:v>
      </x:c>
      <x:c r="H26" s="18" t="str">
        <x:v>https://www.youtube.com/results?search_query=%EB%8A%A5%EC%86%8C%ED%99%94%20%EC%9D%B8%EC%A6%9D%EC%83%B7</x:v>
      </x:c>
      <x:c r="I26" s="20" t="n">
        <x:v>3</x:v>
      </x:c>
      <x:c r="J26" s="18" t="str">
        <x:v>ready</x:v>
      </x:c>
      <x:c r="K26" s="18" t="str">
        <x:v>uncertain</x:v>
      </x:c>
      <x:c r="L26" s="18" t="str">
        <x:v>능소화 인증샷 → 공개 콘텐츠 생성·검색 → 플랫폼 유통 관찰</x:v>
      </x:c>
      <x:c r="M26" s="18" t="str">
        <x:v>플랫폼에 콘텐츠가 존재한다는 사실만 확인했으며 매출·주가 상승의 인과관계나 투자 수익을 의미하지 않습니다.</x:v>
      </x:c>
      <x:c r="N26" s="18" t="str">
        <x:v>revalidated_with_independent_public_observation; Google Trends=query_url_recorded_no_numeric_archive; X=historical_rank_or_total_count_unavailable</x:v>
      </x:c>
    </x:row>
    <x:row r="27">
      <x:c r="A27" s="18" t="str">
        <x:v>kr_202607_arm_cuff</x:v>
      </x:c>
      <x:c r="B27" s="18" t="str">
        <x:v>암커프</x:v>
      </x:c>
      <x:c r="C27" s="18" t="str">
        <x:v>2026년 한국 공개 트렌드 자료와 독립 공개 플랫폼 관측에서 암커프 관련 콘텐츠 생성·재생산이 확인된 사후 재구성 트렌드다. 당시 실시간 순위나 전체 언급량을 복원한 것이 아니며 투자 조언이 아니다.</x:v>
      </x:c>
      <x:c r="D27" s="18" t="str">
        <x:v>fashion_beauty_life</x:v>
      </x:c>
      <x:c r="E27" s="18" t="str">
        <x:v>30d,90d</x:v>
      </x:c>
      <x:c r="F27" s="18" t="str">
        <x:v>초기 조사: 공개 월간/주제별 트렌드 자료에 후보로 등장</x:v>
      </x:c>
      <x:c r="G27" s="18" t="str">
        <x:v>https://gogumafarm.kr/%EC%98%A4%ED%94%88%ED%86%A0%EC%82%AD%EC%8A%A4%C2%B7%EC%95%94%EC%BB%A4%ED%94%84%C2%B7%EB%84%A4%ED%8A%B8%EB%B0%B1-%EB%8B%B9%EC%9E%A5-%EC%8D%A8%EB%A8%B9%EC%9D%84-%EC%88%98-%EC%9E%88%EB%8A%94/</x:v>
      </x:c>
      <x:c r="H27" s="18" t="str">
        <x:v>https://www.youtube.com/results?search_query=%EC%95%94%EC%BB%A4%ED%94%84</x:v>
      </x:c>
      <x:c r="I27" s="20" t="n">
        <x:v>3</x:v>
      </x:c>
      <x:c r="J27" s="18" t="str">
        <x:v>ready</x:v>
      </x:c>
      <x:c r="K27" s="18" t="str">
        <x:v>uncertain</x:v>
      </x:c>
      <x:c r="L27" s="18" t="str">
        <x:v>암커프 → 공개 콘텐츠 생성·검색 → 플랫폼 유통 관찰</x:v>
      </x:c>
      <x:c r="M27" s="18" t="str">
        <x:v>플랫폼에 콘텐츠가 존재한다는 사실만 확인했으며 매출·주가 상승의 인과관계나 투자 수익을 의미하지 않습니다.</x:v>
      </x:c>
      <x:c r="N27" s="18" t="str">
        <x:v>revalidated_with_independent_public_observation; Google Trends=query_url_recorded_no_numeric_archive; X=historical_rank_or_total_count_unavailable</x:v>
      </x:c>
    </x:row>
    <x:row r="28">
      <x:c r="A28" s="18" t="str">
        <x:v>kr_202607_net_bag_diy</x:v>
      </x:c>
      <x:c r="B28" s="18" t="str">
        <x:v>네트백 DIY</x:v>
      </x:c>
      <x:c r="C28" s="18" t="str">
        <x:v>2026년 한국 공개 트렌드 자료와 독립 공개 플랫폼 관측에서 네트백 DIY 관련 콘텐츠 생성·재생산이 확인된 사후 재구성 트렌드다. 당시 실시간 순위나 전체 언급량을 복원한 것이 아니며 투자 조언이 아니다.</x:v>
      </x:c>
      <x:c r="D28" s="18" t="str">
        <x:v>fashion_beauty_life</x:v>
      </x:c>
      <x:c r="E28" s="18" t="str">
        <x:v>30d,90d</x:v>
      </x:c>
      <x:c r="F28" s="18" t="str">
        <x:v>초기 조사: 공개 월간/주제별 트렌드 자료에 후보로 등장</x:v>
      </x:c>
      <x:c r="G28" s="18" t="str">
        <x:v>https://gogumafarm.kr/%EC%98%A4%ED%94%88%ED%86%A0%EC%82%AD%EC%8A%A4%C2%B7%EC%95%94%EC%BB%A4%ED%94%84%C2%B7%EB%84%A4%ED%8A%B8%EB%B0%B1-%EB%8B%B9%EC%9E%A5-%EC%8D%A8%EB%A8%B9%EC%9D%84-%EC%88%98-%EC%9E%88%EB%8A%94/</x:v>
      </x:c>
      <x:c r="H28" s="18" t="str">
        <x:v>https://www.youtube.com/results?search_query=%EB%84%A4%ED%8A%B8%EB%B0%B1%20DIY</x:v>
      </x:c>
      <x:c r="I28" s="20" t="n">
        <x:v>3</x:v>
      </x:c>
      <x:c r="J28" s="18" t="str">
        <x:v>ready</x:v>
      </x:c>
      <x:c r="K28" s="18" t="str">
        <x:v>uncertain</x:v>
      </x:c>
      <x:c r="L28" s="18" t="str">
        <x:v>네트백 DIY → 공개 콘텐츠 생성·검색 → 플랫폼 유통 관찰</x:v>
      </x:c>
      <x:c r="M28" s="18" t="str">
        <x:v>플랫폼에 콘텐츠가 존재한다는 사실만 확인했으며 매출·주가 상승의 인과관계나 투자 수익을 의미하지 않습니다.</x:v>
      </x:c>
      <x:c r="N28" s="18" t="str">
        <x:v>revalidated_with_independent_public_observation; Google Trends=query_url_recorded_no_numeric_archive; X=historical_rank_or_total_count_unavailable</x:v>
      </x:c>
    </x:row>
    <x:row r="29">
      <x:c r="A29" s="18" t="str">
        <x:v>kr_202607_umbrella_cap</x:v>
      </x:c>
      <x:c r="B29" s="18" t="str">
        <x:v>우산캡</x:v>
      </x:c>
      <x:c r="C29" s="18" t="str">
        <x:v>2026년 한국 공개 트렌드 자료와 독립 공개 플랫폼 관측에서 우산캡 관련 콘텐츠 생성·재생산이 확인된 사후 재구성 트렌드다. 당시 실시간 순위나 전체 언급량을 복원한 것이 아니며 투자 조언이 아니다.</x:v>
      </x:c>
      <x:c r="D29" s="18" t="str">
        <x:v>culture_meme</x:v>
      </x:c>
      <x:c r="E29" s="18" t="str">
        <x:v>30d,90d</x:v>
      </x:c>
      <x:c r="F29" s="18" t="str">
        <x:v>초기 조사: 공개 월간/주제별 트렌드 자료에 후보로 등장</x:v>
      </x:c>
      <x:c r="G29" s="18" t="str">
        <x:v>https://gogumafarm.kr/%EC%98%A4%ED%94%88%ED%86%A0%EC%82%AD%EC%8A%A4%C2%B7%EC%95%94%EC%BB%A4%ED%94%84%C2%B7%EB%84%A4%ED%8A%B8%EB%B0%B1-%EB%8B%B9%EC%9E%A5-%EC%8D%A8%EB%A8%B9%EC%9D%84-%EC%88%98-%EC%9E%88%EB%8A%94/</x:v>
      </x:c>
      <x:c r="H29" s="18" t="str">
        <x:v>https://www.youtube.com/results?search_query=%EC%9A%B0%EC%82%B0%EC%BA%A1</x:v>
      </x:c>
      <x:c r="I29" s="20" t="n">
        <x:v>3</x:v>
      </x:c>
      <x:c r="J29" s="18" t="str">
        <x:v>ready</x:v>
      </x:c>
      <x:c r="K29" s="18" t="str">
        <x:v>uncertain</x:v>
      </x:c>
      <x:c r="L29" s="18" t="str">
        <x:v>우산캡 → 공개 콘텐츠 생성·검색 → 플랫폼 유통 관찰</x:v>
      </x:c>
      <x:c r="M29" s="18" t="str">
        <x:v>플랫폼에 콘텐츠가 존재한다는 사실만 확인했으며 매출·주가 상승의 인과관계나 투자 수익을 의미하지 않습니다.</x:v>
      </x:c>
      <x:c r="N29" s="18" t="str">
        <x:v>revalidated_with_independent_public_observation; Google Trends=query_url_recorded_no_numeric_archive; X=historical_rank_or_total_count_unavailable</x:v>
      </x:c>
    </x:row>
    <x:row r="30">
      <x:c r="A30" s="18" t="str">
        <x:v>kr_202607_tanning_character_goods</x:v>
      </x:c>
      <x:c r="B30" s="18" t="str">
        <x:v>태닝 캐릭터 굿즈</x:v>
      </x:c>
      <x:c r="C30" s="18" t="str">
        <x:v>2026년 한국 공개 트렌드 자료와 독립 공개 플랫폼 관측에서 태닝 캐릭터 굿즈 관련 콘텐츠 생성·재생산이 확인된 사후 재구성 트렌드다. 당시 실시간 순위나 전체 언급량을 복원한 것이 아니며 투자 조언이 아니다.</x:v>
      </x:c>
      <x:c r="D30" s="18" t="str">
        <x:v>culture_meme</x:v>
      </x:c>
      <x:c r="E30" s="18" t="str">
        <x:v>30d,90d</x:v>
      </x:c>
      <x:c r="F30" s="18" t="str">
        <x:v>초기 조사: 공개 월간/주제별 트렌드 자료에 후보로 등장</x:v>
      </x:c>
      <x:c r="G30" s="18" t="str">
        <x:v>https://gogumafarm.kr/%EC%98%A4%ED%94%88%ED%86%A0%EC%82%AD%EC%8A%A4%C2%B7%EC%95%94%EC%BB%A4%ED%94%84%C2%B7%EB%84%A4%ED%8A%B8%EB%B0%B1-%EB%8B%B9%EC%9E%A5-%EC%8D%A8%EB%A8%B9%EC%9D%84-%EC%88%98-%EC%9E%88%EB%8A%94/</x:v>
      </x:c>
      <x:c r="H30" s="18" t="str">
        <x:v>https://www.youtube.com/results?search_query=%ED%83%9C%EB%8B%9D%20%EC%BA%90%EB%A6%AD%ED%84%B0%20%EA%B5%BF%EC%A6%88</x:v>
      </x:c>
      <x:c r="I30" s="20" t="n">
        <x:v>3</x:v>
      </x:c>
      <x:c r="J30" s="18" t="str">
        <x:v>ready</x:v>
      </x:c>
      <x:c r="K30" s="18" t="str">
        <x:v>uncertain</x:v>
      </x:c>
      <x:c r="L30" s="18" t="str">
        <x:v>태닝 캐릭터 굿즈 → 공개 콘텐츠 생성·검색 → 플랫폼 유통 관찰</x:v>
      </x:c>
      <x:c r="M30" s="18" t="str">
        <x:v>플랫폼에 콘텐츠가 존재한다는 사실만 확인했으며 매출·주가 상승의 인과관계나 투자 수익을 의미하지 않습니다.</x:v>
      </x:c>
      <x:c r="N30" s="18" t="str">
        <x:v>revalidated_with_independent_public_observation; Google Trends=query_url_recorded_no_numeric_archive; X=historical_rank_or_total_count_unavailable</x:v>
      </x:c>
    </x:row>
    <x:row r="31">
      <x:c r="A31" s="18" t="str">
        <x:v>kr_202607_jellyfish_design_goods</x:v>
      </x:c>
      <x:c r="B31" s="18" t="str">
        <x:v>해파리 디자인 굿즈</x:v>
      </x:c>
      <x:c r="C31" s="18" t="str">
        <x:v>2026년 한국 공개 트렌드 자료와 독립 공개 플랫폼 관측에서 해파리 디자인 굿즈 관련 콘텐츠 생성·재생산이 확인된 사후 재구성 트렌드다. 당시 실시간 순위나 전체 언급량을 복원한 것이 아니며 투자 조언이 아니다.</x:v>
      </x:c>
      <x:c r="D31" s="18" t="str">
        <x:v>culture_meme</x:v>
      </x:c>
      <x:c r="E31" s="18" t="str">
        <x:v>30d,90d</x:v>
      </x:c>
      <x:c r="F31" s="18" t="str">
        <x:v>초기 조사: 공개 월간/주제별 트렌드 자료에 후보로 등장</x:v>
      </x:c>
      <x:c r="G31" s="18" t="str">
        <x:v>https://gogumafarm.kr/%EC%98%A4%ED%94%88%ED%86%A0%EC%82%AD%EC%8A%A4%C2%B7%EC%95%94%EC%BB%A4%ED%94%84%C2%B7%EB%84%A4%ED%8A%B8%EB%B0%B1-%EB%8B%B9%EC%9E%A5-%EC%8D%A8%EB%A8%B9%EC%9D%84-%EC%88%98-%EC%9E%88%EB%8A%94/</x:v>
      </x:c>
      <x:c r="H31" s="18" t="str">
        <x:v>https://www.youtube.com/results?search_query=%ED%95%B4%ED%8C%8C%EB%A6%AC%20%EB%94%94%EC%9E%90%EC%9D%B8%20%EA%B5%BF%EC%A6%88</x:v>
      </x:c>
      <x:c r="I31" s="20" t="n">
        <x:v>3</x:v>
      </x:c>
      <x:c r="J31" s="18" t="str">
        <x:v>ready</x:v>
      </x:c>
      <x:c r="K31" s="18" t="str">
        <x:v>uncertain</x:v>
      </x:c>
      <x:c r="L31" s="18" t="str">
        <x:v>해파리 디자인 굿즈 → 공개 콘텐츠 생성·검색 → 플랫폼 유통 관찰</x:v>
      </x:c>
      <x:c r="M31" s="18" t="str">
        <x:v>플랫폼에 콘텐츠가 존재한다는 사실만 확인했으며 매출·주가 상승의 인과관계나 투자 수익을 의미하지 않습니다.</x:v>
      </x:c>
      <x:c r="N31" s="18" t="str">
        <x:v>revalidated_with_independent_public_observation; Google Trends=query_url_recorded_no_numeric_archive; X=historical_rank_or_total_count_unavailable</x:v>
      </x:c>
    </x:row>
    <x:row r="32">
      <x:c r="A32" s="18" t="str">
        <x:v>kr_202607_lemoncore</x:v>
      </x:c>
      <x:c r="B32" s="18" t="str">
        <x:v>레몬코어</x:v>
      </x:c>
      <x:c r="C32" s="18" t="str">
        <x:v>2026년 한국 공개 트렌드 자료와 독립 공개 플랫폼 관측에서 레몬코어 관련 콘텐츠 생성·재생산이 확인된 사후 재구성 트렌드다. 당시 실시간 순위나 전체 언급량을 복원한 것이 아니며 투자 조언이 아니다.</x:v>
      </x:c>
      <x:c r="D32" s="18" t="str">
        <x:v>fashion_beauty_life</x:v>
      </x:c>
      <x:c r="E32" s="18" t="str">
        <x:v>30d,90d</x:v>
      </x:c>
      <x:c r="F32" s="18" t="str">
        <x:v>초기 조사: 공개 월간/주제별 트렌드 자료에 후보로 등장</x:v>
      </x:c>
      <x:c r="G32" s="18" t="str">
        <x:v>https://gogumafarm.kr/%EC%98%A4%ED%94%88%ED%86%A0%EC%82%AD%EC%8A%A4%C2%B7%EC%95%94%EC%BB%A4%ED%94%84%C2%B7%EB%84%A4%ED%8A%B8%EB%B0%B1-%EB%8B%B9%EC%9E%A5-%EC%8D%A8%EB%A8%B9%EC%9D%84-%EC%88%98-%EC%9E%88%EB%8A%94/</x:v>
      </x:c>
      <x:c r="H32" s="18" t="str">
        <x:v>https://www.youtube.com/results?search_query=%EB%A0%88%EB%AA%AC%EC%BD%94%EC%96%B4</x:v>
      </x:c>
      <x:c r="I32" s="20" t="n">
        <x:v>3</x:v>
      </x:c>
      <x:c r="J32" s="18" t="str">
        <x:v>ready</x:v>
      </x:c>
      <x:c r="K32" s="18" t="str">
        <x:v>uncertain</x:v>
      </x:c>
      <x:c r="L32" s="18" t="str">
        <x:v>레몬코어 → 공개 콘텐츠 생성·검색 → 플랫폼 유통 관찰</x:v>
      </x:c>
      <x:c r="M32" s="18" t="str">
        <x:v>플랫폼에 콘텐츠가 존재한다는 사실만 확인했으며 매출·주가 상승의 인과관계나 투자 수익을 의미하지 않습니다.</x:v>
      </x:c>
      <x:c r="N32" s="18" t="str">
        <x:v>revalidated_with_independent_public_observation; Google Trends=query_url_recorded_no_numeric_archive; X=historical_rank_or_total_count_unavailable</x:v>
      </x:c>
    </x:row>
    <x:row r="33">
      <x:c r="A33" s="18" t="str">
        <x:v>kr_202607_cream_soda_goods</x:v>
      </x:c>
      <x:c r="B33" s="18" t="str">
        <x:v>크림소다 굿즈</x:v>
      </x:c>
      <x:c r="C33" s="18" t="str">
        <x:v>2026년 한국 공개 트렌드 자료와 독립 공개 플랫폼 관측에서 크림소다 굿즈 관련 콘텐츠 생성·재생산이 확인된 사후 재구성 트렌드다. 당시 실시간 순위나 전체 언급량을 복원한 것이 아니며 투자 조언이 아니다.</x:v>
      </x:c>
      <x:c r="D33" s="18" t="str">
        <x:v>culture_meme</x:v>
      </x:c>
      <x:c r="E33" s="18" t="str">
        <x:v>30d,90d</x:v>
      </x:c>
      <x:c r="F33" s="18" t="str">
        <x:v>초기 조사: 공개 월간/주제별 트렌드 자료에 후보로 등장</x:v>
      </x:c>
      <x:c r="G33" s="18" t="str">
        <x:v>https://gogumafarm.kr/%EC%98%A4%ED%94%88%ED%86%A0%EC%82%AD%EC%8A%A4%C2%B7%EC%95%94%EC%BB%A4%ED%94%84%C2%B7%EB%84%A4%ED%8A%B8%EB%B0%B1-%EB%8B%B9%EC%9E%A5-%EC%8D%A8%EB%A8%B9%EC%9D%84-%EC%88%98-%EC%9E%88%EB%8A%94/</x:v>
      </x:c>
      <x:c r="H33" s="18" t="str">
        <x:v>https://www.youtube.com/results?search_query=%ED%81%AC%EB%A6%BC%EC%86%8C%EB%8B%A4%20%EA%B5%BF%EC%A6%88</x:v>
      </x:c>
      <x:c r="I33" s="20" t="n">
        <x:v>3</x:v>
      </x:c>
      <x:c r="J33" s="18" t="str">
        <x:v>ready</x:v>
      </x:c>
      <x:c r="K33" s="18" t="str">
        <x:v>uncertain</x:v>
      </x:c>
      <x:c r="L33" s="18" t="str">
        <x:v>크림소다 굿즈 → 공개 콘텐츠 생성·검색 → 플랫폼 유통 관찰</x:v>
      </x:c>
      <x:c r="M33" s="18" t="str">
        <x:v>플랫폼에 콘텐츠가 존재한다는 사실만 확인했으며 매출·주가 상승의 인과관계나 투자 수익을 의미하지 않습니다.</x:v>
      </x:c>
      <x:c r="N33" s="18" t="str">
        <x:v>revalidated_with_independent_public_observation; Google Trends=query_url_recorded_no_numeric_archive; X=historical_rank_or_total_count_unavailable</x:v>
      </x:c>
    </x:row>
    <x:row r="34">
      <x:c r="A34" s="18" t="str">
        <x:v>kr_202607_seasonal_fruit_poetry</x:v>
      </x:c>
      <x:c r="B34" s="18" t="str">
        <x:v>제철 과일 백일장</x:v>
      </x:c>
      <x:c r="C34" s="18" t="str">
        <x:v>2026년 한국 공개 트렌드 자료와 독립 공개 플랫폼 관측에서 제철 과일 백일장 관련 콘텐츠 생성·재생산이 확인된 사후 재구성 트렌드다. 당시 실시간 순위나 전체 언급량을 복원한 것이 아니며 투자 조언이 아니다.</x:v>
      </x:c>
      <x:c r="D34" s="18" t="str">
        <x:v>culture_meme</x:v>
      </x:c>
      <x:c r="E34" s="18" t="str">
        <x:v>30d,90d</x:v>
      </x:c>
      <x:c r="F34" s="18" t="str">
        <x:v>초기 조사: 공개 월간/주제별 트렌드 자료에 후보로 등장</x:v>
      </x:c>
      <x:c r="G34" s="18" t="str">
        <x:v>https://gogumafarm.kr/%EC%98%A4%ED%94%88%ED%86%A0%EC%82%AD%EC%8A%A4%C2%B7%EC%95%94%EC%BB%A4%ED%94%84%C2%B7%EB%84%A4%ED%8A%B8%EB%B0%B1-%EB%8B%B9%EC%9E%A5-%EC%8D%A8%EB%A8%B9%EC%9D%84-%EC%88%98-%EC%9E%88%EB%8A%94/</x:v>
      </x:c>
      <x:c r="H34" s="18" t="str">
        <x:v>https://www.youtube.com/results?search_query=%EC%A0%9C%EC%B2%A0%20%EA%B3%BC%EC%9D%BC%20%EB%B0%B1%EC%9D%BC%EC%9E%A5</x:v>
      </x:c>
      <x:c r="I34" s="20" t="n">
        <x:v>3</x:v>
      </x:c>
      <x:c r="J34" s="18" t="str">
        <x:v>ready</x:v>
      </x:c>
      <x:c r="K34" s="18" t="str">
        <x:v>uncertain</x:v>
      </x:c>
      <x:c r="L34" s="18" t="str">
        <x:v>제철 과일 백일장 → 공개 콘텐츠 생성·검색 → 플랫폼 유통 관찰</x:v>
      </x:c>
      <x:c r="M34" s="18" t="str">
        <x:v>플랫폼에 콘텐츠가 존재한다는 사실만 확인했으며 매출·주가 상승의 인과관계나 투자 수익을 의미하지 않습니다.</x:v>
      </x:c>
      <x:c r="N34" s="18" t="str">
        <x:v>revalidated_with_independent_public_observation; Google Trends=query_url_recorded_no_numeric_archive; X=historical_rank_or_total_count_unavailable</x:v>
      </x:c>
    </x:row>
    <x:row r="35">
      <x:c r="A35" s="18" t="str">
        <x:v>kr_202606_backrooms</x:v>
      </x:c>
      <x:c r="B35" s="18" t="str">
        <x:v>백룸</x:v>
      </x:c>
      <x:c r="C35" s="18" t="str">
        <x:v>2026년 한국 공개 트렌드 자료와 독립 공개 플랫폼 관측에서 백룸 관련 콘텐츠 생성·재생산이 확인된 사후 재구성 트렌드다. 당시 실시간 순위나 전체 언급량을 복원한 것이 아니며 투자 조언이 아니다.</x:v>
      </x:c>
      <x:c r="D35" s="18" t="str">
        <x:v>content</x:v>
      </x:c>
      <x:c r="E35" s="18" t="str">
        <x:v>30d,90d</x:v>
      </x:c>
      <x:c r="F35" s="18" t="str">
        <x:v>초기 조사: 공개 월간/주제별 트렌드 자료에 후보로 등장</x:v>
      </x:c>
      <x:c r="G35" s="18" t="str">
        <x:v>https://blog.hsad.co.kr/3751</x:v>
      </x:c>
      <x:c r="H35" s="18" t="str">
        <x:v>https://www.youtube.com/results?search_query=%EB%B0%B1%EB%A3%B8</x:v>
      </x:c>
      <x:c r="I35" s="20" t="n">
        <x:v>3</x:v>
      </x:c>
      <x:c r="J35" s="18" t="str">
        <x:v>ready</x:v>
      </x:c>
      <x:c r="K35" s="18" t="str">
        <x:v>uncertain</x:v>
      </x:c>
      <x:c r="L35" s="18" t="str">
        <x:v>백룸 → 공개 콘텐츠 생성·검색 → 플랫폼 유통 관찰</x:v>
      </x:c>
      <x:c r="M35" s="18" t="str">
        <x:v>플랫폼에 콘텐츠가 존재한다는 사실만 확인했으며 매출·주가 상승의 인과관계나 투자 수익을 의미하지 않습니다.</x:v>
      </x:c>
      <x:c r="N35" s="18" t="str">
        <x:v>revalidated_with_independent_public_observation; Google Trends=query_url_recorded_no_numeric_archive; X=historical_rank_or_total_count_unavailable</x:v>
      </x:c>
    </x:row>
    <x:row r="36">
      <x:c r="A36" s="18" t="str">
        <x:v>kr_202606_geoje_yahoo</x:v>
      </x:c>
      <x:c r="B36" s="18" t="str">
        <x:v>거제 야호</x:v>
      </x:c>
      <x:c r="C36" s="18" t="str">
        <x:v>2026년 한국 공개 트렌드 자료와 독립 공개 플랫폼 관측에서 거제 야호 관련 콘텐츠 생성·재생산이 확인된 사후 재구성 트렌드다. 당시 실시간 순위나 전체 언급량을 복원한 것이 아니며 투자 조언이 아니다.</x:v>
      </x:c>
      <x:c r="D36" s="18" t="str">
        <x:v>travel_life</x:v>
      </x:c>
      <x:c r="E36" s="18" t="str">
        <x:v>30d,90d</x:v>
      </x:c>
      <x:c r="F36" s="18" t="str">
        <x:v>초기 조사: 공개 월간/주제별 트렌드 자료에 후보로 등장</x:v>
      </x:c>
      <x:c r="G36" s="18" t="str">
        <x:v>https://blog.hsad.co.kr/3751</x:v>
      </x:c>
      <x:c r="H36" s="18" t="str">
        <x:v>https://www.youtube.com/results?search_query=%EA%B1%B0%EC%A0%9C%20%EC%95%BC%ED%98%B8</x:v>
      </x:c>
      <x:c r="I36" s="20" t="n">
        <x:v>3</x:v>
      </x:c>
      <x:c r="J36" s="18" t="str">
        <x:v>ready</x:v>
      </x:c>
      <x:c r="K36" s="18" t="str">
        <x:v>uncertain</x:v>
      </x:c>
      <x:c r="L36" s="18" t="str">
        <x:v>거제 야호 → 공개 콘텐츠 생성·검색 → 플랫폼 유통 관찰</x:v>
      </x:c>
      <x:c r="M36" s="18" t="str">
        <x:v>플랫폼에 콘텐츠가 존재한다는 사실만 확인했으며 매출·주가 상승의 인과관계나 투자 수익을 의미하지 않습니다.</x:v>
      </x:c>
      <x:c r="N36" s="18" t="str">
        <x:v>revalidated_with_independent_public_observation; Google Trends=query_url_recorded_no_numeric_archive; X=historical_rank_or_total_count_unavailable</x:v>
      </x:c>
    </x:row>
    <x:row r="37">
      <x:c r="A37" s="18" t="str">
        <x:v>kr_202606_youngcreatorcrew</x:v>
      </x:c>
      <x:c r="B37" s="18" t="str">
        <x:v>영크크</x:v>
      </x:c>
      <x:c r="C37" s="18" t="str">
        <x:v>2026년 한국 공개 트렌드 자료와 독립 공개 플랫폼 관측에서 영크크 관련 콘텐츠 생성·재생산이 확인된 사후 재구성 트렌드다. 당시 실시간 순위나 전체 언급량을 복원한 것이 아니며 투자 조언이 아니다.</x:v>
      </x:c>
      <x:c r="D37" s="18" t="str">
        <x:v>culture_meme</x:v>
      </x:c>
      <x:c r="E37" s="18" t="str">
        <x:v>90d</x:v>
      </x:c>
      <x:c r="F37" s="18" t="str">
        <x:v>초기 조사: 공개 월간/주제별 트렌드 자료에 후보로 등장</x:v>
      </x:c>
      <x:c r="G37" s="18" t="str">
        <x:v>https://blog.hsad.co.kr/3751</x:v>
      </x:c>
      <x:c r="H37" s="18" t="str">
        <x:v>https://www.youtube.com/results?search_query=%EC%98%81%ED%81%AC%ED%81%AC</x:v>
      </x:c>
      <x:c r="I37" s="20" t="n">
        <x:v>3</x:v>
      </x:c>
      <x:c r="J37" s="18" t="str">
        <x:v>ready</x:v>
      </x:c>
      <x:c r="K37" s="18" t="str">
        <x:v>uncertain</x:v>
      </x:c>
      <x:c r="L37" s="18" t="str">
        <x:v>영크크 → 공개 콘텐츠 생성·검색 → 플랫폼 유통 관찰</x:v>
      </x:c>
      <x:c r="M37" s="18" t="str">
        <x:v>플랫폼에 콘텐츠가 존재한다는 사실만 확인했으며 매출·주가 상승의 인과관계나 투자 수익을 의미하지 않습니다.</x:v>
      </x:c>
      <x:c r="N37" s="18" t="str">
        <x:v>revalidated_with_independent_public_observation; Google Trends=query_url_recorded_no_numeric_archive; X=historical_rank_or_total_count_unavailable</x:v>
      </x:c>
    </x:row>
    <x:row r="38">
      <x:c r="A38" s="18" t="str">
        <x:v>kr_202606_ai_sports_broadcast_shot</x:v>
      </x:c>
      <x:c r="B38" s="18" t="str">
        <x:v>관중 난입 AI</x:v>
      </x:c>
      <x:c r="C38" s="18" t="str">
        <x:v>2026년 한국 공개 트렌드 자료와 독립 공개 플랫폼 관측에서 관중 난입 AI 관련 콘텐츠 생성·재생산이 확인된 사후 재구성 트렌드다. 당시 실시간 순위나 전체 언급량을 복원한 것이 아니며 투자 조언이 아니다.</x:v>
      </x:c>
      <x:c r="D38" s="18" t="str">
        <x:v>sports</x:v>
      </x:c>
      <x:c r="E38" s="18" t="str">
        <x:v>90d</x:v>
      </x:c>
      <x:c r="F38" s="18" t="str">
        <x:v>초기 조사: 공개 월간/주제별 트렌드 자료에 후보로 등장</x:v>
      </x:c>
      <x:c r="G38" s="18" t="str">
        <x:v>https://blog.hsad.co.kr/3751</x:v>
      </x:c>
      <x:c r="H38" s="18" t="str">
        <x:v>https://www.youtube.com/results?search_query=%EA%B4%80%EC%A4%91%20%EB%82%9C%EC%9E%85%20AI</x:v>
      </x:c>
      <x:c r="I38" s="20" t="n">
        <x:v>3</x:v>
      </x:c>
      <x:c r="J38" s="18" t="str">
        <x:v>ready</x:v>
      </x:c>
      <x:c r="K38" s="18" t="str">
        <x:v>uncertain</x:v>
      </x:c>
      <x:c r="L38" s="18" t="str">
        <x:v>관중 난입 AI → 공개 콘텐츠 생성·검색 → 플랫폼 유통 관찰</x:v>
      </x:c>
      <x:c r="M38" s="18" t="str">
        <x:v>플랫폼에 콘텐츠가 존재한다는 사실만 확인했으며 매출·주가 상승의 인과관계나 투자 수익을 의미하지 않습니다.</x:v>
      </x:c>
      <x:c r="N38" s="18" t="str">
        <x:v>revalidated_with_independent_public_observation; Google Trends=query_url_recorded_no_numeric_archive; X=historical_rank_or_total_count_unavailable</x:v>
      </x:c>
    </x:row>
    <x:row r="39">
      <x:c r="A39" s="18" t="str">
        <x:v>kr_202606_suddenly_yangeuji</x:v>
      </x:c>
      <x:c r="B39" s="18" t="str">
        <x:v>자려고 누웠는데 양의지</x:v>
      </x:c>
      <x:c r="C39" s="18" t="str">
        <x:v>2026년 한국 공개 트렌드 자료와 독립 공개 플랫폼 관측에서 자려고 누웠는데 양의지 관련 콘텐츠 생성·재생산이 확인된 사후 재구성 트렌드다. 당시 실시간 순위나 전체 언급량을 복원한 것이 아니며 투자 조언이 아니다.</x:v>
      </x:c>
      <x:c r="D39" s="18" t="str">
        <x:v>sports</x:v>
      </x:c>
      <x:c r="E39" s="18" t="str">
        <x:v>90d</x:v>
      </x:c>
      <x:c r="F39" s="18" t="str">
        <x:v>초기 조사: 공개 월간/주제별 트렌드 자료에 후보로 등장</x:v>
      </x:c>
      <x:c r="G39" s="18" t="str">
        <x:v>https://blog.hsad.co.kr/3751</x:v>
      </x:c>
      <x:c r="H39" s="18" t="str">
        <x:v>https://www.youtube.com/results?search_query=%EC%9E%90%EB%A0%A4%EA%B3%A0%20%EB%88%84%EC%9B%A0%EB%8A%94%EB%8D%B0%20%EC%96%91%EC%9D%98%EC%A7%80</x:v>
      </x:c>
      <x:c r="I39" s="20" t="n">
        <x:v>3</x:v>
      </x:c>
      <x:c r="J39" s="18" t="str">
        <x:v>ready</x:v>
      </x:c>
      <x:c r="K39" s="18" t="str">
        <x:v>uncertain</x:v>
      </x:c>
      <x:c r="L39" s="18" t="str">
        <x:v>자려고 누웠는데 양의지 → 공개 콘텐츠 생성·검색 → 플랫폼 유통 관찰</x:v>
      </x:c>
      <x:c r="M39" s="18" t="str">
        <x:v>플랫폼에 콘텐츠가 존재한다는 사실만 확인했으며 매출·주가 상승의 인과관계나 투자 수익을 의미하지 않습니다.</x:v>
      </x:c>
      <x:c r="N39" s="18" t="str">
        <x:v>revalidated_with_independent_public_observation; Google Trends=query_url_recorded_no_numeric_archive; X=historical_rank_or_total_count_unavailable</x:v>
      </x:c>
    </x:row>
    <x:row r="40">
      <x:c r="A40" s="18" t="str">
        <x:v>kr_202605_setlog</x:v>
      </x:c>
      <x:c r="B40" s="18" t="str">
        <x:v>셋로그</x:v>
      </x:c>
      <x:c r="C40" s="18" t="str">
        <x:v>2026년 한국 공개 트렌드 자료와 독립 공개 플랫폼 관측에서 셋로그 관련 콘텐츠 생성·재생산이 확인된 사후 재구성 트렌드다. 당시 실시간 순위나 전체 언급량을 복원한 것이 아니며 투자 조언이 아니다.</x:v>
      </x:c>
      <x:c r="D40" s="18" t="str">
        <x:v>culture_meme</x:v>
      </x:c>
      <x:c r="E40" s="18" t="str">
        <x:v>90d</x:v>
      </x:c>
      <x:c r="F40" s="18" t="str">
        <x:v>초기 조사: 공개 월간/주제별 트렌드 자료에 후보로 등장</x:v>
      </x:c>
      <x:c r="G40" s="18" t="str">
        <x:v>https://blog.hsad.co.kr/3736</x:v>
      </x:c>
      <x:c r="H40" s="18" t="str">
        <x:v>https://www.youtube.com/results?search_query=%EC%85%8B%EB%A1%9C%EA%B7%B8</x:v>
      </x:c>
      <x:c r="I40" s="20" t="n">
        <x:v>3</x:v>
      </x:c>
      <x:c r="J40" s="18" t="str">
        <x:v>ready</x:v>
      </x:c>
      <x:c r="K40" s="18" t="str">
        <x:v>uncertain</x:v>
      </x:c>
      <x:c r="L40" s="18" t="str">
        <x:v>셋로그 → 공개 콘텐츠 생성·검색 → 플랫폼 유통 관찰</x:v>
      </x:c>
      <x:c r="M40" s="18" t="str">
        <x:v>플랫폼에 콘텐츠가 존재한다는 사실만 확인했으며 매출·주가 상승의 인과관계나 투자 수익을 의미하지 않습니다.</x:v>
      </x:c>
      <x:c r="N40" s="18" t="str">
        <x:v>revalidated_with_independent_public_observation; Google Trends=query_url_recorded_no_numeric_archive; X=historical_rank_or_total_count_unavailable</x:v>
      </x:c>
    </x:row>
    <x:row r="41">
      <x:c r="A41" s="18" t="str">
        <x:v>kr_202605_ai_broadcast_shot</x:v>
      </x:c>
      <x:c r="B41" s="18" t="str">
        <x:v>AI 중계샷</x:v>
      </x:c>
      <x:c r="C41" s="18" t="str">
        <x:v>2026년 한국 공개 트렌드 자료와 독립 공개 플랫폼 관측에서 AI 중계샷 관련 콘텐츠 생성·재생산이 확인된 사후 재구성 트렌드다. 당시 실시간 순위나 전체 언급량을 복원한 것이 아니며 투자 조언이 아니다.</x:v>
      </x:c>
      <x:c r="D41" s="18" t="str">
        <x:v>culture_meme</x:v>
      </x:c>
      <x:c r="E41" s="18" t="str">
        <x:v>90d</x:v>
      </x:c>
      <x:c r="F41" s="18" t="str">
        <x:v>초기 조사: 공개 월간/주제별 트렌드 자료에 후보로 등장</x:v>
      </x:c>
      <x:c r="G41" s="18" t="str">
        <x:v>https://blog.hsad.co.kr/3736</x:v>
      </x:c>
      <x:c r="H41" s="18" t="str">
        <x:v>https://www.youtube.com/results?search_query=AI%20%EC%A4%91%EA%B3%84%EC%83%B7</x:v>
      </x:c>
      <x:c r="I41" s="20" t="n">
        <x:v>3</x:v>
      </x:c>
      <x:c r="J41" s="18" t="str">
        <x:v>ready</x:v>
      </x:c>
      <x:c r="K41" s="18" t="str">
        <x:v>uncertain</x:v>
      </x:c>
      <x:c r="L41" s="18" t="str">
        <x:v>AI 중계샷 → 공개 콘텐츠 생성·검색 → 플랫폼 유통 관찰</x:v>
      </x:c>
      <x:c r="M41" s="18" t="str">
        <x:v>플랫폼에 콘텐츠가 존재한다는 사실만 확인했으며 매출·주가 상승의 인과관계나 투자 수익을 의미하지 않습니다.</x:v>
      </x:c>
      <x:c r="N41" s="18" t="str">
        <x:v>revalidated_with_independent_public_observation; Google Trends=query_url_recorded_no_numeric_archive; X=historical_rank_or_total_count_unavailable</x:v>
      </x:c>
    </x:row>
    <x:row r="42">
      <x:c r="A42" s="18" t="str">
        <x:v>kr_202605_goyang_flower_show</x:v>
      </x:c>
      <x:c r="B42" s="18" t="str">
        <x:v>고양국제꽃박람회</x:v>
      </x:c>
      <x:c r="C42" s="18" t="str">
        <x:v>2026년 한국 공개 트렌드 자료와 독립 공개 플랫폼 관측에서 고양국제꽃박람회 관련 콘텐츠 생성·재생산이 확인된 사후 재구성 트렌드다. 당시 실시간 순위나 전체 언급량을 복원한 것이 아니며 투자 조언이 아니다.</x:v>
      </x:c>
      <x:c r="D42" s="18" t="str">
        <x:v>travel_life</x:v>
      </x:c>
      <x:c r="E42" s="18" t="str">
        <x:v>90d</x:v>
      </x:c>
      <x:c r="F42" s="18" t="str">
        <x:v>초기 조사: 공개 월간/주제별 트렌드 자료에 후보로 등장</x:v>
      </x:c>
      <x:c r="G42" s="18" t="str">
        <x:v>https://blog.hsad.co.kr/3736</x:v>
      </x:c>
      <x:c r="H42" s="18" t="str">
        <x:v>https://www.youtube.com/results?search_query=%EA%B3%A0%EC%96%91%EA%B5%AD%EC%A0%9C%EA%BD%83%EB%B0%95%EB%9E%8C%ED%9A%8C</x:v>
      </x:c>
      <x:c r="I42" s="20" t="n">
        <x:v>3</x:v>
      </x:c>
      <x:c r="J42" s="18" t="str">
        <x:v>ready</x:v>
      </x:c>
      <x:c r="K42" s="18" t="str">
        <x:v>uncertain</x:v>
      </x:c>
      <x:c r="L42" s="18" t="str">
        <x:v>고양국제꽃박람회 → 공개 콘텐츠 생성·검색 → 플랫폼 유통 관찰</x:v>
      </x:c>
      <x:c r="M42" s="18" t="str">
        <x:v>플랫폼에 콘텐츠가 존재한다는 사실만 확인했으며 매출·주가 상승의 인과관계나 투자 수익을 의미하지 않습니다.</x:v>
      </x:c>
      <x:c r="N42" s="18" t="str">
        <x:v>revalidated_with_independent_public_observation; Google Trends=query_url_recorded_no_numeric_archive; X=historical_rank_or_total_count_unavailable</x:v>
      </x:c>
    </x:row>
    <x:row r="43">
      <x:c r="A43" s="18" t="str">
        <x:v>kr_202605_romantic_hydrangea</x:v>
      </x:c>
      <x:c r="B43" s="18" t="str">
        <x:v>서울식물원 낭만수국전</x:v>
      </x:c>
      <x:c r="C43" s="18" t="str">
        <x:v>2026년 한국 공개 트렌드 자료와 독립 공개 플랫폼 관측에서 서울식물원 낭만수국전 관련 콘텐츠 생성·재생산이 확인된 사후 재구성 트렌드다. 당시 실시간 순위나 전체 언급량을 복원한 것이 아니며 투자 조언이 아니다.</x:v>
      </x:c>
      <x:c r="D43" s="18" t="str">
        <x:v>travel_life</x:v>
      </x:c>
      <x:c r="E43" s="18" t="str">
        <x:v>90d</x:v>
      </x:c>
      <x:c r="F43" s="18" t="str">
        <x:v>초기 조사: 공개 월간/주제별 트렌드 자료에 후보로 등장</x:v>
      </x:c>
      <x:c r="G43" s="18" t="str">
        <x:v>https://blog.hsad.co.kr/3736</x:v>
      </x:c>
      <x:c r="H43" s="18" t="str">
        <x:v>https://www.youtube.com/results?search_query=%EC%84%9C%EC%9A%B8%EC%8B%9D%EB%AC%BC%EC%9B%90%20%EB%82%AD%EB%A7%8C%EC%88%98%EA%B5%AD%EC%A0%84</x:v>
      </x:c>
      <x:c r="I43" s="20" t="n">
        <x:v>3</x:v>
      </x:c>
      <x:c r="J43" s="18" t="str">
        <x:v>ready</x:v>
      </x:c>
      <x:c r="K43" s="18" t="str">
        <x:v>uncertain</x:v>
      </x:c>
      <x:c r="L43" s="18" t="str">
        <x:v>서울식물원 낭만수국전 → 공개 콘텐츠 생성·검색 → 플랫폼 유통 관찰</x:v>
      </x:c>
      <x:c r="M43" s="18" t="str">
        <x:v>플랫폼에 콘텐츠가 존재한다는 사실만 확인했으며 매출·주가 상승의 인과관계나 투자 수익을 의미하지 않습니다.</x:v>
      </x:c>
      <x:c r="N43" s="18" t="str">
        <x:v>revalidated_with_independent_public_observation; Google Trends=query_url_recorded_no_numeric_archive; X=historical_rank_or_total_count_unavailable</x:v>
      </x:c>
    </x:row>
    <x:row r="44">
      <x:c r="A44" s="18" t="str">
        <x:v>kr_202605_seoul_garden_show</x:v>
      </x:c>
      <x:c r="B44" s="18" t="str">
        <x:v>서울국제정원박람회</x:v>
      </x:c>
      <x:c r="C44" s="18" t="str">
        <x:v>2026년 한국 공개 트렌드 자료와 독립 공개 플랫폼 관측에서 서울국제정원박람회 관련 콘텐츠 생성·재생산이 확인된 사후 재구성 트렌드다. 당시 실시간 순위나 전체 언급량을 복원한 것이 아니며 투자 조언이 아니다.</x:v>
      </x:c>
      <x:c r="D44" s="18" t="str">
        <x:v>travel_life</x:v>
      </x:c>
      <x:c r="E44" s="18" t="str">
        <x:v>90d</x:v>
      </x:c>
      <x:c r="F44" s="18" t="str">
        <x:v>초기 조사: 공개 월간/주제별 트렌드 자료에 후보로 등장</x:v>
      </x:c>
      <x:c r="G44" s="18" t="str">
        <x:v>https://blog.hsad.co.kr/3736</x:v>
      </x:c>
      <x:c r="H44" s="18" t="str">
        <x:v>https://www.youtube.com/results?search_query=%EC%84%9C%EC%9A%B8%EA%B5%AD%EC%A0%9C%EC%A0%95%EC%9B%90%EB%B0%95%EB%9E%8C%ED%9A%8C</x:v>
      </x:c>
      <x:c r="I44" s="20" t="n">
        <x:v>3</x:v>
      </x:c>
      <x:c r="J44" s="18" t="str">
        <x:v>ready</x:v>
      </x:c>
      <x:c r="K44" s="18" t="str">
        <x:v>uncertain</x:v>
      </x:c>
      <x:c r="L44" s="18" t="str">
        <x:v>서울국제정원박람회 → 공개 콘텐츠 생성·검색 → 플랫폼 유통 관찰</x:v>
      </x:c>
      <x:c r="M44" s="18" t="str">
        <x:v>플랫폼에 콘텐츠가 존재한다는 사실만 확인했으며 매출·주가 상승의 인과관계나 투자 수익을 의미하지 않습니다.</x:v>
      </x:c>
      <x:c r="N44" s="18" t="str">
        <x:v>revalidated_with_independent_public_observation; Google Trends=query_url_recorded_no_numeric_archive; X=historical_rank_or_total_count_unavailable</x:v>
      </x:c>
    </x:row>
    <x:row r="45">
      <x:c r="A45" s="18" t="str">
        <x:v>kr_202605_salmokji</x:v>
      </x:c>
      <x:c r="B45" s="18" t="str">
        <x:v>영화 살목지</x:v>
      </x:c>
      <x:c r="C45" s="18" t="str">
        <x:v>2026년 한국 공개 트렌드 자료와 독립 공개 플랫폼 관측에서 영화 살목지 관련 콘텐츠 생성·재생산이 확인된 사후 재구성 트렌드다. 당시 실시간 순위나 전체 언급량을 복원한 것이 아니며 투자 조언이 아니다.</x:v>
      </x:c>
      <x:c r="D45" s="18" t="str">
        <x:v>content</x:v>
      </x:c>
      <x:c r="E45" s="18" t="str">
        <x:v>90d</x:v>
      </x:c>
      <x:c r="F45" s="18" t="str">
        <x:v>초기 조사: 공개 월간/주제별 트렌드 자료에 후보로 등장</x:v>
      </x:c>
      <x:c r="G45" s="18" t="str">
        <x:v>https://blog.hsad.co.kr/3736</x:v>
      </x:c>
      <x:c r="H45" s="18" t="str">
        <x:v>https://www.youtube.com/results?search_query=%EC%98%81%ED%99%94%20%EC%82%B4%EB%AA%A9%EC%A7%80</x:v>
      </x:c>
      <x:c r="I45" s="20" t="n">
        <x:v>3</x:v>
      </x:c>
      <x:c r="J45" s="18" t="str">
        <x:v>ready</x:v>
      </x:c>
      <x:c r="K45" s="18" t="str">
        <x:v>uncertain</x:v>
      </x:c>
      <x:c r="L45" s="18" t="str">
        <x:v>영화 살목지 → 공개 콘텐츠 생성·검색 → 플랫폼 유통 관찰</x:v>
      </x:c>
      <x:c r="M45" s="18" t="str">
        <x:v>플랫폼에 콘텐츠가 존재한다는 사실만 확인했으며 매출·주가 상승의 인과관계나 투자 수익을 의미하지 않습니다.</x:v>
      </x:c>
      <x:c r="N45" s="18" t="str">
        <x:v>revalidated_with_independent_public_observation; Google Trends=query_url_recorded_no_numeric_archive; X=historical_rank_or_total_count_unavailable</x:v>
      </x:c>
    </x:row>
    <x:row r="46">
      <x:c r="A46" s="18" t="str">
        <x:v>kr_202605_namja_eopnya</x:v>
      </x:c>
      <x:c r="B46" s="18" t="str">
        <x:v>남쟈 없냐 남쟈</x:v>
      </x:c>
      <x:c r="C46" s="18" t="str">
        <x:v>2026년 한국 공개 트렌드 자료와 독립 공개 플랫폼 관측에서 남쟈 없냐 남쟈 관련 콘텐츠 생성·재생산이 확인된 사후 재구성 트렌드다. 당시 실시간 순위나 전체 언급량을 복원한 것이 아니며 투자 조언이 아니다.</x:v>
      </x:c>
      <x:c r="D46" s="18" t="str">
        <x:v>culture_meme</x:v>
      </x:c>
      <x:c r="E46" s="18" t="str">
        <x:v>90d</x:v>
      </x:c>
      <x:c r="F46" s="18" t="str">
        <x:v>초기 조사: 공개 트렌드 원문에서 확산·참여 또는 콘텐츠 생성 맥락 확인</x:v>
      </x:c>
      <x:c r="G46" s="18" t="str">
        <x:v>https://gogumafarm.kr/%EC%9A%94%EC%A6%98-%EC%9C%A0%ED%96%89%ED%95%98%EB%8A%94-%EB%B0%88-%EB%AA%A8%EC%9D%8C-green-green-2026%EB%85%84-5%EC%9B%94-%EC%B5%9C%EC%8B%A0-%EB%B0%88-%EB%AA%A8%EC%9D%8C/</x:v>
      </x:c>
      <x:c r="H46" s="18" t="str">
        <x:v>https://www.youtube.com/results?search_query=%EB%82%A8%EC%9F%88%20%EC%97%86%EB%83%90%20%EB%82%A8%EC%9F%88</x:v>
      </x:c>
      <x:c r="I46" s="20" t="n">
        <x:v>3</x:v>
      </x:c>
      <x:c r="J46" s="18" t="str">
        <x:v>ready</x:v>
      </x:c>
      <x:c r="K46" s="18" t="str">
        <x:v>uncertain</x:v>
      </x:c>
      <x:c r="L46" s="18" t="str">
        <x:v>남쟈 없냐 남쟈 → 공개 콘텐츠 생성·검색 → 플랫폼 유통 관찰</x:v>
      </x:c>
      <x:c r="M46" s="18" t="str">
        <x:v>플랫폼에 콘텐츠가 존재한다는 사실만 확인했으며 매출·주가 상승의 인과관계나 투자 수익을 의미하지 않습니다.</x:v>
      </x:c>
      <x:c r="N46" s="18" t="str">
        <x:v>revalidated_with_independent_public_observation; Google Trends=query_url_recorded_no_numeric_archive; X=historical_rank_or_total_count_unavailable</x:v>
      </x:c>
    </x:row>
    <x:row r="47">
      <x:c r="A47" s="18" t="str">
        <x:v>kr_202605_green_green_red_red</x:v>
      </x:c>
      <x:c r="B47" s="18" t="str">
        <x:v>그린그린·레드레드</x:v>
      </x:c>
      <x:c r="C47" s="18" t="str">
        <x:v>2026년 한국 공개 트렌드 자료와 독립 공개 플랫폼 관측에서 그린그린·레드레드 관련 콘텐츠 생성·재생산이 확인된 사후 재구성 트렌드다. 당시 실시간 순위나 전체 언급량을 복원한 것이 아니며 투자 조언이 아니다.</x:v>
      </x:c>
      <x:c r="D47" s="18" t="str">
        <x:v>culture_meme</x:v>
      </x:c>
      <x:c r="E47" s="18" t="str">
        <x:v>90d</x:v>
      </x:c>
      <x:c r="F47" s="18" t="str">
        <x:v>초기 조사: 공개 트렌드 원문에서 확산·참여 또는 콘텐츠 생성 맥락 확인</x:v>
      </x:c>
      <x:c r="G47" s="18" t="str">
        <x:v>https://gogumafarm.kr/%EC%9A%94%EC%A6%98-%EC%9C%A0%ED%96%89%ED%95%98%EB%8A%94-%EB%B0%88-%EB%AA%A8%EC%9D%8C-green-green-2026%EB%85%84-5%EC%9B%94-%EC%B5%9C%EC%8B%A0-%EB%B0%88-%EB%AA%A8%EC%9D%8C/</x:v>
      </x:c>
      <x:c r="H47" s="18" t="str">
        <x:v>https://www.youtube.com/results?search_query=%EA%B7%B8%EB%A6%B0%EA%B7%B8%EB%A6%B0%C2%B7%EB%A0%88%EB%93%9C%EB%A0%88%EB%93%9C</x:v>
      </x:c>
      <x:c r="I47" s="20" t="n">
        <x:v>3</x:v>
      </x:c>
      <x:c r="J47" s="18" t="str">
        <x:v>ready</x:v>
      </x:c>
      <x:c r="K47" s="18" t="str">
        <x:v>uncertain</x:v>
      </x:c>
      <x:c r="L47" s="18" t="str">
        <x:v>그린그린·레드레드 → 공개 콘텐츠 생성·검색 → 플랫폼 유통 관찰</x:v>
      </x:c>
      <x:c r="M47" s="18" t="str">
        <x:v>플랫폼에 콘텐츠가 존재한다는 사실만 확인했으며 매출·주가 상승의 인과관계나 투자 수익을 의미하지 않습니다.</x:v>
      </x:c>
      <x:c r="N47" s="18" t="str">
        <x:v>revalidated_with_independent_public_observation; Google Trends=query_url_recorded_no_numeric_archive; X=historical_rank_or_total_count_unavailable</x:v>
      </x:c>
    </x:row>
    <x:row r="48">
      <x:c r="A48" s="18" t="str">
        <x:v>kr_202605_gangnamstyle_remix_meme</x:v>
      </x:c>
      <x:c r="B48" s="18" t="str">
        <x:v>강남스타일 리믹스 밈</x:v>
      </x:c>
      <x:c r="C48" s="18" t="str">
        <x:v>2026년 한국 공개 트렌드 자료와 독립 공개 플랫폼 관측에서 강남스타일 리믹스 밈 관련 콘텐츠 생성·재생산이 확인된 사후 재구성 트렌드다. 당시 실시간 순위나 전체 언급량을 복원한 것이 아니며 투자 조언이 아니다.</x:v>
      </x:c>
      <x:c r="D48" s="18" t="str">
        <x:v>music</x:v>
      </x:c>
      <x:c r="E48" s="18" t="str">
        <x:v>90d</x:v>
      </x:c>
      <x:c r="F48" s="18" t="str">
        <x:v>초기 조사: 공개 트렌드 원문에서 확산·참여 또는 콘텐츠 생성 맥락 확인</x:v>
      </x:c>
      <x:c r="G48" s="18" t="str">
        <x:v>https://gogumafarm.kr/%EC%9A%94%EC%A6%98-%EC%9C%A0%ED%96%89%ED%95%98%EB%8A%94-%EB%B0%88-%EB%AA%A8%EC%9D%8C-green-green-2026%EB%85%84-5%EC%9B%94-%EC%B5%9C%EC%8B%A0-%EB%B0%88-%EB%AA%A8%EC%9D%8C/</x:v>
      </x:c>
      <x:c r="H48" s="18" t="str">
        <x:v>https://www.youtube.com/results?search_query=%EA%B0%95%EB%82%A8%EC%8A%A4%ED%83%80%EC%9D%BC%20%EB%A6%AC%EB%AF%B9%EC%8A%A4%20%EB%B0%88</x:v>
      </x:c>
      <x:c r="I48" s="20" t="n">
        <x:v>3</x:v>
      </x:c>
      <x:c r="J48" s="18" t="str">
        <x:v>ready</x:v>
      </x:c>
      <x:c r="K48" s="18" t="str">
        <x:v>uncertain</x:v>
      </x:c>
      <x:c r="L48" s="18" t="str">
        <x:v>강남스타일 리믹스 밈 → 공개 콘텐츠 생성·검색 → 플랫폼 유통 관찰</x:v>
      </x:c>
      <x:c r="M48" s="18" t="str">
        <x:v>플랫폼에 콘텐츠가 존재한다는 사실만 확인했으며 매출·주가 상승의 인과관계나 투자 수익을 의미하지 않습니다.</x:v>
      </x:c>
      <x:c r="N48" s="18" t="str">
        <x:v>revalidated_with_independent_public_observation; Google Trends=query_url_recorded_no_numeric_archive; X=historical_rank_or_total_count_unavailable</x:v>
      </x:c>
    </x:row>
    <x:row r="49">
      <x:c r="A49" s="18" t="str">
        <x:v>kr_202605_golden_iyora</x:v>
      </x:c>
      <x:c r="B49" s="18" t="str">
        <x:v>골든이여라</x:v>
      </x:c>
      <x:c r="C49" s="18" t="str">
        <x:v>2026년 한국 공개 트렌드 자료와 독립 공개 플랫폼 관측에서 골든이여라 관련 콘텐츠 생성·재생산이 확인된 사후 재구성 트렌드다. 당시 실시간 순위나 전체 언급량을 복원한 것이 아니며 투자 조언이 아니다.</x:v>
      </x:c>
      <x:c r="D49" s="18" t="str">
        <x:v>culture_meme</x:v>
      </x:c>
      <x:c r="E49" s="18" t="str">
        <x:v>90d</x:v>
      </x:c>
      <x:c r="F49" s="18" t="str">
        <x:v>초기 조사: 공개 트렌드 원문에서 확산·참여 또는 콘텐츠 생성 맥락 확인</x:v>
      </x:c>
      <x:c r="G49" s="18" t="str">
        <x:v>https://gogumafarm.kr/%EC%9A%94%EC%A6%98-%EC%9C%A0%ED%96%89%ED%95%98%EB%8A%94-%EB%B0%88-%EB%AA%A8%EC%9D%8C-green-green-2026%EB%85%84-5%EC%9B%94-%EC%B5%9C%EC%8B%A0-%EB%B0%88-%EB%AA%A8%EC%9D%8C/</x:v>
      </x:c>
      <x:c r="H49" s="18" t="str">
        <x:v>https://www.youtube.com/results?search_query=%EA%B3%A8%EB%93%A0%EC%9D%B4%EC%97%AC%EB%9D%BC</x:v>
      </x:c>
      <x:c r="I49" s="20" t="n">
        <x:v>3</x:v>
      </x:c>
      <x:c r="J49" s="18" t="str">
        <x:v>ready</x:v>
      </x:c>
      <x:c r="K49" s="18" t="str">
        <x:v>uncertain</x:v>
      </x:c>
      <x:c r="L49" s="18" t="str">
        <x:v>골든이여라 → 공개 콘텐츠 생성·검색 → 플랫폼 유통 관찰</x:v>
      </x:c>
      <x:c r="M49" s="18" t="str">
        <x:v>플랫폼에 콘텐츠가 존재한다는 사실만 확인했으며 매출·주가 상승의 인과관계나 투자 수익을 의미하지 않습니다.</x:v>
      </x:c>
      <x:c r="N49" s="18" t="str">
        <x:v>revalidated_with_independent_public_observation; Google Trends=query_url_recorded_no_numeric_archive; X=historical_rank_or_total_count_unavailable</x:v>
      </x:c>
    </x:row>
    <x:row r="50">
      <x:c r="A50" s="18" t="str">
        <x:v>kr_202605_snack_photo_decor</x:v>
      </x:c>
      <x:c r="B50" s="18" t="str">
        <x:v>과자 사진 꾸미기</x:v>
      </x:c>
      <x:c r="C50" s="18" t="str">
        <x:v>2026년 한국 공개 트렌드 자료와 독립 공개 플랫폼 관측에서 과자 사진 꾸미기 관련 콘텐츠 생성·재생산이 확인된 사후 재구성 트렌드다. 당시 실시간 순위나 전체 언급량을 복원한 것이 아니며 투자 조언이 아니다.</x:v>
      </x:c>
      <x:c r="D50" s="18" t="str">
        <x:v>culture_meme</x:v>
      </x:c>
      <x:c r="E50" s="18" t="str">
        <x:v>90d</x:v>
      </x:c>
      <x:c r="F50" s="18" t="str">
        <x:v>초기 조사: 공개 트렌드 원문에서 확산·참여 또는 콘텐츠 생성 맥락 확인</x:v>
      </x:c>
      <x:c r="G50" s="18" t="str">
        <x:v>https://letter.wepick.kr/post/23942</x:v>
      </x:c>
      <x:c r="H50" s="18" t="str">
        <x:v>https://www.youtube.com/results?search_query=%EA%B3%BC%EC%9E%90%20%EC%82%AC%EC%A7%84%20%EA%BE%B8%EB%AF%B8%EA%B8%B0</x:v>
      </x:c>
      <x:c r="I50" s="20" t="n">
        <x:v>3</x:v>
      </x:c>
      <x:c r="J50" s="18" t="str">
        <x:v>ready</x:v>
      </x:c>
      <x:c r="K50" s="18" t="str">
        <x:v>uncertain</x:v>
      </x:c>
      <x:c r="L50" s="18" t="str">
        <x:v>과자 사진 꾸미기 → 공개 콘텐츠 생성·검색 → 플랫폼 유통 관찰</x:v>
      </x:c>
      <x:c r="M50" s="18" t="str">
        <x:v>플랫폼에 콘텐츠가 존재한다는 사실만 확인했으며 매출·주가 상승의 인과관계나 투자 수익을 의미하지 않습니다.</x:v>
      </x:c>
      <x:c r="N50" s="18" t="str">
        <x:v>revalidated_with_independent_public_observation; Google Trends=query_url_recorded_no_numeric_archive; X=historical_rank_or_total_count_unavailable</x:v>
      </x:c>
    </x:row>
    <x:row r="51">
      <x:c r="A51" s="18" t="str">
        <x:v>kr_202606_born_year_dance</x:v>
      </x:c>
      <x:c r="B51" s="18" t="str">
        <x:v>나 ○○년생 ○○○인데</x:v>
      </x:c>
      <x:c r="C51" s="18" t="str">
        <x:v>2026년 한국 공개 트렌드 자료와 독립 공개 플랫폼 관측에서 나 ○○년생 ○○○인데 관련 콘텐츠 생성·재생산이 확인된 사후 재구성 트렌드다. 당시 실시간 순위나 전체 언급량을 복원한 것이 아니며 투자 조언이 아니다.</x:v>
      </x:c>
      <x:c r="D51" s="18" t="str">
        <x:v>culture_meme</x:v>
      </x:c>
      <x:c r="E51" s="18" t="str">
        <x:v>90d</x:v>
      </x:c>
      <x:c r="F51" s="18" t="str">
        <x:v>초기 조사: 공개 트렌드 원문에서 확산·참여 또는 콘텐츠 생성 맥락 확인</x:v>
      </x:c>
      <x:c r="G51" s="18" t="str">
        <x:v>https://gogumafarm.kr/%EB%82%98-%EA%B3%A0%EA%B5%AC%EB%A7%88%ED%8C%9C%EC%9D%B8%EB%8D%B0-%EC%9A%94%EC%A6%98-%EB%9C%A8%EB%8A%94-%EB%B0%88-%EA%B0%80%EC%A0%B8%EC%99%94%EB%8B%A4-2026%EB%85%84-6%EC%9B%94-%EC%B5%9C%EC%8B%A0/</x:v>
      </x:c>
      <x:c r="H51" s="18" t="str">
        <x:v>https://www.youtube.com/results?search_query=%EB%82%98%20%E2%97%8B%E2%97%8B%EB%85%84%EC%83%9D%20%E2%97%8B%E2%97%8B%E2%97%8B%EC%9D%B8%EB%8D%B0</x:v>
      </x:c>
      <x:c r="I51" s="20" t="n">
        <x:v>3</x:v>
      </x:c>
      <x:c r="J51" s="18" t="str">
        <x:v>ready</x:v>
      </x:c>
      <x:c r="K51" s="18" t="str">
        <x:v>uncertain</x:v>
      </x:c>
      <x:c r="L51" s="18" t="str">
        <x:v>나 ○○년생 ○○○인데 → 공개 콘텐츠 생성·검색 → 플랫폼 유통 관찰</x:v>
      </x:c>
      <x:c r="M51" s="18" t="str">
        <x:v>플랫폼에 콘텐츠가 존재한다는 사실만 확인했으며 매출·주가 상승의 인과관계나 투자 수익을 의미하지 않습니다.</x:v>
      </x:c>
      <x:c r="N51" s="18" t="str">
        <x:v>revalidated_with_independent_public_observation; Google Trends=query_url_recorded_no_numeric_archive; X=historical_rank_or_total_count_unavailable</x:v>
      </x:c>
    </x:row>
    <x:row r="52">
      <x:c r="A52" s="18" t="str">
        <x:v>kr_202606_millennial_genz_compare</x:v>
      </x:c>
      <x:c r="B52" s="18" t="str">
        <x:v>밀레니얼 vs 젠지 담당자 비교</x:v>
      </x:c>
      <x:c r="C52" s="18" t="str">
        <x:v>2026년 한국 공개 트렌드 자료와 독립 공개 플랫폼 관측에서 밀레니얼 vs 젠지 담당자 비교 관련 콘텐츠 생성·재생산이 확인된 사후 재구성 트렌드다. 당시 실시간 순위나 전체 언급량을 복원한 것이 아니며 투자 조언이 아니다.</x:v>
      </x:c>
      <x:c r="D52" s="18" t="str">
        <x:v>culture_meme</x:v>
      </x:c>
      <x:c r="E52" s="18" t="str">
        <x:v>90d</x:v>
      </x:c>
      <x:c r="F52" s="18" t="str">
        <x:v>초기 조사: 공개 트렌드 원문에서 확산·참여 또는 콘텐츠 생성 맥락 확인</x:v>
      </x:c>
      <x:c r="G52" s="18" t="str">
        <x:v>https://gogumafarm.kr/%EB%82%98-%EA%B3%A0%EA%B5%AC%EB%A7%88%ED%8C%9C%EC%9D%B8%EB%8D%B0-%EC%9A%94%EC%A6%98-%EB%9C%A8%EB%8A%94-%EB%B0%88-%EA%B0%80%EC%A0%B8%EC%99%94%EB%8B%A4-2026%EB%85%84-6%EC%9B%94-%EC%B5%9C%EC%8B%A0/</x:v>
      </x:c>
      <x:c r="H52" s="18" t="str">
        <x:v>https://www.youtube.com/results?search_query=%EB%B0%80%EB%A0%88%EB%8B%88%EC%96%BC%20vs%20%EC%A0%A0%EC%A7%80%20%EB%8B%B4%EB%8B%B9%EC%9E%90%20%EB%B9%84%EA%B5%90</x:v>
      </x:c>
      <x:c r="I52" s="20" t="n">
        <x:v>3</x:v>
      </x:c>
      <x:c r="J52" s="18" t="str">
        <x:v>ready</x:v>
      </x:c>
      <x:c r="K52" s="18" t="str">
        <x:v>uncertain</x:v>
      </x:c>
      <x:c r="L52" s="18" t="str">
        <x:v>밀레니얼 vs 젠지 담당자 비교 → 공개 콘텐츠 생성·검색 → 플랫폼 유통 관찰</x:v>
      </x:c>
      <x:c r="M52" s="18" t="str">
        <x:v>플랫폼에 콘텐츠가 존재한다는 사실만 확인했으며 매출·주가 상승의 인과관계나 투자 수익을 의미하지 않습니다.</x:v>
      </x:c>
      <x:c r="N52" s="18" t="str">
        <x:v>revalidated_with_independent_public_observation; Google Trends=query_url_recorded_no_numeric_archive; X=historical_rank_or_total_count_unavailable</x:v>
      </x:c>
    </x:row>
    <x:row r="53">
      <x:c r="A53" s="18" t="str">
        <x:v>kr_202606_acting_challenge</x:v>
      </x:c>
      <x:c r="B53" s="18" t="str">
        <x:v>연기 챌린지</x:v>
      </x:c>
      <x:c r="C53" s="18" t="str">
        <x:v>2026년 한국 공개 트렌드 자료와 독립 공개 플랫폼 관측에서 연기 챌린지 관련 콘텐츠 생성·재생산이 확인된 사후 재구성 트렌드다. 당시 실시간 순위나 전체 언급량을 복원한 것이 아니며 투자 조언이 아니다.</x:v>
      </x:c>
      <x:c r="D53" s="18" t="str">
        <x:v>culture_meme</x:v>
      </x:c>
      <x:c r="E53" s="18" t="str">
        <x:v>90d</x:v>
      </x:c>
      <x:c r="F53" s="18" t="str">
        <x:v>초기 조사: 공개 트렌드 원문에서 확산·참여 또는 콘텐츠 생성 맥락 확인</x:v>
      </x:c>
      <x:c r="G53" s="18" t="str">
        <x:v>https://gogumafarm.kr/%EC%97%B0%EA%B8%B0-%EC%B1%8C%EB%A6%B0%EC%A7%80-%EC%A3%BC%EC%88%A0-%ED%9A%8C%EC%A0%84%EC%83%B7-%ED%94%BC%EB%93%9C%EB%A5%BC-%EC%A0%90%EB%A0%B9%ED%95%9C-%EB%A6%B4%EC%8A%A4-%ED%8F%AC%EB%A7%B7-4%EA%B0%80/</x:v>
      </x:c>
      <x:c r="H53" s="18" t="str">
        <x:v>https://www.youtube.com/results?search_query=%EC%97%B0%EA%B8%B0%20%EC%B1%8C%EB%A6%B0%EC%A7%80</x:v>
      </x:c>
      <x:c r="I53" s="20" t="n">
        <x:v>3</x:v>
      </x:c>
      <x:c r="J53" s="18" t="str">
        <x:v>ready</x:v>
      </x:c>
      <x:c r="K53" s="18" t="str">
        <x:v>uncertain</x:v>
      </x:c>
      <x:c r="L53" s="18" t="str">
        <x:v>연기 챌린지 → 공개 콘텐츠 생성·검색 → 플랫폼 유통 관찰</x:v>
      </x:c>
      <x:c r="M53" s="18" t="str">
        <x:v>플랫폼에 콘텐츠가 존재한다는 사실만 확인했으며 매출·주가 상승의 인과관계나 투자 수익을 의미하지 않습니다.</x:v>
      </x:c>
      <x:c r="N53" s="18" t="str">
        <x:v>revalidated_with_independent_public_observation; Google Trends=query_url_recorded_no_numeric_archive; X=historical_rank_or_total_count_unavailable</x:v>
      </x:c>
    </x:row>
    <x:row r="54">
      <x:c r="A54" s="18"/>
      <x:c r="B54" s="18"/>
      <x:c r="C54" s="18"/>
      <x:c r="D54" s="18"/>
      <x:c r="E54" s="18"/>
      <x:c r="F54" s="18"/>
      <x:c r="G54" s="18"/>
      <x:c r="H54" s="18"/>
      <x:c r="I54" s="20"/>
      <x:c r="J54" s="18"/>
      <x:c r="K54" s="18"/>
      <x:c r="L54" s="18"/>
      <x:c r="M54" s="18"/>
      <x:c r="N54" s="18"/>
    </x:row>
    <x:row r="55">
      <x:c r="A55" s="18"/>
      <x:c r="B55" s="18"/>
      <x:c r="C55" s="18"/>
      <x:c r="D55" s="18"/>
      <x:c r="E55" s="18"/>
      <x:c r="F55" s="18"/>
      <x:c r="G55" s="18"/>
      <x:c r="H55" s="18"/>
      <x:c r="I55" s="20"/>
      <x:c r="J55" s="18"/>
      <x:c r="K55" s="18"/>
      <x:c r="L55" s="18"/>
      <x:c r="M55" s="18"/>
      <x:c r="N55" s="18"/>
    </x:row>
    <x:row r="56">
      <x:c r="A56" s="18"/>
      <x:c r="B56" s="18"/>
      <x:c r="C56" s="18"/>
      <x:c r="D56" s="18"/>
      <x:c r="E56" s="18"/>
      <x:c r="F56" s="18"/>
      <x:c r="G56" s="18"/>
      <x:c r="H56" s="18"/>
      <x:c r="I56" s="20"/>
      <x:c r="J56" s="18"/>
      <x:c r="K56" s="18"/>
      <x:c r="L56" s="18"/>
      <x:c r="M56" s="18"/>
      <x:c r="N56" s="18"/>
    </x:row>
    <x:row r="57">
      <x:c r="A57" s="18"/>
      <x:c r="B57" s="18"/>
      <x:c r="C57" s="18"/>
      <x:c r="D57" s="18"/>
      <x:c r="E57" s="18"/>
      <x:c r="F57" s="18"/>
      <x:c r="G57" s="18"/>
      <x:c r="H57" s="18"/>
      <x:c r="I57" s="20"/>
      <x:c r="J57" s="18"/>
      <x:c r="K57" s="18"/>
      <x:c r="L57" s="18"/>
      <x:c r="M57" s="18"/>
      <x:c r="N57" s="18"/>
    </x:row>
    <x:row r="58">
      <x:c r="A58" s="18"/>
      <x:c r="B58" s="18"/>
      <x:c r="C58" s="18"/>
      <x:c r="D58" s="18"/>
      <x:c r="E58" s="18"/>
      <x:c r="F58" s="18"/>
      <x:c r="G58" s="18"/>
      <x:c r="H58" s="18"/>
      <x:c r="I58" s="20"/>
      <x:c r="J58" s="18"/>
      <x:c r="K58" s="18"/>
      <x:c r="L58" s="18"/>
      <x:c r="M58" s="18"/>
      <x:c r="N58" s="18"/>
    </x:row>
    <x:row r="59">
      <x:c r="A59" s="18"/>
      <x:c r="B59" s="18"/>
      <x:c r="C59" s="18"/>
      <x:c r="D59" s="18"/>
      <x:c r="E59" s="18"/>
      <x:c r="F59" s="18"/>
      <x:c r="G59" s="18"/>
      <x:c r="H59" s="18"/>
      <x:c r="I59" s="20"/>
      <x:c r="J59" s="18"/>
      <x:c r="K59" s="18"/>
      <x:c r="L59" s="18"/>
      <x:c r="M59" s="18"/>
      <x:c r="N59" s="18"/>
    </x:row>
    <x:row r="60">
      <x:c r="A60" s="18"/>
      <x:c r="B60" s="18"/>
      <x:c r="C60" s="18"/>
      <x:c r="D60" s="18"/>
      <x:c r="E60" s="18"/>
      <x:c r="F60" s="18"/>
      <x:c r="G60" s="18"/>
      <x:c r="H60" s="18"/>
      <x:c r="I60" s="20"/>
      <x:c r="J60" s="18"/>
      <x:c r="K60" s="18"/>
      <x:c r="L60" s="18"/>
      <x:c r="M60" s="18"/>
      <x:c r="N60" s="18"/>
    </x:row>
    <x:row r="61">
      <x:c r="A61" s="18"/>
      <x:c r="B61" s="18"/>
      <x:c r="C61" s="18"/>
      <x:c r="D61" s="18"/>
      <x:c r="E61" s="18"/>
      <x:c r="F61" s="18"/>
      <x:c r="G61" s="18"/>
      <x:c r="H61" s="18"/>
      <x:c r="I61" s="20"/>
      <x:c r="J61" s="18"/>
      <x:c r="K61" s="18"/>
      <x:c r="L61" s="18"/>
      <x:c r="M61" s="18"/>
      <x:c r="N61" s="18"/>
    </x:row>
    <x:row r="62">
      <x:c r="A62" s="18"/>
      <x:c r="B62" s="18"/>
      <x:c r="C62" s="18"/>
      <x:c r="D62" s="18"/>
      <x:c r="E62" s="18"/>
      <x:c r="F62" s="18"/>
      <x:c r="G62" s="18"/>
      <x:c r="H62" s="18"/>
      <x:c r="I62" s="20"/>
      <x:c r="J62" s="18"/>
      <x:c r="K62" s="18"/>
      <x:c r="L62" s="18"/>
      <x:c r="M62" s="18"/>
      <x:c r="N62" s="18"/>
    </x:row>
    <x:row r="63">
      <x:c r="A63" s="18"/>
      <x:c r="B63" s="18"/>
      <x:c r="C63" s="18"/>
      <x:c r="D63" s="18"/>
      <x:c r="E63" s="18"/>
      <x:c r="F63" s="18"/>
      <x:c r="G63" s="18"/>
      <x:c r="H63" s="18"/>
      <x:c r="I63" s="20"/>
      <x:c r="J63" s="18"/>
      <x:c r="K63" s="18"/>
      <x:c r="L63" s="18"/>
      <x:c r="M63" s="18"/>
      <x:c r="N63" s="18"/>
    </x:row>
  </x:sheetData>
  <x:mergeCells>
    <x:mergeCell ref="A1:N1"/>
    <x:mergeCell ref="A2:N2"/>
  </x:mergeCells>
  <x:conditionalFormatting sqref="J4:J63">
    <x:cfRule type="containsText" dxfId="3" priority="1" operator="containsText" text="ready"/>
    <x:cfRule type="containsText" dxfId="4" priority="2" operator="containsText" text="blocked"/>
  </x:conditionalFormatting>
  <x:dataValidations count="3">
    <x:dataValidation type="list" sqref="D4:D63">
      <x:formula1>"food,content,sports,fashion_beauty_life,culture_meme_challenge,product_brand,travel"</x:formula1>
    </x:dataValidation>
    <x:dataValidation type="list" sqref="J4:J63">
      <x:formula1>"draft,ready,blocked"</x:formula1>
    </x:dataValidation>
    <x:dataValidation type="list" sqref="K4:K63">
      <x:formula1>"uncertain"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28" hidden="0" customWidth="1"/>
    <x:col min="4" max="4" width="48" hidden="0" customWidth="1"/>
    <x:col min="5" max="5" width="44" hidden="0" customWidth="1"/>
  </x:cols>
  <x:sheetData>
    <x:row r="1" ht="30" customHeight="1">
      <x:c r="A1" s="13" t="str">
        <x:v>Five Keywords | 키워드 5개</x:v>
      </x:c>
    </x:row>
    <x:row r="2" ht="32" customHeight="1">
      <x:c r="A2" s="17" t="str">
        <x:v>Enter exactly five rows per completed trend. keyword_no is 1 to 5.</x:v>
      </x:c>
    </x:row>
    <x:row r="3">
      <x:c r="A3" s="9" t="str">
        <x:v>trend_id</x:v>
      </x:c>
      <x:c r="B3" s="9" t="str">
        <x:v>keyword_no</x:v>
      </x:c>
      <x:c r="C3" s="9" t="str">
        <x:v>keyword</x:v>
      </x:c>
      <x:c r="D3" s="9" t="str">
        <x:v>source_url</x:v>
      </x:c>
      <x:c r="E3" s="9" t="str">
        <x:v>verification_note</x:v>
      </x:c>
    </x:row>
    <x:row r="4">
      <x:c r="A4" s="18" t="str">
        <x:v>kr_202607_yellow_cheese_chip</x:v>
      </x:c>
      <x:c r="B4" s="18" t="n">
        <x:v>1</x:v>
      </x:c>
      <x:c r="C4" s="18" t="str">
        <x:v>촉촉한 황치즈칩</x:v>
      </x:c>
      <x:c r="D4" s="18" t="str">
        <x:v>https://www.newspim.com/news/view/20260626000777</x:v>
      </x:c>
      <x:c r="E4" s="18" t="str">
        <x:v>공개 근거에서 확인·정규화한 관련어</x:v>
      </x:c>
    </x:row>
    <x:row r="5">
      <x:c r="A5" s="18" t="str">
        <x:v>kr_202607_yellow_cheese_chip</x:v>
      </x:c>
      <x:c r="B5" s="18" t="n">
        <x:v>2</x:v>
      </x:c>
      <x:c r="C5" s="18" t="str">
        <x:v>황치즈</x:v>
      </x:c>
      <x:c r="D5" s="18" t="str">
        <x:v>https://v.daum.net/v/20260707110300992</x:v>
      </x:c>
      <x:c r="E5" s="18" t="str">
        <x:v>공개 근거에서 확인·정규화한 관련어</x:v>
      </x:c>
    </x:row>
    <x:row r="6">
      <x:c r="A6" s="18" t="str">
        <x:v>kr_202607_yellow_cheese_chip</x:v>
      </x:c>
      <x:c r="B6" s="18" t="n">
        <x:v>3</x:v>
      </x:c>
      <x:c r="C6" s="18" t="str">
        <x:v>황치즈버터맛 생생감자칩</x:v>
      </x:c>
      <x:c r="D6" s="18" t="str">
        <x:v>https://www.yna.co.kr/view/AKR20260624036300030</x:v>
      </x:c>
      <x:c r="E6" s="18" t="str">
        <x:v>공개 근거에서 확인·정규화한 관련어</x:v>
      </x:c>
    </x:row>
    <x:row r="7">
      <x:c r="A7" s="18" t="str">
        <x:v>kr_202607_yellow_cheese_chip</x:v>
      </x:c>
      <x:c r="B7" s="18" t="n">
        <x:v>4</x:v>
      </x:c>
      <x:c r="C7" s="18" t="str">
        <x:v>허니버터칩</x:v>
      </x:c>
      <x:c r="D7" s="18" t="str">
        <x:v>https://www.yna.co.kr/view/AKR20260624036300030</x:v>
      </x:c>
      <x:c r="E7" s="18" t="str">
        <x:v>공개 근거에서 확인·정규화한 관련어</x:v>
      </x:c>
    </x:row>
    <x:row r="8">
      <x:c r="A8" s="18" t="str">
        <x:v>kr_202607_yellow_cheese_chip</x:v>
      </x:c>
      <x:c r="B8" s="18" t="n">
        <x:v>5</x:v>
      </x:c>
      <x:c r="C8" s="18" t="str">
        <x:v>C콘칩 골드</x:v>
      </x:c>
      <x:c r="D8" s="18" t="str">
        <x:v>https://v.daum.net/v/20260707110300992</x:v>
      </x:c>
      <x:c r="E8" s="18" t="str">
        <x:v>공개 근거에서 확인·정규화한 관련어</x:v>
      </x:c>
    </x:row>
    <x:row r="9">
      <x:c r="A9" s="18" t="str">
        <x:v>kr_202607_ube_dessert</x:v>
      </x:c>
      <x:c r="B9" s="18" t="n">
        <x:v>1</x:v>
      </x:c>
      <x:c r="C9" s="18" t="str">
        <x:v>우베</x:v>
      </x:c>
      <x:c r="D9" s="18" t="str">
        <x:v>https://www.donga.com/news/Economy/article/all/20260430/133842845/1</x:v>
      </x:c>
      <x:c r="E9" s="18" t="str">
        <x:v>공개 근거에서 확인·정규화한 관련어</x:v>
      </x:c>
    </x:row>
    <x:row r="10">
      <x:c r="A10" s="18" t="str">
        <x:v>kr_202607_ube_dessert</x:v>
      </x:c>
      <x:c r="B10" s="18" t="n">
        <x:v>2</x:v>
      </x:c>
      <x:c r="C10" s="18" t="str">
        <x:v>보라색 디저트</x:v>
      </x:c>
      <x:c r="D10" s="18" t="str">
        <x:v>https://blog.nasmedia.co.kr/entry/2606-lifestyletrend-eat</x:v>
      </x:c>
      <x:c r="E10" s="18" t="str">
        <x:v>공개 근거에서 확인·정규화한 관련어</x:v>
      </x:c>
    </x:row>
    <x:row r="11">
      <x:c r="A11" s="18" t="str">
        <x:v>kr_202607_ube_dessert</x:v>
      </x:c>
      <x:c r="B11" s="18" t="n">
        <x:v>3</x:v>
      </x:c>
      <x:c r="C11" s="18" t="str">
        <x:v>우베 바스크 치즈케이크</x:v>
      </x:c>
      <x:c r="D11" s="18" t="str">
        <x:v>https://www.youthdaily.co.kr/news/article.html?no=218206</x:v>
      </x:c>
      <x:c r="E11" s="18" t="str">
        <x:v>공개 근거에서 확인·정규화한 관련어</x:v>
      </x:c>
    </x:row>
    <x:row r="12">
      <x:c r="A12" s="18" t="str">
        <x:v>kr_202607_ube_dessert</x:v>
      </x:c>
      <x:c r="B12" s="18" t="n">
        <x:v>4</x:v>
      </x:c>
      <x:c r="C12" s="18" t="str">
        <x:v>찰떡파이 우베크림치즈맛</x:v>
      </x:c>
      <x:c r="D12" s="18" t="str">
        <x:v>https://www.mt.co.kr/living/2026/07/28/2026072809530461781</x:v>
      </x:c>
      <x:c r="E12" s="18" t="str">
        <x:v>공개 근거에서 확인·정규화한 관련어</x:v>
      </x:c>
    </x:row>
    <x:row r="13">
      <x:c r="A13" s="18" t="str">
        <x:v>kr_202607_ube_dessert</x:v>
      </x:c>
      <x:c r="B13" s="18" t="n">
        <x:v>5</x:v>
      </x:c>
      <x:c r="C13" s="18" t="str">
        <x:v>쿠크다스 우베맛</x:v>
      </x:c>
      <x:c r="D13" s="18" t="str">
        <x:v>https://www.koreadaily.com/article/20260728130043188</x:v>
      </x:c>
      <x:c r="E13" s="18" t="str">
        <x:v>공개 근거에서 확인·정규화한 관련어</x:v>
      </x:c>
    </x:row>
    <x:row r="14">
      <x:c r="A14" s="18" t="str">
        <x:v>kr_202606_world_cup_season</x:v>
      </x:c>
      <x:c r="B14" s="18" t="n">
        <x:v>1</x:v>
      </x:c>
      <x:c r="C14" s="18" t="str">
        <x:v>2026 FIFA 월드컵</x:v>
      </x:c>
      <x:c r="D14" s="18" t="str">
        <x:v>https://www.khan.co.kr/article/202605190600051</x:v>
      </x:c>
      <x:c r="E14" s="18" t="str">
        <x:v>공개 근거에서 확인·정규화한 관련어</x:v>
      </x:c>
    </x:row>
    <x:row r="15">
      <x:c r="A15" s="18" t="str">
        <x:v>kr_202606_world_cup_season</x:v>
      </x:c>
      <x:c r="B15" s="18" t="n">
        <x:v>2</x:v>
      </x:c>
      <x:c r="C15" s="18" t="str">
        <x:v>한국 축구대표팀</x:v>
      </x:c>
      <x:c r="D15" s="18" t="str">
        <x:v>https://www.khan.co.kr/article/202605190600051</x:v>
      </x:c>
      <x:c r="E15" s="18" t="str">
        <x:v>공개 근거에서 확인·정규화한 관련어</x:v>
      </x:c>
    </x:row>
    <x:row r="16">
      <x:c r="A16" s="18" t="str">
        <x:v>kr_202606_world_cup_season</x:v>
      </x:c>
      <x:c r="B16" s="18" t="n">
        <x:v>3</x:v>
      </x:c>
      <x:c r="C16" s="18" t="str">
        <x:v>월드컵 마케팅</x:v>
      </x:c>
      <x:c r="D16" s="18" t="str">
        <x:v>https://www.khan.co.kr/article/202605190600051</x:v>
      </x:c>
      <x:c r="E16" s="18" t="str">
        <x:v>공개 근거에서 확인·정규화한 관련어</x:v>
      </x:c>
    </x:row>
    <x:row r="17">
      <x:c r="A17" s="18" t="str">
        <x:v>kr_202606_world_cup_season</x:v>
      </x:c>
      <x:c r="B17" s="18" t="n">
        <x:v>4</x:v>
      </x:c>
      <x:c r="C17" s="18" t="str">
        <x:v>팬덤 마케팅</x:v>
      </x:c>
      <x:c r="D17" s="18" t="str">
        <x:v>https://v.daum.net/v/WVDtKKKpkt?f=p</x:v>
      </x:c>
      <x:c r="E17" s="18" t="str">
        <x:v>공개 근거에서 확인·정규화한 관련어</x:v>
      </x:c>
    </x:row>
    <x:row r="18">
      <x:c r="A18" s="18" t="str">
        <x:v>kr_202606_world_cup_season</x:v>
      </x:c>
      <x:c r="B18" s="18" t="n">
        <x:v>5</x:v>
      </x:c>
      <x:c r="C18" s="18" t="str">
        <x:v>월드컵 공식 파트너</x:v>
      </x:c>
      <x:c r="D18" s="18" t="str">
        <x:v>https://inside.fifa.com/tournament-organisation/partners</x:v>
      </x:c>
      <x:c r="E18" s="18" t="str">
        <x:v>공개 근거에서 확인·정규화한 관련어</x:v>
      </x:c>
    </x:row>
    <x:row r="19">
      <x:c r="A19" s="18" t="str">
        <x:v>kr_202608_spiderman_brand_new_day</x:v>
      </x:c>
      <x:c r="B19" s="18" t="n">
        <x:v>1</x:v>
      </x:c>
      <x:c r="C19" s="18" t="str">
        <x:v>스파이더맨: 브랜드 뉴 데이</x:v>
      </x:c>
      <x:c r="D19" s="18" t="str">
        <x:v>https://www.yna.co.kr/view/AKR20260728168100005</x:v>
      </x:c>
      <x:c r="E19" s="18" t="str">
        <x:v>공개 근거에서 확인·정규화한 관련어</x:v>
      </x:c>
    </x:row>
    <x:row r="20">
      <x:c r="A20" s="18" t="str">
        <x:v>kr_202608_spiderman_brand_new_day</x:v>
      </x:c>
      <x:c r="B20" s="18" t="n">
        <x:v>2</x:v>
      </x:c>
      <x:c r="C20" s="18" t="str">
        <x:v>톰 홀랜드</x:v>
      </x:c>
      <x:c r="D20" s="18" t="str">
        <x:v>https://www.sonypictures.com/movies/spidermanbrandnewday</x:v>
      </x:c>
      <x:c r="E20" s="18" t="str">
        <x:v>공개 근거에서 확인·정규화한 관련어</x:v>
      </x:c>
    </x:row>
    <x:row r="21">
      <x:c r="A21" s="18" t="str">
        <x:v>kr_202608_spiderman_brand_new_day</x:v>
      </x:c>
      <x:c r="B21" s="18" t="n">
        <x:v>3</x:v>
      </x:c>
      <x:c r="C21" s="18" t="str">
        <x:v>마블 스튜디오</x:v>
      </x:c>
      <x:c r="D21" s="18" t="str">
        <x:v>https://www.sonypictures.com/movies/spidermanbrandnewday</x:v>
      </x:c>
      <x:c r="E21" s="18" t="str">
        <x:v>공개 근거에서 확인·정규화한 관련어</x:v>
      </x:c>
    </x:row>
    <x:row r="22">
      <x:c r="A22" s="18" t="str">
        <x:v>kr_202608_spiderman_brand_new_day</x:v>
      </x:c>
      <x:c r="B22" s="18" t="n">
        <x:v>4</x:v>
      </x:c>
      <x:c r="C22" s="18" t="str">
        <x:v>스크린X</x:v>
      </x:c>
      <x:c r="D22" s="18" t="str">
        <x:v>https://www.yna.co.kr/view/AKR20260728168100005</x:v>
      </x:c>
      <x:c r="E22" s="18" t="str">
        <x:v>공개 근거에서 확인·정규화한 관련어</x:v>
      </x:c>
    </x:row>
    <x:row r="23">
      <x:c r="A23" s="18" t="str">
        <x:v>kr_202608_spiderman_brand_new_day</x:v>
      </x:c>
      <x:c r="B23" s="18" t="n">
        <x:v>5</x:v>
      </x:c>
      <x:c r="C23" s="18" t="str">
        <x:v>소니 픽처스</x:v>
      </x:c>
      <x:c r="D23" s="18" t="str">
        <x:v>https://www.sonypictures.com/movies/spidermanbrandnewday</x:v>
      </x:c>
      <x:c r="E23" s="18" t="str">
        <x:v>공개 근거에서 확인·정규화한 관련어</x:v>
      </x:c>
    </x:row>
    <x:row r="24">
      <x:c r="A24" s="18" t="str">
        <x:v>kr_202608_odyssey_film</x:v>
      </x:c>
      <x:c r="B24" s="18" t="n">
        <x:v>1</x:v>
      </x:c>
      <x:c r="C24" s="18" t="str">
        <x:v>오디세이</x:v>
      </x:c>
      <x:c r="D24" s="18" t="str">
        <x:v>https://imnews.imbc.com/replay/2026/nwtoday/article/6843061_37012.html</x:v>
      </x:c>
      <x:c r="E24" s="18" t="str">
        <x:v>공개 근거에서 확인·정규화한 관련어</x:v>
      </x:c>
    </x:row>
    <x:row r="25">
      <x:c r="A25" s="18" t="str">
        <x:v>kr_202608_odyssey_film</x:v>
      </x:c>
      <x:c r="B25" s="18" t="n">
        <x:v>2</x:v>
      </x:c>
      <x:c r="C25" s="18" t="str">
        <x:v>크리스토퍼 놀란</x:v>
      </x:c>
      <x:c r="D25" s="18" t="str">
        <x:v>https://imnews.imbc.com/replay/2026/nwtoday/article/6843061_37012.html</x:v>
      </x:c>
      <x:c r="E25" s="18" t="str">
        <x:v>공개 근거에서 확인·정규화한 관련어</x:v>
      </x:c>
    </x:row>
    <x:row r="26">
      <x:c r="A26" s="18" t="str">
        <x:v>kr_202608_odyssey_film</x:v>
      </x:c>
      <x:c r="B26" s="18" t="n">
        <x:v>3</x:v>
      </x:c>
      <x:c r="C26" s="18" t="str">
        <x:v>IMAX</x:v>
      </x:c>
      <x:c r="D26" s="18" t="str">
        <x:v>https://www.imax.com/pr/christopher-nolans-odyssey-continues-its-journey-imax-record</x:v>
      </x:c>
      <x:c r="E26" s="18" t="str">
        <x:v>공개 근거에서 확인·정규화한 관련어</x:v>
      </x:c>
    </x:row>
    <x:row r="27">
      <x:c r="A27" s="18" t="str">
        <x:v>kr_202608_odyssey_film</x:v>
      </x:c>
      <x:c r="B27" s="18" t="n">
        <x:v>4</x:v>
      </x:c>
      <x:c r="C27" s="18" t="str">
        <x:v>CGV 용산아이파크몰</x:v>
      </x:c>
      <x:c r="D27" s="18" t="str">
        <x:v>https://www.koreaherald.com/article/10828203</x:v>
      </x:c>
      <x:c r="E27" s="18" t="str">
        <x:v>공개 근거에서 확인·정규화한 관련어</x:v>
      </x:c>
    </x:row>
    <x:row r="28">
      <x:c r="A28" s="18" t="str">
        <x:v>kr_202608_odyssey_film</x:v>
      </x:c>
      <x:c r="B28" s="18" t="n">
        <x:v>5</x:v>
      </x:c>
      <x:c r="C28" s="18" t="str">
        <x:v>유니버설 픽처스</x:v>
      </x:c>
      <x:c r="D28" s="18" t="str">
        <x:v>https://www.universalpictures.com/</x:v>
      </x:c>
      <x:c r="E28" s="18" t="str">
        <x:v>공개 근거에서 확인·정규화한 관련어</x:v>
      </x:c>
    </x:row>
    <x:row r="29">
      <x:c r="A29" s="18" t="str">
        <x:v>kr_202608_hope_film</x:v>
      </x:c>
      <x:c r="B29" s="18" t="n">
        <x:v>1</x:v>
      </x:c>
      <x:c r="C29" s="18" t="str">
        <x:v>호프</x:v>
      </x:c>
      <x:c r="D29" s="18" t="str">
        <x:v>https://blog.hsad.co.kr/3769</x:v>
      </x:c>
      <x:c r="E29" s="18" t="str">
        <x:v>공개 근거에서 확인·정규화한 관련어</x:v>
      </x:c>
    </x:row>
    <x:row r="30">
      <x:c r="A30" s="18" t="str">
        <x:v>kr_202608_hope_film</x:v>
      </x:c>
      <x:c r="B30" s="18" t="n">
        <x:v>2</x:v>
      </x:c>
      <x:c r="C30" s="18" t="str">
        <x:v>나홍진</x:v>
      </x:c>
      <x:c r="D30" s="18" t="str">
        <x:v>https://www.yna.co.kr/view/AKR20260524003000005</x:v>
      </x:c>
      <x:c r="E30" s="18" t="str">
        <x:v>공개 근거에서 확인·정규화한 관련어</x:v>
      </x:c>
    </x:row>
    <x:row r="31">
      <x:c r="A31" s="18" t="str">
        <x:v>kr_202608_hope_film</x:v>
      </x:c>
      <x:c r="B31" s="18" t="n">
        <x:v>3</x:v>
      </x:c>
      <x:c r="C31" s="18" t="str">
        <x:v>칸영화제</x:v>
      </x:c>
      <x:c r="D31" s="18" t="str">
        <x:v>https://blog.hsad.co.kr/3769</x:v>
      </x:c>
      <x:c r="E31" s="18" t="str">
        <x:v>공개 근거에서 확인·정규화한 관련어</x:v>
      </x:c>
    </x:row>
    <x:row r="32">
      <x:c r="A32" s="18" t="str">
        <x:v>kr_202608_hope_film</x:v>
      </x:c>
      <x:c r="B32" s="18" t="n">
        <x:v>4</x:v>
      </x:c>
      <x:c r="C32" s="18" t="str">
        <x:v>한국 SF 영화</x:v>
      </x:c>
      <x:c r="D32" s="18" t="str">
        <x:v>https://www.yna.co.kr/view/AKR20260524003000005</x:v>
      </x:c>
      <x:c r="E32" s="18" t="str">
        <x:v>공개 근거에서 확인·정규화한 관련어</x:v>
      </x:c>
    </x:row>
    <x:row r="33">
      <x:c r="A33" s="18" t="str">
        <x:v>kr_202608_hope_film</x:v>
      </x:c>
      <x:c r="B33" s="18" t="n">
        <x:v>5</x:v>
      </x:c>
      <x:c r="C33" s="18" t="str">
        <x:v>여름 극장가</x:v>
      </x:c>
      <x:c r="D33" s="18" t="str">
        <x:v>https://blog.hsad.co.kr/3769</x:v>
      </x:c>
      <x:c r="E33" s="18" t="str">
        <x:v>공개 근거에서 확인·정규화한 관련어</x:v>
      </x:c>
    </x:row>
    <x:row r="34">
      <x:c r="A34" s="18" t="str">
        <x:v>kr_202608_meccha_chameleon</x:v>
      </x:c>
      <x:c r="B34" s="18" t="n">
        <x:v>1</x:v>
      </x:c>
      <x:c r="C34" s="18" t="str">
        <x:v>멧챠 카멜레온</x:v>
      </x:c>
      <x:c r="D34" s="18" t="str">
        <x:v>https://blog.hsad.co.kr/3769</x:v>
      </x:c>
      <x:c r="E34" s="18" t="str">
        <x:v>공개 근거에서 확인·정규화한 관련어</x:v>
      </x:c>
    </x:row>
    <x:row r="35">
      <x:c r="A35" s="18" t="str">
        <x:v>kr_202608_meccha_chameleon</x:v>
      </x:c>
      <x:c r="B35" s="18" t="n">
        <x:v>2</x:v>
      </x:c>
      <x:c r="C35" s="18" t="str">
        <x:v>숨바꼭질 게임</x:v>
      </x:c>
      <x:c r="D35" s="18" t="str">
        <x:v>https://www.instagram.com/reel/DafcFxXRRph/</x:v>
      </x:c>
      <x:c r="E35" s="18" t="str">
        <x:v>공개 근거에서 확인·정규화한 관련어</x:v>
      </x:c>
    </x:row>
    <x:row r="36">
      <x:c r="A36" s="18" t="str">
        <x:v>kr_202608_meccha_chameleon</x:v>
      </x:c>
      <x:c r="B36" s="18" t="n">
        <x:v>3</x:v>
      </x:c>
      <x:c r="C36" s="18" t="str">
        <x:v>현실판 카멜레온</x:v>
      </x:c>
      <x:c r="D36" s="18" t="str">
        <x:v>https://blog.hsad.co.kr/3769</x:v>
      </x:c>
      <x:c r="E36" s="18" t="str">
        <x:v>공개 근거에서 확인·정규화한 관련어</x:v>
      </x:c>
    </x:row>
    <x:row r="37">
      <x:c r="A37" s="18" t="str">
        <x:v>kr_202608_meccha_chameleon</x:v>
      </x:c>
      <x:c r="B37" s="18" t="n">
        <x:v>4</x:v>
      </x:c>
      <x:c r="C37" s="18" t="str">
        <x:v>위장 챌린지</x:v>
      </x:c>
      <x:c r="D37" s="18" t="str">
        <x:v>https://www.instagram.com/reel/DafcFxXRRph/</x:v>
      </x:c>
      <x:c r="E37" s="18" t="str">
        <x:v>공개 근거에서 확인·정규화한 관련어</x:v>
      </x:c>
    </x:row>
    <x:row r="38">
      <x:c r="A38" s="18" t="str">
        <x:v>kr_202608_meccha_chameleon</x:v>
      </x:c>
      <x:c r="B38" s="18" t="n">
        <x:v>5</x:v>
      </x:c>
      <x:c r="C38" s="18" t="str">
        <x:v>Steam 게임</x:v>
      </x:c>
      <x:c r="D38" s="18" t="str">
        <x:v>https://blog.hsad.co.kr/3769</x:v>
      </x:c>
      <x:c r="E38" s="18" t="str">
        <x:v>공개 근거에서 확인·정규화한 관련어</x:v>
      </x:c>
    </x:row>
    <x:row r="39">
      <x:c r="A39" s="18" t="str">
        <x:v>kr_202608_raeulra</x:v>
      </x:c>
      <x:c r="B39" s="18" t="n">
        <x:v>1</x:v>
      </x:c>
      <x:c r="C39" s="18" t="str">
        <x:v>라을라</x:v>
      </x:c>
      <x:c r="D39" s="18" t="str">
        <x:v>https://blog.hsad.co.kr/3769</x:v>
      </x:c>
      <x:c r="E39" s="18" t="str">
        <x:v>공개 근거에서 확인·정규화한 관련어</x:v>
      </x:c>
    </x:row>
    <x:row r="40">
      <x:c r="A40" s="18" t="str">
        <x:v>kr_202608_raeulra</x:v>
      </x:c>
      <x:c r="B40" s="18" t="n">
        <x:v>2</x:v>
      </x:c>
      <x:c r="C40" s="18" t="str">
        <x:v>하품 밈</x:v>
      </x:c>
      <x:c r="D40" s="18" t="str">
        <x:v>https://www.threads.com/@love_like_pirates/post/DbsId0TFCWv/</x:v>
      </x:c>
      <x:c r="E40" s="18" t="str">
        <x:v>공개 근거에서 확인·정규화한 관련어</x:v>
      </x:c>
    </x:row>
    <x:row r="41">
      <x:c r="A41" s="18" t="str">
        <x:v>kr_202608_raeulra</x:v>
      </x:c>
      <x:c r="B41" s="18" t="n">
        <x:v>3</x:v>
      </x:c>
      <x:c r="C41" s="18" t="str">
        <x:v>직장인 밈</x:v>
      </x:c>
      <x:c r="D41" s="18" t="str">
        <x:v>https://blog.hsad.co.kr/3769</x:v>
      </x:c>
      <x:c r="E41" s="18" t="str">
        <x:v>공개 근거에서 확인·정규화한 관련어</x:v>
      </x:c>
    </x:row>
    <x:row r="42">
      <x:c r="A42" s="18" t="str">
        <x:v>kr_202608_raeulra</x:v>
      </x:c>
      <x:c r="B42" s="18" t="n">
        <x:v>4</x:v>
      </x:c>
      <x:c r="C42" s="18" t="str">
        <x:v>성악가 소리</x:v>
      </x:c>
      <x:c r="D42" s="18" t="str">
        <x:v>https://www.threads.com/@love_like_pirates/post/DbsId0TFCWv/</x:v>
      </x:c>
      <x:c r="E42" s="18" t="str">
        <x:v>공개 근거에서 확인·정규화한 관련어</x:v>
      </x:c>
    </x:row>
    <x:row r="43">
      <x:c r="A43" s="18" t="str">
        <x:v>kr_202608_raeulra</x:v>
      </x:c>
      <x:c r="B43" s="18" t="n">
        <x:v>5</x:v>
      </x:c>
      <x:c r="C43" s="18" t="str">
        <x:v>텍스트 밈</x:v>
      </x:c>
      <x:c r="D43" s="18" t="str">
        <x:v>https://blog.hsad.co.kr/3769</x:v>
      </x:c>
      <x:c r="E43" s="18" t="str">
        <x:v>공개 근거에서 확인·정규화한 관련어</x:v>
      </x:c>
    </x:row>
    <x:row r="44">
      <x:c r="A44" s="18" t="str">
        <x:v>kr_202608_bad_challenge</x:v>
      </x:c>
      <x:c r="B44" s="18" t="n">
        <x:v>1</x:v>
      </x:c>
      <x:c r="C44" s="18" t="str">
        <x:v>ATEEZ BAD</x:v>
      </x:c>
      <x:c r="D44" s="18" t="str">
        <x:v>https://blog.hsad.co.kr/3769</x:v>
      </x:c>
      <x:c r="E44" s="18" t="str">
        <x:v>공개 근거에서 확인·정규화한 관련어</x:v>
      </x:c>
    </x:row>
    <x:row r="45">
      <x:c r="A45" s="18" t="str">
        <x:v>kr_202608_bad_challenge</x:v>
      </x:c>
      <x:c r="B45" s="18" t="n">
        <x:v>2</x:v>
      </x:c>
      <x:c r="C45" s="18" t="str">
        <x:v>BAD 챌린지</x:v>
      </x:c>
      <x:c r="D45" s="18" t="str">
        <x:v>https://www.youtube.com/shorts/6V-q4invVNg</x:v>
      </x:c>
      <x:c r="E45" s="18" t="str">
        <x:v>공개 근거에서 확인·정규화한 관련어</x:v>
      </x:c>
    </x:row>
    <x:row r="46">
      <x:c r="A46" s="18" t="str">
        <x:v>kr_202608_bad_challenge</x:v>
      </x:c>
      <x:c r="B46" s="18" t="n">
        <x:v>3</x:v>
      </x:c>
      <x:c r="C46" s="18" t="str">
        <x:v>에이티즈</x:v>
      </x:c>
      <x:c r="D46" s="18" t="str">
        <x:v>https://blog.hsad.co.kr/3769</x:v>
      </x:c>
      <x:c r="E46" s="18" t="str">
        <x:v>공개 근거에서 확인·정규화한 관련어</x:v>
      </x:c>
    </x:row>
    <x:row r="47">
      <x:c r="A47" s="18" t="str">
        <x:v>kr_202608_bad_challenge</x:v>
      </x:c>
      <x:c r="B47" s="18" t="n">
        <x:v>4</x:v>
      </x:c>
      <x:c r="C47" s="18" t="str">
        <x:v>댄스 챌린지</x:v>
      </x:c>
      <x:c r="D47" s="18" t="str">
        <x:v>https://www.youtube.com/shorts/6V-q4invVNg</x:v>
      </x:c>
      <x:c r="E47" s="18" t="str">
        <x:v>공개 근거에서 확인·정규화한 관련어</x:v>
      </x:c>
    </x:row>
    <x:row r="48">
      <x:c r="A48" s="18" t="str">
        <x:v>kr_202608_bad_challenge</x:v>
      </x:c>
      <x:c r="B48" s="18" t="n">
        <x:v>5</x:v>
      </x:c>
      <x:c r="C48" s="18" t="str">
        <x:v>SBS 가요대전</x:v>
      </x:c>
      <x:c r="D48" s="18" t="str">
        <x:v>https://blog.hsad.co.kr/3769</x:v>
      </x:c>
      <x:c r="E48" s="18" t="str">
        <x:v>공개 근거에서 확인·정규화한 관련어</x:v>
      </x:c>
    </x:row>
    <x:row r="49">
      <x:c r="A49" s="18" t="str">
        <x:v>kr_202608_snip_typography_app</x:v>
      </x:c>
      <x:c r="B49" s="18" t="n">
        <x:v>1</x:v>
      </x:c>
      <x:c r="C49" s="18" t="str">
        <x:v>SNIP</x:v>
      </x:c>
      <x:c r="D49" s="18" t="str">
        <x:v>https://gogumafarm.kr/%EC%95%B1%EC%8A%A4%ED%86%A0%EC%96%B4-1%EC%9C%84%EC%97%90-%EA%BB%91%EC%B6%A9-%EC%98%AC%EB%9E%90%EB%8B%A4%EA%B3%A0-%EC%B5%9C%EA%B7%BC-%EB%B0%94%EC%9D%B4%EB%9F%B4%EB%90%9C-%EC%95%B1%EC%9B%B9/</x:v>
      </x:c>
      <x:c r="E49" s="18" t="str">
        <x:v>공개 근거에서 확인·정규화한 관련어</x:v>
      </x:c>
    </x:row>
    <x:row r="50">
      <x:c r="A50" s="18" t="str">
        <x:v>kr_202608_snip_typography_app</x:v>
      </x:c>
      <x:c r="B50" s="18" t="n">
        <x:v>2</x:v>
      </x:c>
      <x:c r="C50" s="18" t="str">
        <x:v>타이포 줍기</x:v>
      </x:c>
      <x:c r="D50" s="18" t="str">
        <x:v>https://www.youtube.com/results?search_query=SNIP%20%ED%83%80%EC%9D%B4%ED%8F%AC%20%EC%A4%8D%EA%B8%B0</x:v>
      </x:c>
      <x:c r="E50" s="18" t="str">
        <x:v>공개 근거에서 확인·정규화한 관련어</x:v>
      </x:c>
    </x:row>
    <x:row r="51">
      <x:c r="A51" s="18" t="str">
        <x:v>kr_202608_snip_typography_app</x:v>
      </x:c>
      <x:c r="B51" s="18" t="n">
        <x:v>3</x:v>
      </x:c>
      <x:c r="C51" s="18" t="str">
        <x:v>폰트 수집</x:v>
      </x:c>
      <x:c r="D51" s="18" t="str">
        <x:v>https://gogumafarm.kr/%EC%95%B1%EC%8A%A4%ED%86%A0%EC%96%B4-1%EC%9C%84%EC%97%90-%EA%BB%91%EC%B6%A9-%EC%98%AC%EB%9E%90%EB%8B%A4%EA%B3%A0-%EC%B5%9C%EA%B7%BC-%EB%B0%94%EC%9D%B4%EB%9F%B4%EB%90%9C-%EC%95%B1%EC%9B%B9/</x:v>
      </x:c>
      <x:c r="E51" s="18" t="str">
        <x:v>공개 근거에서 확인·정규화한 관련어</x:v>
      </x:c>
    </x:row>
    <x:row r="52">
      <x:c r="A52" s="18" t="str">
        <x:v>kr_202608_snip_typography_app</x:v>
      </x:c>
      <x:c r="B52" s="18" t="n">
        <x:v>4</x:v>
      </x:c>
      <x:c r="C52" s="18" t="str">
        <x:v>디자인 앱</x:v>
      </x:c>
      <x:c r="D52" s="18" t="str">
        <x:v>https://www.youtube.com/results?search_query=SNIP%20%ED%83%80%EC%9D%B4%ED%8F%AC%20%EC%A4%8D%EA%B8%B0</x:v>
      </x:c>
      <x:c r="E52" s="18" t="str">
        <x:v>공개 근거에서 확인·정규화한 관련어</x:v>
      </x:c>
    </x:row>
    <x:row r="53">
      <x:c r="A53" s="18" t="str">
        <x:v>kr_202608_snip_typography_app</x:v>
      </x:c>
      <x:c r="B53" s="18" t="n">
        <x:v>5</x:v>
      </x:c>
      <x:c r="C53" s="18" t="str">
        <x:v>앱스토어 바이럴</x:v>
      </x:c>
      <x:c r="D53" s="18" t="str">
        <x:v>https://gogumafarm.kr/%EC%95%B1%EC%8A%A4%ED%86%A0%EC%96%B4-1%EC%9C%84%EC%97%90-%EA%BB%91%EC%B6%A9-%EC%98%AC%EB%9E%90%EB%8B%A4%EA%B3%A0-%EC%B5%9C%EA%B7%BC-%EB%B0%94%EC%9D%B4%EB%9F%B4%EB%90%9C-%EC%95%B1%EC%9B%B9/</x:v>
      </x:c>
      <x:c r="E53" s="18" t="str">
        <x:v>공개 근거에서 확인·정규화한 관련어</x:v>
      </x:c>
    </x:row>
    <x:row r="54">
      <x:c r="A54" s="18" t="str">
        <x:v>kr_202608_baljachi_app</x:v>
      </x:c>
      <x:c r="B54" s="18" t="n">
        <x:v>1</x:v>
      </x:c>
      <x:c r="C54" s="18" t="str">
        <x:v>발자취</x:v>
      </x:c>
      <x:c r="D54" s="18" t="str">
        <x:v>https://gogumafarm.kr/%EC%95%B1%EC%8A%A4%ED%86%A0%EC%96%B4-1%EC%9C%84%EC%97%90-%EA%BB%91%EC%B6%A9-%EC%98%AC%EB%9E%90%EB%8B%A4%EA%B3%A0-%EC%B5%9C%EA%B7%BC-%EB%B0%94%EC%9D%B4%EB%9F%B4%EB%90%9C-%EC%95%B1%EC%9B%B9/</x:v>
      </x:c>
      <x:c r="E54" s="18" t="str">
        <x:v>공개 근거에서 확인·정규화한 관련어</x:v>
      </x:c>
    </x:row>
    <x:row r="55">
      <x:c r="A55" s="18" t="str">
        <x:v>kr_202608_baljachi_app</x:v>
      </x:c>
      <x:c r="B55" s="18" t="n">
        <x:v>2</x:v>
      </x:c>
      <x:c r="C55" s="18" t="str">
        <x:v>산책 기록</x:v>
      </x:c>
      <x:c r="D55" s="18" t="str">
        <x:v>https://www.youtube.com/results?search_query=%EB%B0%9C%EC%9E%90%EC%B7%A8</x:v>
      </x:c>
      <x:c r="E55" s="18" t="str">
        <x:v>공개 근거에서 확인·정규화한 관련어</x:v>
      </x:c>
    </x:row>
    <x:row r="56">
      <x:c r="A56" s="18" t="str">
        <x:v>kr_202608_baljachi_app</x:v>
      </x:c>
      <x:c r="B56" s="18" t="n">
        <x:v>3</x:v>
      </x:c>
      <x:c r="C56" s="18" t="str">
        <x:v>위치 기반 앱</x:v>
      </x:c>
      <x:c r="D56" s="18" t="str">
        <x:v>https://gogumafarm.kr/%EC%95%B1%EC%8A%A4%ED%86%A0%EC%96%B4-1%EC%9C%84%EC%97%90-%EA%BB%91%EC%B6%A9-%EC%98%AC%EB%9E%90%EB%8B%A4%EA%B3%A0-%EC%B5%9C%EA%B7%BC-%EB%B0%94%EC%9D%B4%EB%9F%B4%EB%90%9C-%EC%95%B1%EC%9B%B9/</x:v>
      </x:c>
      <x:c r="E56" s="18" t="str">
        <x:v>공개 근거에서 확인·정규화한 관련어</x:v>
      </x:c>
    </x:row>
    <x:row r="57">
      <x:c r="A57" s="18" t="str">
        <x:v>kr_202608_baljachi_app</x:v>
      </x:c>
      <x:c r="B57" s="18" t="n">
        <x:v>4</x:v>
      </x:c>
      <x:c r="C57" s="18" t="str">
        <x:v>경로 공유</x:v>
      </x:c>
      <x:c r="D57" s="18" t="str">
        <x:v>https://www.youtube.com/results?search_query=%EB%B0%9C%EC%9E%90%EC%B7%A8</x:v>
      </x:c>
      <x:c r="E57" s="18" t="str">
        <x:v>공개 근거에서 확인·정규화한 관련어</x:v>
      </x:c>
    </x:row>
    <x:row r="58">
      <x:c r="A58" s="18" t="str">
        <x:v>kr_202608_baljachi_app</x:v>
      </x:c>
      <x:c r="B58" s="18" t="n">
        <x:v>5</x:v>
      </x:c>
      <x:c r="C58" s="18" t="str">
        <x:v>라이프로그</x:v>
      </x:c>
      <x:c r="D58" s="18" t="str">
        <x:v>https://gogumafarm.kr/%EC%95%B1%EC%8A%A4%ED%86%A0%EC%96%B4-1%EC%9C%84%EC%97%90-%EA%BB%91%EC%B6%A9-%EC%98%AC%EB%9E%90%EB%8B%A4%EA%B3%A0-%EC%B5%9C%EA%B7%BC-%EB%B0%94%EC%9D%B4%EB%9F%B4%EB%90%9C-%EC%95%B1%EC%9B%B9/</x:v>
      </x:c>
      <x:c r="E58" s="18" t="str">
        <x:v>공개 근거에서 확인·정규화한 관련어</x:v>
      </x:c>
    </x:row>
    <x:row r="59">
      <x:c r="A59" s="18" t="str">
        <x:v>kr_202608_guinius</x:v>
      </x:c>
      <x:c r="B59" s="18" t="n">
        <x:v>1</x:v>
      </x:c>
      <x:c r="C59" s="18" t="str">
        <x:v>기니어스</x:v>
      </x:c>
      <x:c r="D59" s="18" t="str">
        <x:v>https://gogumafarm.kr/%EC%95%B1%EC%8A%A4%ED%86%A0%EC%96%B4-1%EC%9C%84%EC%97%90-%EA%BB%91%EC%B6%A9-%EC%98%AC%EB%9E%90%EB%8B%A4%EA%B3%A0-%EC%B5%9C%EA%B7%BC-%EB%B0%94%EC%9D%B4%EB%9F%B4%EB%90%9C-%EC%95%B1%EC%9B%B9/</x:v>
      </x:c>
      <x:c r="E59" s="18" t="str">
        <x:v>공개 근거에서 확인·정규화한 관련어</x:v>
      </x:c>
    </x:row>
    <x:row r="60">
      <x:c r="A60" s="18" t="str">
        <x:v>kr_202608_guinius</x:v>
      </x:c>
      <x:c r="B60" s="18" t="n">
        <x:v>2</x:v>
      </x:c>
      <x:c r="C60" s="18" t="str">
        <x:v>AI 앱</x:v>
      </x:c>
      <x:c r="D60" s="18" t="str">
        <x:v>https://www.youtube.com/results?search_query=%EA%B8%B0%EB%8B%88%EC%96%B4%EC%8A%A4</x:v>
      </x:c>
      <x:c r="E60" s="18" t="str">
        <x:v>공개 근거에서 확인·정규화한 관련어</x:v>
      </x:c>
    </x:row>
    <x:row r="61">
      <x:c r="A61" s="18" t="str">
        <x:v>kr_202608_guinius</x:v>
      </x:c>
      <x:c r="B61" s="18" t="n">
        <x:v>3</x:v>
      </x:c>
      <x:c r="C61" s="18" t="str">
        <x:v>생성형 서비스</x:v>
      </x:c>
      <x:c r="D61" s="18" t="str">
        <x:v>https://gogumafarm.kr/%EC%95%B1%EC%8A%A4%ED%86%A0%EC%96%B4-1%EC%9C%84%EC%97%90-%EA%BB%91%EC%B6%A9-%EC%98%AC%EB%9E%90%EB%8B%A4%EA%B3%A0-%EC%B5%9C%EA%B7%BC-%EB%B0%94%EC%9D%B4%EB%9F%B4%EB%90%9C-%EC%95%B1%EC%9B%B9/</x:v>
      </x:c>
      <x:c r="E61" s="18" t="str">
        <x:v>공개 근거에서 확인·정규화한 관련어</x:v>
      </x:c>
    </x:row>
    <x:row r="62">
      <x:c r="A62" s="18" t="str">
        <x:v>kr_202608_guinius</x:v>
      </x:c>
      <x:c r="B62" s="18" t="n">
        <x:v>4</x:v>
      </x:c>
      <x:c r="C62" s="18" t="str">
        <x:v>바이럴 앱</x:v>
      </x:c>
      <x:c r="D62" s="18" t="str">
        <x:v>https://www.youtube.com/results?search_query=%EA%B8%B0%EB%8B%88%EC%96%B4%EC%8A%A4</x:v>
      </x:c>
      <x:c r="E62" s="18" t="str">
        <x:v>공개 근거에서 확인·정규화한 관련어</x:v>
      </x:c>
    </x:row>
    <x:row r="63">
      <x:c r="A63" s="18" t="str">
        <x:v>kr_202608_guinius</x:v>
      </x:c>
      <x:c r="B63" s="18" t="n">
        <x:v>5</x:v>
      </x:c>
      <x:c r="C63" s="18" t="str">
        <x:v>모바일 생산성</x:v>
      </x:c>
      <x:c r="D63" s="18" t="str">
        <x:v>https://gogumafarm.kr/%EC%95%B1%EC%8A%A4%ED%86%A0%EC%96%B4-1%EC%9C%84%EC%97%90-%EA%BB%91%EC%B6%A9-%EC%98%AC%EB%9E%90%EB%8B%A4%EA%B3%A0-%EC%B5%9C%EA%B7%BC-%EB%B0%94%EC%9D%B4%EB%9F%B4%EB%90%9C-%EC%95%B1%EC%9B%B9/</x:v>
      </x:c>
      <x:c r="E63" s="18" t="str">
        <x:v>공개 근거에서 확인·정규화한 관련어</x:v>
      </x:c>
    </x:row>
    <x:row r="64">
      <x:c r="A64" s="18" t="str">
        <x:v>kr_202608_desktop_pet_doldoli</x:v>
      </x:c>
      <x:c r="B64" s="18" t="n">
        <x:v>1</x:v>
      </x:c>
      <x:c r="C64" s="18" t="str">
        <x:v>돌돌이</x:v>
      </x:c>
      <x:c r="D64" s="18" t="str">
        <x:v>https://gogumafarm.kr/%EC%95%B1%EC%8A%A4%ED%86%A0%EC%96%B4-1%EC%9C%84%EC%97%90-%EA%BB%91%EC%B6%A9-%EC%98%AC%EB%9E%90%EB%8B%A4%EA%B3%A0-%EC%B5%9C%EA%B7%BC-%EB%B0%94%EC%9D%B4%EB%9F%B4%EB%90%9C-%EC%95%B1%EC%9B%B9/</x:v>
      </x:c>
      <x:c r="E64" s="18" t="str">
        <x:v>공개 근거에서 확인·정규화한 관련어</x:v>
      </x:c>
    </x:row>
    <x:row r="65">
      <x:c r="A65" s="18" t="str">
        <x:v>kr_202608_desktop_pet_doldoli</x:v>
      </x:c>
      <x:c r="B65" s="18" t="n">
        <x:v>2</x:v>
      </x:c>
      <x:c r="C65" s="18" t="str">
        <x:v>데스크탑 펫</x:v>
      </x:c>
      <x:c r="D65" s="18" t="str">
        <x:v>https://www.youtube.com/results?search_query=%EB%8D%B0%EC%8A%A4%ED%81%AC%ED%83%91%20%ED%8E%AB%20%EB%8F%8C%EB%8F%8C%EC%9D%B4</x:v>
      </x:c>
      <x:c r="E65" s="18" t="str">
        <x:v>공개 근거에서 확인·정규화한 관련어</x:v>
      </x:c>
    </x:row>
    <x:row r="66">
      <x:c r="A66" s="18" t="str">
        <x:v>kr_202608_desktop_pet_doldoli</x:v>
      </x:c>
      <x:c r="B66" s="18" t="n">
        <x:v>3</x:v>
      </x:c>
      <x:c r="C66" s="18" t="str">
        <x:v>화면 캐릭터</x:v>
      </x:c>
      <x:c r="D66" s="18" t="str">
        <x:v>https://gogumafarm.kr/%EC%95%B1%EC%8A%A4%ED%86%A0%EC%96%B4-1%EC%9C%84%EC%97%90-%EA%BB%91%EC%B6%A9-%EC%98%AC%EB%9E%90%EB%8B%A4%EA%B3%A0-%EC%B5%9C%EA%B7%BC-%EB%B0%94%EC%9D%B4%EB%9F%B4%EB%90%9C-%EC%95%B1%EC%9B%B9/</x:v>
      </x:c>
      <x:c r="E66" s="18" t="str">
        <x:v>공개 근거에서 확인·정규화한 관련어</x:v>
      </x:c>
    </x:row>
    <x:row r="67">
      <x:c r="A67" s="18" t="str">
        <x:v>kr_202608_desktop_pet_doldoli</x:v>
      </x:c>
      <x:c r="B67" s="18" t="n">
        <x:v>4</x:v>
      </x:c>
      <x:c r="C67" s="18" t="str">
        <x:v>디지털 반려</x:v>
      </x:c>
      <x:c r="D67" s="18" t="str">
        <x:v>https://www.youtube.com/results?search_query=%EB%8D%B0%EC%8A%A4%ED%81%AC%ED%83%91%20%ED%8E%AB%20%EB%8F%8C%EB%8F%8C%EC%9D%B4</x:v>
      </x:c>
      <x:c r="E67" s="18" t="str">
        <x:v>공개 근거에서 확인·정규화한 관련어</x:v>
      </x:c>
    </x:row>
    <x:row r="68">
      <x:c r="A68" s="18" t="str">
        <x:v>kr_202608_desktop_pet_doldoli</x:v>
      </x:c>
      <x:c r="B68" s="18" t="n">
        <x:v>5</x:v>
      </x:c>
      <x:c r="C68" s="18" t="str">
        <x:v>PC 꾸미기</x:v>
      </x:c>
      <x:c r="D68" s="18" t="str">
        <x:v>https://gogumafarm.kr/%EC%95%B1%EC%8A%A4%ED%86%A0%EC%96%B4-1%EC%9C%84%EC%97%90-%EA%BB%91%EC%B6%A9-%EC%98%AC%EB%9E%90%EB%8B%A4%EA%B3%A0-%EC%B5%9C%EA%B7%BC-%EB%B0%94%EC%9D%B4%EB%9F%B4%EB%90%9C-%EC%95%B1%EC%9B%B9/</x:v>
      </x:c>
      <x:c r="E68" s="18" t="str">
        <x:v>공개 근거에서 확인·정규화한 관련어</x:v>
      </x:c>
    </x:row>
    <x:row r="69">
      <x:c r="A69" s="18" t="str">
        <x:v>kr_202608_mintia_my_label</x:v>
      </x:c>
      <x:c r="B69" s="18" t="n">
        <x:v>1</x:v>
      </x:c>
      <x:c r="C69" s="18" t="str">
        <x:v>민티아 마이 라벨</x:v>
      </x:c>
      <x:c r="D69" s="18" t="str">
        <x:v>https://gogumafarm.kr/%EC%95%B1%EC%8A%A4%ED%86%A0%EC%96%B4-1%EC%9C%84%EC%97%90-%EA%BB%91%EC%B6%A9-%EC%98%AC%EB%9E%90%EB%8B%A4%EA%B3%A0-%EC%B5%9C%EA%B7%BC-%EB%B0%94%EC%9D%B4%EB%9F%B4%EB%90%9C-%EC%95%B1%EC%9B%B9/</x:v>
      </x:c>
      <x:c r="E69" s="18" t="str">
        <x:v>공개 근거에서 확인·정규화한 관련어</x:v>
      </x:c>
    </x:row>
    <x:row r="70">
      <x:c r="A70" s="18" t="str">
        <x:v>kr_202608_mintia_my_label</x:v>
      </x:c>
      <x:c r="B70" s="18" t="n">
        <x:v>2</x:v>
      </x:c>
      <x:c r="C70" s="18" t="str">
        <x:v>라벨 메이커</x:v>
      </x:c>
      <x:c r="D70" s="18" t="str">
        <x:v>https://www.youtube.com/results?search_query=%EB%AF%BC%ED%8B%B0%EC%95%84%20%EB%A7%88%EC%9D%B4%20%EB%9D%BC%EB%B2%A8%20%EB%A9%94%EC%9D%B4%EC%BB%A4</x:v>
      </x:c>
      <x:c r="E70" s="18" t="str">
        <x:v>공개 근거에서 확인·정규화한 관련어</x:v>
      </x:c>
    </x:row>
    <x:row r="71">
      <x:c r="A71" s="18" t="str">
        <x:v>kr_202608_mintia_my_label</x:v>
      </x:c>
      <x:c r="B71" s="18" t="n">
        <x:v>3</x:v>
      </x:c>
      <x:c r="C71" s="18" t="str">
        <x:v>개인화 패키지</x:v>
      </x:c>
      <x:c r="D71" s="18" t="str">
        <x:v>https://gogumafarm.kr/%EC%95%B1%EC%8A%A4%ED%86%A0%EC%96%B4-1%EC%9C%84%EC%97%90-%EA%BB%91%EC%B6%A9-%EC%98%AC%EB%9E%90%EB%8B%A4%EA%B3%A0-%EC%B5%9C%EA%B7%BC-%EB%B0%94%EC%9D%B4%EB%9F%B4%EB%90%9C-%EC%95%B1%EC%9B%B9/</x:v>
      </x:c>
      <x:c r="E71" s="18" t="str">
        <x:v>공개 근거에서 확인·정규화한 관련어</x:v>
      </x:c>
    </x:row>
    <x:row r="72">
      <x:c r="A72" s="18" t="str">
        <x:v>kr_202608_mintia_my_label</x:v>
      </x:c>
      <x:c r="B72" s="18" t="n">
        <x:v>4</x:v>
      </x:c>
      <x:c r="C72" s="18" t="str">
        <x:v>브랜드 놀이</x:v>
      </x:c>
      <x:c r="D72" s="18" t="str">
        <x:v>https://www.youtube.com/results?search_query=%EB%AF%BC%ED%8B%B0%EC%95%84%20%EB%A7%88%EC%9D%B4%20%EB%9D%BC%EB%B2%A8%20%EB%A9%94%EC%9D%B4%EC%BB%A4</x:v>
      </x:c>
      <x:c r="E72" s="18" t="str">
        <x:v>공개 근거에서 확인·정규화한 관련어</x:v>
      </x:c>
    </x:row>
    <x:row r="73">
      <x:c r="A73" s="18" t="str">
        <x:v>kr_202608_mintia_my_label</x:v>
      </x:c>
      <x:c r="B73" s="18" t="n">
        <x:v>5</x:v>
      </x:c>
      <x:c r="C73" s="18" t="str">
        <x:v>커스텀 이미지</x:v>
      </x:c>
      <x:c r="D73" s="18" t="str">
        <x:v>https://gogumafarm.kr/%EC%95%B1%EC%8A%A4%ED%86%A0%EC%96%B4-1%EC%9C%84%EC%97%90-%EA%BB%91%EC%B6%A9-%EC%98%AC%EB%9E%90%EB%8B%A4%EA%B3%A0-%EC%B5%9C%EA%B7%BC-%EB%B0%94%EC%9D%B4%EB%9F%B4%EB%90%9C-%EC%95%B1%EC%9B%B9/</x:v>
      </x:c>
      <x:c r="E73" s="18" t="str">
        <x:v>공개 근거에서 확인·정규화한 관련어</x:v>
      </x:c>
    </x:row>
    <x:row r="74">
      <x:c r="A74" s="18" t="str">
        <x:v>kr_202607_nugawarawatge</x:v>
      </x:c>
      <x:c r="B74" s="18" t="n">
        <x:v>1</x:v>
      </x:c>
      <x:c r="C74" s="18" t="str">
        <x:v>누가 돌아왔게</x:v>
      </x:c>
      <x:c r="D74" s="18" t="str">
        <x:v>https://blog.hsad.co.kr/3760</x:v>
      </x:c>
      <x:c r="E74" s="18" t="str">
        <x:v>공개 근거에서 확인·정규화한 관련어</x:v>
      </x:c>
    </x:row>
    <x:row r="75">
      <x:c r="A75" s="18" t="str">
        <x:v>kr_202607_nugawarawatge</x:v>
      </x:c>
      <x:c r="B75" s="18" t="n">
        <x:v>2</x:v>
      </x:c>
      <x:c r="C75" s="18" t="str">
        <x:v>귀환 밈</x:v>
      </x:c>
      <x:c r="D75" s="18" t="str">
        <x:v>https://www.youtube.com/results?search_query=%EB%88%84%EA%B0%80%20%EB%8F%8C%EC%95%84%EC%99%94~%EA%B2%8C</x:v>
      </x:c>
      <x:c r="E75" s="18" t="str">
        <x:v>공개 근거에서 확인·정규화한 관련어</x:v>
      </x:c>
    </x:row>
    <x:row r="76">
      <x:c r="A76" s="18" t="str">
        <x:v>kr_202607_nugawarawatge</x:v>
      </x:c>
      <x:c r="B76" s="18" t="n">
        <x:v>3</x:v>
      </x:c>
      <x:c r="C76" s="18" t="str">
        <x:v>등장 숏폼</x:v>
      </x:c>
      <x:c r="D76" s="18" t="str">
        <x:v>https://blog.hsad.co.kr/3760</x:v>
      </x:c>
      <x:c r="E76" s="18" t="str">
        <x:v>공개 근거에서 확인·정규화한 관련어</x:v>
      </x:c>
    </x:row>
    <x:row r="77">
      <x:c r="A77" s="18" t="str">
        <x:v>kr_202607_nugawarawatge</x:v>
      </x:c>
      <x:c r="B77" s="18" t="n">
        <x:v>4</x:v>
      </x:c>
      <x:c r="C77" s="18" t="str">
        <x:v>반전 편집</x:v>
      </x:c>
      <x:c r="D77" s="18" t="str">
        <x:v>https://www.youtube.com/results?search_query=%EB%88%84%EA%B0%80%20%EB%8F%8C%EC%95%84%EC%99%94~%EA%B2%8C</x:v>
      </x:c>
      <x:c r="E77" s="18" t="str">
        <x:v>공개 근거에서 확인·정규화한 관련어</x:v>
      </x:c>
    </x:row>
    <x:row r="78">
      <x:c r="A78" s="18" t="str">
        <x:v>kr_202607_nugawarawatge</x:v>
      </x:c>
      <x:c r="B78" s="18" t="n">
        <x:v>5</x:v>
      </x:c>
      <x:c r="C78" s="18" t="str">
        <x:v>릴스 포맷</x:v>
      </x:c>
      <x:c r="D78" s="18" t="str">
        <x:v>https://blog.hsad.co.kr/3760</x:v>
      </x:c>
      <x:c r="E78" s="18" t="str">
        <x:v>공개 근거에서 확인·정규화한 관련어</x:v>
      </x:c>
    </x:row>
    <x:row r="79">
      <x:c r="A79" s="18" t="str">
        <x:v>kr_202607_jelly_shoes_custom</x:v>
      </x:c>
      <x:c r="B79" s="18" t="n">
        <x:v>1</x:v>
      </x:c>
      <x:c r="C79" s="18" t="str">
        <x:v>젤리슈즈 꾸미기</x:v>
      </x:c>
      <x:c r="D79" s="18" t="str">
        <x:v>https://gogumafarm.kr/%EC%98%A4%ED%94%88%ED%86%A0%EC%82%AD%EC%8A%A4%C2%B7%EC%95%94%EC%BB%A4%ED%94%84%C2%B7%EB%84%A4%ED%8A%B8%EB%B0%B1-%EB%8B%B9%EC%9E%A5-%EC%8D%A8%EB%A8%B9%EC%9D%84-%EC%88%98-%EC%9E%88%EB%8A%94/</x:v>
      </x:c>
      <x:c r="E79" s="18" t="str">
        <x:v>공개 근거에서 확인·정규화한 관련어</x:v>
      </x:c>
    </x:row>
    <x:row r="80">
      <x:c r="A80" s="18" t="str">
        <x:v>kr_202607_jelly_shoes_custom</x:v>
      </x:c>
      <x:c r="B80" s="18" t="n">
        <x:v>2</x:v>
      </x:c>
      <x:c r="C80" s="18" t="str">
        <x:v>슈즈 참</x:v>
      </x:c>
      <x:c r="D80" s="18" t="str">
        <x:v>https://www.youtube.com/results?search_query=%EC%A0%A4%EB%A6%AC%EC%8A%88%EC%A6%88%20%EA%BE%B8%EB%AF%B8%EA%B8%B0</x:v>
      </x:c>
      <x:c r="E80" s="18" t="str">
        <x:v>공개 근거에서 확인·정규화한 관련어</x:v>
      </x:c>
    </x:row>
    <x:row r="81">
      <x:c r="A81" s="18" t="str">
        <x:v>kr_202607_jelly_shoes_custom</x:v>
      </x:c>
      <x:c r="B81" s="18" t="n">
        <x:v>3</x:v>
      </x:c>
      <x:c r="C81" s="18" t="str">
        <x:v>여름 샌들</x:v>
      </x:c>
      <x:c r="D81" s="18" t="str">
        <x:v>https://gogumafarm.kr/%EC%98%A4%ED%94%88%ED%86%A0%EC%82%AD%EC%8A%A4%C2%B7%EC%95%94%EC%BB%A4%ED%94%84%C2%B7%EB%84%A4%ED%8A%B8%EB%B0%B1-%EB%8B%B9%EC%9E%A5-%EC%8D%A8%EB%A8%B9%EC%9D%84-%EC%88%98-%EC%9E%88%EB%8A%94/</x:v>
      </x:c>
      <x:c r="E81" s="18" t="str">
        <x:v>공개 근거에서 확인·정규화한 관련어</x:v>
      </x:c>
    </x:row>
    <x:row r="82">
      <x:c r="A82" s="18" t="str">
        <x:v>kr_202607_jelly_shoes_custom</x:v>
      </x:c>
      <x:c r="B82" s="18" t="n">
        <x:v>4</x:v>
      </x:c>
      <x:c r="C82" s="18" t="str">
        <x:v>커스텀 패션</x:v>
      </x:c>
      <x:c r="D82" s="18" t="str">
        <x:v>https://www.youtube.com/results?search_query=%EC%A0%A4%EB%A6%AC%EC%8A%88%EC%A6%88%20%EA%BE%B8%EB%AF%B8%EA%B8%B0</x:v>
      </x:c>
      <x:c r="E82" s="18" t="str">
        <x:v>공개 근거에서 확인·정규화한 관련어</x:v>
      </x:c>
    </x:row>
    <x:row r="83">
      <x:c r="A83" s="18" t="str">
        <x:v>kr_202607_jelly_shoes_custom</x:v>
      </x:c>
      <x:c r="B83" s="18" t="n">
        <x:v>5</x:v>
      </x:c>
      <x:c r="C83" s="18" t="str">
        <x:v>DIY 액세서리</x:v>
      </x:c>
      <x:c r="D83" s="18" t="str">
        <x:v>https://gogumafarm.kr/%EC%98%A4%ED%94%88%ED%86%A0%EC%82%AD%EC%8A%A4%C2%B7%EC%95%94%EC%BB%A4%ED%94%84%C2%B7%EB%84%A4%ED%8A%B8%EB%B0%B1-%EB%8B%B9%EC%9E%A5-%EC%8D%A8%EB%A8%B9%EC%9D%84-%EC%88%98-%EC%9E%88%EB%8A%94/</x:v>
      </x:c>
      <x:c r="E83" s="18" t="str">
        <x:v>공개 근거에서 확인·정규화한 관련어</x:v>
      </x:c>
    </x:row>
    <x:row r="84">
      <x:c r="A84" s="18" t="str">
        <x:v>kr_202607_nose_tap_challenge</x:v>
      </x:c>
      <x:c r="B84" s="18" t="n">
        <x:v>1</x:v>
      </x:c>
      <x:c r="C84" s="18" t="str">
        <x:v>코 때리기 챌린지</x:v>
      </x:c>
      <x:c r="D84" s="18" t="str">
        <x:v>https://blog.hsad.co.kr/3760</x:v>
      </x:c>
      <x:c r="E84" s="18" t="str">
        <x:v>공개 근거에서 확인·정규화한 관련어</x:v>
      </x:c>
    </x:row>
    <x:row r="85">
      <x:c r="A85" s="18" t="str">
        <x:v>kr_202607_nose_tap_challenge</x:v>
      </x:c>
      <x:c r="B85" s="18" t="n">
        <x:v>2</x:v>
      </x:c>
      <x:c r="C85" s="18" t="str">
        <x:v>미안해 리액션</x:v>
      </x:c>
      <x:c r="D85" s="18" t="str">
        <x:v>https://www.youtube.com/results?search_query=%EC%BD%94%20%EB%95%8C%EB%A6%AC%EA%B3%A0%20%EB%AF%B8%EC%95%88%ED%95%B4%ED%95%98%EB%8A%94%20%EC%B1%8C%EB%A6%B0%EC%A7%80</x:v>
      </x:c>
      <x:c r="E85" s="18" t="str">
        <x:v>공개 근거에서 확인·정규화한 관련어</x:v>
      </x:c>
    </x:row>
    <x:row r="86">
      <x:c r="A86" s="18" t="str">
        <x:v>kr_202607_nose_tap_challenge</x:v>
      </x:c>
      <x:c r="B86" s="18" t="n">
        <x:v>3</x:v>
      </x:c>
      <x:c r="C86" s="18" t="str">
        <x:v>커플 숏폼</x:v>
      </x:c>
      <x:c r="D86" s="18" t="str">
        <x:v>https://blog.hsad.co.kr/3760</x:v>
      </x:c>
      <x:c r="E86" s="18" t="str">
        <x:v>공개 근거에서 확인·정규화한 관련어</x:v>
      </x:c>
    </x:row>
    <x:row r="87">
      <x:c r="A87" s="18" t="str">
        <x:v>kr_202607_nose_tap_challenge</x:v>
      </x:c>
      <x:c r="B87" s="18" t="n">
        <x:v>4</x:v>
      </x:c>
      <x:c r="C87" s="18" t="str">
        <x:v>반려동물 숏폼</x:v>
      </x:c>
      <x:c r="D87" s="18" t="str">
        <x:v>https://www.youtube.com/results?search_query=%EC%BD%94%20%EB%95%8C%EB%A6%AC%EA%B3%A0%20%EB%AF%B8%EC%95%88%ED%95%B4%ED%95%98%EB%8A%94%20%EC%B1%8C%EB%A6%B0%EC%A7%80</x:v>
      </x:c>
      <x:c r="E87" s="18" t="str">
        <x:v>공개 근거에서 확인·정규화한 관련어</x:v>
      </x:c>
    </x:row>
    <x:row r="88">
      <x:c r="A88" s="18" t="str">
        <x:v>kr_202607_nose_tap_challenge</x:v>
      </x:c>
      <x:c r="B88" s="18" t="n">
        <x:v>5</x:v>
      </x:c>
      <x:c r="C88" s="18" t="str">
        <x:v>리액션 밈</x:v>
      </x:c>
      <x:c r="D88" s="18" t="str">
        <x:v>https://blog.hsad.co.kr/3760</x:v>
      </x:c>
      <x:c r="E88" s="18" t="str">
        <x:v>공개 근거에서 확인·정규화한 관련어</x:v>
      </x:c>
    </x:row>
    <x:row r="89">
      <x:c r="A89" s="18" t="str">
        <x:v>kr_202607_yar_song</x:v>
      </x:c>
      <x:c r="B89" s="18" t="n">
        <x:v>1</x:v>
      </x:c>
      <x:c r="C89" s="18" t="str">
        <x:v>야르송</x:v>
      </x:c>
      <x:c r="D89" s="18" t="str">
        <x:v>https://blog.hsad.co.kr/3760</x:v>
      </x:c>
      <x:c r="E89" s="18" t="str">
        <x:v>공개 근거에서 확인·정규화한 관련어</x:v>
      </x:c>
    </x:row>
    <x:row r="90">
      <x:c r="A90" s="18" t="str">
        <x:v>kr_202607_yar_song</x:v>
      </x:c>
      <x:c r="B90" s="18" t="n">
        <x:v>2</x:v>
      </x:c>
      <x:c r="C90" s="18" t="str">
        <x:v>야르 챌린지</x:v>
      </x:c>
      <x:c r="D90" s="18" t="str">
        <x:v>https://www.youtube.com/results?search_query=%EC%95%BC%EB%A5%B4%EC%86%A1</x:v>
      </x:c>
      <x:c r="E90" s="18" t="str">
        <x:v>공개 근거에서 확인·정규화한 관련어</x:v>
      </x:c>
    </x:row>
    <x:row r="91">
      <x:c r="A91" s="18" t="str">
        <x:v>kr_202607_yar_song</x:v>
      </x:c>
      <x:c r="B91" s="18" t="n">
        <x:v>3</x:v>
      </x:c>
      <x:c r="C91" s="18" t="str">
        <x:v>반복 음원</x:v>
      </x:c>
      <x:c r="D91" s="18" t="str">
        <x:v>https://blog.hsad.co.kr/3760</x:v>
      </x:c>
      <x:c r="E91" s="18" t="str">
        <x:v>공개 근거에서 확인·정규화한 관련어</x:v>
      </x:c>
    </x:row>
    <x:row r="92">
      <x:c r="A92" s="18" t="str">
        <x:v>kr_202607_yar_song</x:v>
      </x:c>
      <x:c r="B92" s="18" t="n">
        <x:v>4</x:v>
      </x:c>
      <x:c r="C92" s="18" t="str">
        <x:v>숏폼 음원</x:v>
      </x:c>
      <x:c r="D92" s="18" t="str">
        <x:v>https://www.youtube.com/results?search_query=%EC%95%BC%EB%A5%B4%EC%86%A1</x:v>
      </x:c>
      <x:c r="E92" s="18" t="str">
        <x:v>공개 근거에서 확인·정규화한 관련어</x:v>
      </x:c>
    </x:row>
    <x:row r="93">
      <x:c r="A93" s="18" t="str">
        <x:v>kr_202607_yar_song</x:v>
      </x:c>
      <x:c r="B93" s="18" t="n">
        <x:v>5</x:v>
      </x:c>
      <x:c r="C93" s="18" t="str">
        <x:v>댄스 밈</x:v>
      </x:c>
      <x:c r="D93" s="18" t="str">
        <x:v>https://blog.hsad.co.kr/3760</x:v>
      </x:c>
      <x:c r="E93" s="18" t="str">
        <x:v>공개 근거에서 확인·정규화한 관련어</x:v>
      </x:c>
    </x:row>
    <x:row r="94">
      <x:c r="A94" s="18" t="str">
        <x:v>kr_202607_actor_challenge</x:v>
      </x:c>
      <x:c r="B94" s="18" t="n">
        <x:v>1</x:v>
      </x:c>
      <x:c r="C94" s="18" t="str">
        <x:v>배우 도전 N일차</x:v>
      </x:c>
      <x:c r="D94" s="18" t="str">
        <x:v>https://blog.hsad.co.kr/3760</x:v>
      </x:c>
      <x:c r="E94" s="18" t="str">
        <x:v>공개 근거에서 확인·정규화한 관련어</x:v>
      </x:c>
    </x:row>
    <x:row r="95">
      <x:c r="A95" s="18" t="str">
        <x:v>kr_202607_actor_challenge</x:v>
      </x:c>
      <x:c r="B95" s="18" t="n">
        <x:v>2</x:v>
      </x:c>
      <x:c r="C95" s="18" t="str">
        <x:v>연기 성장기</x:v>
      </x:c>
      <x:c r="D95" s="18" t="str">
        <x:v>https://www.youtube.com/results?search_query=%EB%B0%B0%EC%9A%B0%20%EB%8F%84%EC%A0%84%20N%EC%9D%BC%EC%B0%A8</x:v>
      </x:c>
      <x:c r="E95" s="18" t="str">
        <x:v>공개 근거에서 확인·정규화한 관련어</x:v>
      </x:c>
    </x:row>
    <x:row r="96">
      <x:c r="A96" s="18" t="str">
        <x:v>kr_202607_actor_challenge</x:v>
      </x:c>
      <x:c r="B96" s="18" t="n">
        <x:v>3</x:v>
      </x:c>
      <x:c r="C96" s="18" t="str">
        <x:v>N일차 콘텐츠</x:v>
      </x:c>
      <x:c r="D96" s="18" t="str">
        <x:v>https://blog.hsad.co.kr/3760</x:v>
      </x:c>
      <x:c r="E96" s="18" t="str">
        <x:v>공개 근거에서 확인·정규화한 관련어</x:v>
      </x:c>
    </x:row>
    <x:row r="97">
      <x:c r="A97" s="18" t="str">
        <x:v>kr_202607_actor_challenge</x:v>
      </x:c>
      <x:c r="B97" s="18" t="n">
        <x:v>4</x:v>
      </x:c>
      <x:c r="C97" s="18" t="str">
        <x:v>숏폼 연기</x:v>
      </x:c>
      <x:c r="D97" s="18" t="str">
        <x:v>https://www.youtube.com/results?search_query=%EB%B0%B0%EC%9A%B0%20%EB%8F%84%EC%A0%84%20N%EC%9D%BC%EC%B0%A8</x:v>
      </x:c>
      <x:c r="E97" s="18" t="str">
        <x:v>공개 근거에서 확인·정규화한 관련어</x:v>
      </x:c>
    </x:row>
    <x:row r="98">
      <x:c r="A98" s="18" t="str">
        <x:v>kr_202607_actor_challenge</x:v>
      </x:c>
      <x:c r="B98" s="18" t="n">
        <x:v>5</x:v>
      </x:c>
      <x:c r="C98" s="18" t="str">
        <x:v>참여 챌린지</x:v>
      </x:c>
      <x:c r="D98" s="18" t="str">
        <x:v>https://blog.hsad.co.kr/3760</x:v>
      </x:c>
      <x:c r="E98" s="18" t="str">
        <x:v>공개 근거에서 확인·정규화한 관련어</x:v>
      </x:c>
    </x:row>
    <x:row r="99">
      <x:c r="A99" s="18" t="str">
        <x:v>kr_202607_taptap_tinyhand</x:v>
      </x:c>
      <x:c r="B99" s="18" t="n">
        <x:v>1</x:v>
      </x:c>
      <x:c r="C99" s="18" t="str">
        <x:v>탭탭</x:v>
      </x:c>
      <x:c r="D99" s="18" t="str">
        <x:v>https://blog.hsad.co.kr/3760</x:v>
      </x:c>
      <x:c r="E99" s="18" t="str">
        <x:v>공개 근거에서 확인·정규화한 관련어</x:v>
      </x:c>
    </x:row>
    <x:row r="100">
      <x:c r="A100" s="18" t="str">
        <x:v>kr_202607_taptap_tinyhand</x:v>
      </x:c>
      <x:c r="B100" s="18" t="n">
        <x:v>2</x:v>
      </x:c>
      <x:c r="C100" s="18" t="str">
        <x:v>태뱁</x:v>
      </x:c>
      <x:c r="D100" s="18" t="str">
        <x:v>https://www.youtube.com/results?search_query=%ED%83%AD%ED%83%AD%C2%B7%ED%83%9C%EB%B1%81%20%EC%88%8F%ED%8F%BC</x:v>
      </x:c>
      <x:c r="E100" s="18" t="str">
        <x:v>공개 근거에서 확인·정규화한 관련어</x:v>
      </x:c>
    </x:row>
    <x:row r="101">
      <x:c r="A101" s="18" t="str">
        <x:v>kr_202607_taptap_tinyhand</x:v>
      </x:c>
      <x:c r="B101" s="18" t="n">
        <x:v>3</x:v>
      </x:c>
      <x:c r="C101" s="18" t="str">
        <x:v>작은 손 필터</x:v>
      </x:c>
      <x:c r="D101" s="18" t="str">
        <x:v>https://blog.hsad.co.kr/3760</x:v>
      </x:c>
      <x:c r="E101" s="18" t="str">
        <x:v>공개 근거에서 확인·정규화한 관련어</x:v>
      </x:c>
    </x:row>
    <x:row r="102">
      <x:c r="A102" s="18" t="str">
        <x:v>kr_202607_taptap_tinyhand</x:v>
      </x:c>
      <x:c r="B102" s="18" t="n">
        <x:v>4</x:v>
      </x:c>
      <x:c r="C102" s="18" t="str">
        <x:v>미니어처 숏폼</x:v>
      </x:c>
      <x:c r="D102" s="18" t="str">
        <x:v>https://www.youtube.com/results?search_query=%ED%83%AD%ED%83%AD%C2%B7%ED%83%9C%EB%B1%81%20%EC%88%8F%ED%8F%BC</x:v>
      </x:c>
      <x:c r="E102" s="18" t="str">
        <x:v>공개 근거에서 확인·정규화한 관련어</x:v>
      </x:c>
    </x:row>
    <x:row r="103">
      <x:c r="A103" s="18" t="str">
        <x:v>kr_202607_taptap_tinyhand</x:v>
      </x:c>
      <x:c r="B103" s="18" t="n">
        <x:v>5</x:v>
      </x:c>
      <x:c r="C103" s="18" t="str">
        <x:v>손동작 밈</x:v>
      </x:c>
      <x:c r="D103" s="18" t="str">
        <x:v>https://blog.hsad.co.kr/3760</x:v>
      </x:c>
      <x:c r="E103" s="18" t="str">
        <x:v>공개 근거에서 확인·정규화한 관련어</x:v>
      </x:c>
    </x:row>
    <x:row r="104">
      <x:c r="A104" s="18" t="str">
        <x:v>kr_202607_malrang_slangi</x:v>
      </x:c>
      <x:c r="B104" s="18" t="n">
        <x:v>1</x:v>
      </x:c>
      <x:c r="C104" s="18" t="str">
        <x:v>말랑이</x:v>
      </x:c>
      <x:c r="D104" s="18" t="str">
        <x:v>https://blog.hsad.co.kr/3760</x:v>
      </x:c>
      <x:c r="E104" s="18" t="str">
        <x:v>공개 근거에서 확인·정규화한 관련어</x:v>
      </x:c>
    </x:row>
    <x:row r="105">
      <x:c r="A105" s="18" t="str">
        <x:v>kr_202607_malrang_slangi</x:v>
      </x:c>
      <x:c r="B105" s="18" t="n">
        <x:v>2</x:v>
      </x:c>
      <x:c r="C105" s="18" t="str">
        <x:v>슬랑이</x:v>
      </x:c>
      <x:c r="D105" s="18" t="str">
        <x:v>https://www.youtube.com/results?search_query=%EB%A7%90%EB%9E%91%EC%9D%B4%C2%B7%EC%8A%AC%EB%9E%91%EC%9D%B4%C2%B7%EC%99%81%EB%BF%8C%EB%B3%BC</x:v>
      </x:c>
      <x:c r="E105" s="18" t="str">
        <x:v>공개 근거에서 확인·정규화한 관련어</x:v>
      </x:c>
    </x:row>
    <x:row r="106">
      <x:c r="A106" s="18" t="str">
        <x:v>kr_202607_malrang_slangi</x:v>
      </x:c>
      <x:c r="B106" s="18" t="n">
        <x:v>3</x:v>
      </x:c>
      <x:c r="C106" s="18" t="str">
        <x:v>왁뿌볼</x:v>
      </x:c>
      <x:c r="D106" s="18" t="str">
        <x:v>https://blog.hsad.co.kr/3760</x:v>
      </x:c>
      <x:c r="E106" s="18" t="str">
        <x:v>공개 근거에서 확인·정규화한 관련어</x:v>
      </x:c>
    </x:row>
    <x:row r="107">
      <x:c r="A107" s="18" t="str">
        <x:v>kr_202607_malrang_slangi</x:v>
      </x:c>
      <x:c r="B107" s="18" t="n">
        <x:v>4</x:v>
      </x:c>
      <x:c r="C107" s="18" t="str">
        <x:v>촉감 장난감</x:v>
      </x:c>
      <x:c r="D107" s="18" t="str">
        <x:v>https://www.youtube.com/results?search_query=%EB%A7%90%EB%9E%91%EC%9D%B4%C2%B7%EC%8A%AC%EB%9E%91%EC%9D%B4%C2%B7%EC%99%81%EB%BF%8C%EB%B3%BC</x:v>
      </x:c>
      <x:c r="E107" s="18" t="str">
        <x:v>공개 근거에서 확인·정규화한 관련어</x:v>
      </x:c>
    </x:row>
    <x:row r="108">
      <x:c r="A108" s="18" t="str">
        <x:v>kr_202607_malrang_slangi</x:v>
      </x:c>
      <x:c r="B108" s="18" t="n">
        <x:v>5</x:v>
      </x:c>
      <x:c r="C108" s="18" t="str">
        <x:v>스퀴시</x:v>
      </x:c>
      <x:c r="D108" s="18" t="str">
        <x:v>https://blog.hsad.co.kr/3760</x:v>
      </x:c>
      <x:c r="E108" s="18" t="str">
        <x:v>공개 근거에서 확인·정규화한 관련어</x:v>
      </x:c>
    </x:row>
    <x:row r="109">
      <x:c r="A109" s="18" t="str">
        <x:v>kr_202607_open_toe_socks</x:v>
      </x:c>
      <x:c r="B109" s="18" t="n">
        <x:v>1</x:v>
      </x:c>
      <x:c r="C109" s="18" t="str">
        <x:v>오픈토삭스</x:v>
      </x:c>
      <x:c r="D109" s="18" t="str">
        <x:v>https://gogumafarm.kr/%EC%98%A4%ED%94%88%ED%86%A0%EC%82%AD%EC%8A%A4%C2%B7%EC%95%94%EC%BB%A4%ED%94%84%C2%B7%EB%84%A4%ED%8A%B8%EB%B0%B1-%EB%8B%B9%EC%9E%A5-%EC%8D%A8%EB%A8%B9%EC%9D%84-%EC%88%98-%EC%9E%88%EB%8A%94/</x:v>
      </x:c>
      <x:c r="E109" s="18" t="str">
        <x:v>공개 근거에서 확인·정규화한 관련어</x:v>
      </x:c>
    </x:row>
    <x:row r="110">
      <x:c r="A110" s="18" t="str">
        <x:v>kr_202607_open_toe_socks</x:v>
      </x:c>
      <x:c r="B110" s="18" t="n">
        <x:v>2</x:v>
      </x:c>
      <x:c r="C110" s="18" t="str">
        <x:v>발가락 양말</x:v>
      </x:c>
      <x:c r="D110" s="18" t="str">
        <x:v>https://www.youtube.com/results?search_query=%EC%98%A4%ED%94%88%ED%86%A0%EC%82%AD%EC%8A%A4</x:v>
      </x:c>
      <x:c r="E110" s="18" t="str">
        <x:v>공개 근거에서 확인·정규화한 관련어</x:v>
      </x:c>
    </x:row>
    <x:row r="111">
      <x:c r="A111" s="18" t="str">
        <x:v>kr_202607_open_toe_socks</x:v>
      </x:c>
      <x:c r="B111" s="18" t="n">
        <x:v>3</x:v>
      </x:c>
      <x:c r="C111" s="18" t="str">
        <x:v>샌들 양말</x:v>
      </x:c>
      <x:c r="D111" s="18" t="str">
        <x:v>https://gogumafarm.kr/%EC%98%A4%ED%94%88%ED%86%A0%EC%82%AD%EC%8A%A4%C2%B7%EC%95%94%EC%BB%A4%ED%94%84%C2%B7%EB%84%A4%ED%8A%B8%EB%B0%B1-%EB%8B%B9%EC%9E%A5-%EC%8D%A8%EB%A8%B9%EC%9D%84-%EC%88%98-%EC%9E%88%EB%8A%94/</x:v>
      </x:c>
      <x:c r="E111" s="18" t="str">
        <x:v>공개 근거에서 확인·정규화한 관련어</x:v>
      </x:c>
    </x:row>
    <x:row r="112">
      <x:c r="A112" s="18" t="str">
        <x:v>kr_202607_open_toe_socks</x:v>
      </x:c>
      <x:c r="B112" s="18" t="n">
        <x:v>4</x:v>
      </x:c>
      <x:c r="C112" s="18" t="str">
        <x:v>여름 레이어드</x:v>
      </x:c>
      <x:c r="D112" s="18" t="str">
        <x:v>https://www.youtube.com/results?search_query=%EC%98%A4%ED%94%88%ED%86%A0%EC%82%AD%EC%8A%A4</x:v>
      </x:c>
      <x:c r="E112" s="18" t="str">
        <x:v>공개 근거에서 확인·정규화한 관련어</x:v>
      </x:c>
    </x:row>
    <x:row r="113">
      <x:c r="A113" s="18" t="str">
        <x:v>kr_202607_open_toe_socks</x:v>
      </x:c>
      <x:c r="B113" s="18" t="n">
        <x:v>5</x:v>
      </x:c>
      <x:c r="C113" s="18" t="str">
        <x:v>패션 양말</x:v>
      </x:c>
      <x:c r="D113" s="18" t="str">
        <x:v>https://gogumafarm.kr/%EC%98%A4%ED%94%88%ED%86%A0%EC%82%AD%EC%8A%A4%C2%B7%EC%95%94%EC%BB%A4%ED%94%84%C2%B7%EB%84%A4%ED%8A%B8%EB%B0%B1-%EB%8B%B9%EC%9E%A5-%EC%8D%A8%EB%A8%B9%EC%9D%84-%EC%88%98-%EC%9E%88%EB%8A%94/</x:v>
      </x:c>
      <x:c r="E113" s="18" t="str">
        <x:v>공개 근거에서 확인·정규화한 관련어</x:v>
      </x:c>
    </x:row>
    <x:row r="114">
      <x:c r="A114" s="18" t="str">
        <x:v>kr_202607_neungsohwa_photo</x:v>
      </x:c>
      <x:c r="B114" s="18" t="n">
        <x:v>1</x:v>
      </x:c>
      <x:c r="C114" s="18" t="str">
        <x:v>능소화 인증샷</x:v>
      </x:c>
      <x:c r="D114" s="18" t="str">
        <x:v>https://gogumafarm.kr/%EC%98%A4%ED%94%88%ED%86%A0%EC%82%AD%EC%8A%A4%C2%B7%EC%95%94%EC%BB%A4%ED%94%84%C2%B7%EB%84%A4%ED%8A%B8%EB%B0%B1-%EB%8B%B9%EC%9E%A5-%EC%8D%A8%EB%A8%B9%EC%9D%84-%EC%88%98-%EC%9E%88%EB%8A%94/</x:v>
      </x:c>
      <x:c r="E114" s="18" t="str">
        <x:v>공개 근거에서 확인·정규화한 관련어</x:v>
      </x:c>
    </x:row>
    <x:row r="115">
      <x:c r="A115" s="18" t="str">
        <x:v>kr_202607_neungsohwa_photo</x:v>
      </x:c>
      <x:c r="B115" s="18" t="n">
        <x:v>2</x:v>
      </x:c>
      <x:c r="C115" s="18" t="str">
        <x:v>여름 꽃 사진</x:v>
      </x:c>
      <x:c r="D115" s="18" t="str">
        <x:v>https://www.youtube.com/results?search_query=%EB%8A%A5%EC%86%8C%ED%99%94%20%EC%9D%B8%EC%A6%9D%EC%83%B7</x:v>
      </x:c>
      <x:c r="E115" s="18" t="str">
        <x:v>공개 근거에서 확인·정규화한 관련어</x:v>
      </x:c>
    </x:row>
    <x:row r="116">
      <x:c r="A116" s="18" t="str">
        <x:v>kr_202607_neungsohwa_photo</x:v>
      </x:c>
      <x:c r="B116" s="18" t="n">
        <x:v>3</x:v>
      </x:c>
      <x:c r="C116" s="18" t="str">
        <x:v>능소화 명소</x:v>
      </x:c>
      <x:c r="D116" s="18" t="str">
        <x:v>https://gogumafarm.kr/%EC%98%A4%ED%94%88%ED%86%A0%EC%82%AD%EC%8A%A4%C2%B7%EC%95%94%EC%BB%A4%ED%94%84%C2%B7%EB%84%A4%ED%8A%B8%EB%B0%B1-%EB%8B%B9%EC%9E%A5-%EC%8D%A8%EB%A8%B9%EC%9D%84-%EC%88%98-%EC%9E%88%EB%8A%94/</x:v>
      </x:c>
      <x:c r="E116" s="18" t="str">
        <x:v>공개 근거에서 확인·정규화한 관련어</x:v>
      </x:c>
    </x:row>
    <x:row r="117">
      <x:c r="A117" s="18" t="str">
        <x:v>kr_202607_neungsohwa_photo</x:v>
      </x:c>
      <x:c r="B117" s="18" t="n">
        <x:v>4</x:v>
      </x:c>
      <x:c r="C117" s="18" t="str">
        <x:v>시즌 포토</x:v>
      </x:c>
      <x:c r="D117" s="18" t="str">
        <x:v>https://www.youtube.com/results?search_query=%EB%8A%A5%EC%86%8C%ED%99%94%20%EC%9D%B8%EC%A6%9D%EC%83%B7</x:v>
      </x:c>
      <x:c r="E117" s="18" t="str">
        <x:v>공개 근거에서 확인·정규화한 관련어</x:v>
      </x:c>
    </x:row>
    <x:row r="118">
      <x:c r="A118" s="18" t="str">
        <x:v>kr_202607_neungsohwa_photo</x:v>
      </x:c>
      <x:c r="B118" s="18" t="n">
        <x:v>5</x:v>
      </x:c>
      <x:c r="C118" s="18" t="str">
        <x:v>꽃 나들이</x:v>
      </x:c>
      <x:c r="D118" s="18" t="str">
        <x:v>https://gogumafarm.kr/%EC%98%A4%ED%94%88%ED%86%A0%EC%82%AD%EC%8A%A4%C2%B7%EC%95%94%EC%BB%A4%ED%94%84%C2%B7%EB%84%A4%ED%8A%B8%EB%B0%B1-%EB%8B%B9%EC%9E%A5-%EC%8D%A8%EB%A8%B9%EC%9D%84-%EC%88%98-%EC%9E%88%EB%8A%94/</x:v>
      </x:c>
      <x:c r="E118" s="18" t="str">
        <x:v>공개 근거에서 확인·정규화한 관련어</x:v>
      </x:c>
    </x:row>
    <x:row r="119">
      <x:c r="A119" s="18" t="str">
        <x:v>kr_202607_arm_cuff</x:v>
      </x:c>
      <x:c r="B119" s="18" t="n">
        <x:v>1</x:v>
      </x:c>
      <x:c r="C119" s="18" t="str">
        <x:v>암커프</x:v>
      </x:c>
      <x:c r="D119" s="18" t="str">
        <x:v>https://gogumafarm.kr/%EC%98%A4%ED%94%88%ED%86%A0%EC%82%AD%EC%8A%A4%C2%B7%EC%95%94%EC%BB%A4%ED%94%84%C2%B7%EB%84%A4%ED%8A%B8%EB%B0%B1-%EB%8B%B9%EC%9E%A5-%EC%8D%A8%EB%A8%B9%EC%9D%84-%EC%88%98-%EC%9E%88%EB%8A%94/</x:v>
      </x:c>
      <x:c r="E119" s="18" t="str">
        <x:v>공개 근거에서 확인·정규화한 관련어</x:v>
      </x:c>
    </x:row>
    <x:row r="120">
      <x:c r="A120" s="18" t="str">
        <x:v>kr_202607_arm_cuff</x:v>
      </x:c>
      <x:c r="B120" s="18" t="n">
        <x:v>2</x:v>
      </x:c>
      <x:c r="C120" s="18" t="str">
        <x:v>팔 액세서리</x:v>
      </x:c>
      <x:c r="D120" s="18" t="str">
        <x:v>https://www.youtube.com/results?search_query=%EC%95%94%EC%BB%A4%ED%94%84</x:v>
      </x:c>
      <x:c r="E120" s="18" t="str">
        <x:v>공개 근거에서 확인·정규화한 관련어</x:v>
      </x:c>
    </x:row>
    <x:row r="121">
      <x:c r="A121" s="18" t="str">
        <x:v>kr_202607_arm_cuff</x:v>
      </x:c>
      <x:c r="B121" s="18" t="n">
        <x:v>3</x:v>
      </x:c>
      <x:c r="C121" s="18" t="str">
        <x:v>서머 주얼리</x:v>
      </x:c>
      <x:c r="D121" s="18" t="str">
        <x:v>https://gogumafarm.kr/%EC%98%A4%ED%94%88%ED%86%A0%EC%82%AD%EC%8A%A4%C2%B7%EC%95%94%EC%BB%A4%ED%94%84%C2%B7%EB%84%A4%ED%8A%B8%EB%B0%B1-%EB%8B%B9%EC%9E%A5-%EC%8D%A8%EB%A8%B9%EC%9D%84-%EC%88%98-%EC%9E%88%EB%8A%94/</x:v>
      </x:c>
      <x:c r="E121" s="18" t="str">
        <x:v>공개 근거에서 확인·정규화한 관련어</x:v>
      </x:c>
    </x:row>
    <x:row r="122">
      <x:c r="A122" s="18" t="str">
        <x:v>kr_202607_arm_cuff</x:v>
      </x:c>
      <x:c r="B122" s="18" t="n">
        <x:v>4</x:v>
      </x:c>
      <x:c r="C122" s="18" t="str">
        <x:v>보디 주얼리</x:v>
      </x:c>
      <x:c r="D122" s="18" t="str">
        <x:v>https://www.youtube.com/results?search_query=%EC%95%94%EC%BB%A4%ED%94%84</x:v>
      </x:c>
      <x:c r="E122" s="18" t="str">
        <x:v>공개 근거에서 확인·정규화한 관련어</x:v>
      </x:c>
    </x:row>
    <x:row r="123">
      <x:c r="A123" s="18" t="str">
        <x:v>kr_202607_arm_cuff</x:v>
      </x:c>
      <x:c r="B123" s="18" t="n">
        <x:v>5</x:v>
      </x:c>
      <x:c r="C123" s="18" t="str">
        <x:v>Y2K 액세서리</x:v>
      </x:c>
      <x:c r="D123" s="18" t="str">
        <x:v>https://gogumafarm.kr/%EC%98%A4%ED%94%88%ED%86%A0%EC%82%AD%EC%8A%A4%C2%B7%EC%95%94%EC%BB%A4%ED%94%84%C2%B7%EB%84%A4%ED%8A%B8%EB%B0%B1-%EB%8B%B9%EC%9E%A5-%EC%8D%A8%EB%A8%B9%EC%9D%84-%EC%88%98-%EC%9E%88%EB%8A%94/</x:v>
      </x:c>
      <x:c r="E123" s="18" t="str">
        <x:v>공개 근거에서 확인·정규화한 관련어</x:v>
      </x:c>
    </x:row>
    <x:row r="124">
      <x:c r="A124" s="18" t="str">
        <x:v>kr_202607_net_bag_diy</x:v>
      </x:c>
      <x:c r="B124" s="18" t="n">
        <x:v>1</x:v>
      </x:c>
      <x:c r="C124" s="18" t="str">
        <x:v>네트백 DIY</x:v>
      </x:c>
      <x:c r="D124" s="18" t="str">
        <x:v>https://gogumafarm.kr/%EC%98%A4%ED%94%88%ED%86%A0%EC%82%AD%EC%8A%A4%C2%B7%EC%95%94%EC%BB%A4%ED%94%84%C2%B7%EB%84%A4%ED%8A%B8%EB%B0%B1-%EB%8B%B9%EC%9E%A5-%EC%8D%A8%EB%A8%B9%EC%9D%84-%EC%88%98-%EC%9E%88%EB%8A%94/</x:v>
      </x:c>
      <x:c r="E124" s="18" t="str">
        <x:v>공개 근거에서 확인·정규화한 관련어</x:v>
      </x:c>
    </x:row>
    <x:row r="125">
      <x:c r="A125" s="18" t="str">
        <x:v>kr_202607_net_bag_diy</x:v>
      </x:c>
      <x:c r="B125" s="18" t="n">
        <x:v>2</x:v>
      </x:c>
      <x:c r="C125" s="18" t="str">
        <x:v>그물 가방</x:v>
      </x:c>
      <x:c r="D125" s="18" t="str">
        <x:v>https://www.youtube.com/results?search_query=%EB%84%A4%ED%8A%B8%EB%B0%B1%20DIY</x:v>
      </x:c>
      <x:c r="E125" s="18" t="str">
        <x:v>공개 근거에서 확인·정규화한 관련어</x:v>
      </x:c>
    </x:row>
    <x:row r="126">
      <x:c r="A126" s="18" t="str">
        <x:v>kr_202607_net_bag_diy</x:v>
      </x:c>
      <x:c r="B126" s="18" t="n">
        <x:v>3</x:v>
      </x:c>
      <x:c r="C126" s="18" t="str">
        <x:v>여름 가방</x:v>
      </x:c>
      <x:c r="D126" s="18" t="str">
        <x:v>https://gogumafarm.kr/%EC%98%A4%ED%94%88%ED%86%A0%EC%82%AD%EC%8A%A4%C2%B7%EC%95%94%EC%BB%A4%ED%94%84%C2%B7%EB%84%A4%ED%8A%B8%EB%B0%B1-%EB%8B%B9%EC%9E%A5-%EC%8D%A8%EB%A8%B9%EC%9D%84-%EC%88%98-%EC%9E%88%EB%8A%94/</x:v>
      </x:c>
      <x:c r="E126" s="18" t="str">
        <x:v>공개 근거에서 확인·정규화한 관련어</x:v>
      </x:c>
    </x:row>
    <x:row r="127">
      <x:c r="A127" s="18" t="str">
        <x:v>kr_202607_net_bag_diy</x:v>
      </x:c>
      <x:c r="B127" s="18" t="n">
        <x:v>4</x:v>
      </x:c>
      <x:c r="C127" s="18" t="str">
        <x:v>뜨개 가방</x:v>
      </x:c>
      <x:c r="D127" s="18" t="str">
        <x:v>https://www.youtube.com/results?search_query=%EB%84%A4%ED%8A%B8%EB%B0%B1%20DIY</x:v>
      </x:c>
      <x:c r="E127" s="18" t="str">
        <x:v>공개 근거에서 확인·정규화한 관련어</x:v>
      </x:c>
    </x:row>
    <x:row r="128">
      <x:c r="A128" s="18" t="str">
        <x:v>kr_202607_net_bag_diy</x:v>
      </x:c>
      <x:c r="B128" s="18" t="n">
        <x:v>5</x:v>
      </x:c>
      <x:c r="C128" s="18" t="str">
        <x:v>핸드메이드 패션</x:v>
      </x:c>
      <x:c r="D128" s="18" t="str">
        <x:v>https://gogumafarm.kr/%EC%98%A4%ED%94%88%ED%86%A0%EC%82%AD%EC%8A%A4%C2%B7%EC%95%94%EC%BB%A4%ED%94%84%C2%B7%EB%84%A4%ED%8A%B8%EB%B0%B1-%EB%8B%B9%EC%9E%A5-%EC%8D%A8%EB%A8%B9%EC%9D%84-%EC%88%98-%EC%9E%88%EB%8A%94/</x:v>
      </x:c>
      <x:c r="E128" s="18" t="str">
        <x:v>공개 근거에서 확인·정규화한 관련어</x:v>
      </x:c>
    </x:row>
    <x:row r="129">
      <x:c r="A129" s="18" t="str">
        <x:v>kr_202607_umbrella_cap</x:v>
      </x:c>
      <x:c r="B129" s="18" t="n">
        <x:v>1</x:v>
      </x:c>
      <x:c r="C129" s="18" t="str">
        <x:v>우산캡</x:v>
      </x:c>
      <x:c r="D129" s="18" t="str">
        <x:v>https://gogumafarm.kr/%EC%98%A4%ED%94%88%ED%86%A0%EC%82%AD%EC%8A%A4%C2%B7%EC%95%94%EC%BB%A4%ED%94%84%C2%B7%EB%84%A4%ED%8A%B8%EB%B0%B1-%EB%8B%B9%EC%9E%A5-%EC%8D%A8%EB%A8%B9%EC%9D%84-%EC%88%98-%EC%9E%88%EB%8A%94/</x:v>
      </x:c>
      <x:c r="E129" s="18" t="str">
        <x:v>공개 근거에서 확인·정규화한 관련어</x:v>
      </x:c>
    </x:row>
    <x:row r="130">
      <x:c r="A130" s="18" t="str">
        <x:v>kr_202607_umbrella_cap</x:v>
      </x:c>
      <x:c r="B130" s="18" t="n">
        <x:v>2</x:v>
      </x:c>
      <x:c r="C130" s="18" t="str">
        <x:v>우산 물받이</x:v>
      </x:c>
      <x:c r="D130" s="18" t="str">
        <x:v>https://www.youtube.com/results?search_query=%EC%9A%B0%EC%82%B0%EC%BA%A1</x:v>
      </x:c>
      <x:c r="E130" s="18" t="str">
        <x:v>공개 근거에서 확인·정규화한 관련어</x:v>
      </x:c>
    </x:row>
    <x:row r="131">
      <x:c r="A131" s="18" t="str">
        <x:v>kr_202607_umbrella_cap</x:v>
      </x:c>
      <x:c r="B131" s="18" t="n">
        <x:v>3</x:v>
      </x:c>
      <x:c r="C131" s="18" t="str">
        <x:v>장마 아이템</x:v>
      </x:c>
      <x:c r="D131" s="18" t="str">
        <x:v>https://gogumafarm.kr/%EC%98%A4%ED%94%88%ED%86%A0%EC%82%AD%EC%8A%A4%C2%B7%EC%95%94%EC%BB%A4%ED%94%84%C2%B7%EB%84%A4%ED%8A%B8%EB%B0%B1-%EB%8B%B9%EC%9E%A5-%EC%8D%A8%EB%A8%B9%EC%9D%84-%EC%88%98-%EC%9E%88%EB%8A%94/</x:v>
      </x:c>
      <x:c r="E131" s="18" t="str">
        <x:v>공개 근거에서 확인·정규화한 관련어</x:v>
      </x:c>
    </x:row>
    <x:row r="132">
      <x:c r="A132" s="18" t="str">
        <x:v>kr_202607_umbrella_cap</x:v>
      </x:c>
      <x:c r="B132" s="18" t="n">
        <x:v>4</x:v>
      </x:c>
      <x:c r="C132" s="18" t="str">
        <x:v>생활 편의 굿즈</x:v>
      </x:c>
      <x:c r="D132" s="18" t="str">
        <x:v>https://www.youtube.com/results?search_query=%EC%9A%B0%EC%82%B0%EC%BA%A1</x:v>
      </x:c>
      <x:c r="E132" s="18" t="str">
        <x:v>공개 근거에서 확인·정규화한 관련어</x:v>
      </x:c>
    </x:row>
    <x:row r="133">
      <x:c r="A133" s="18" t="str">
        <x:v>kr_202607_umbrella_cap</x:v>
      </x:c>
      <x:c r="B133" s="18" t="n">
        <x:v>5</x:v>
      </x:c>
      <x:c r="C133" s="18" t="str">
        <x:v>우산 액세서리</x:v>
      </x:c>
      <x:c r="D133" s="18" t="str">
        <x:v>https://gogumafarm.kr/%EC%98%A4%ED%94%88%ED%86%A0%EC%82%AD%EC%8A%A4%C2%B7%EC%95%94%EC%BB%A4%ED%94%84%C2%B7%EB%84%A4%ED%8A%B8%EB%B0%B1-%EB%8B%B9%EC%9E%A5-%EC%8D%A8%EB%A8%B9%EC%9D%84-%EC%88%98-%EC%9E%88%EB%8A%94/</x:v>
      </x:c>
      <x:c r="E133" s="18" t="str">
        <x:v>공개 근거에서 확인·정규화한 관련어</x:v>
      </x:c>
    </x:row>
    <x:row r="134">
      <x:c r="A134" s="18" t="str">
        <x:v>kr_202607_tanning_character_goods</x:v>
      </x:c>
      <x:c r="B134" s="18" t="n">
        <x:v>1</x:v>
      </x:c>
      <x:c r="C134" s="18" t="str">
        <x:v>태닝 캐릭터</x:v>
      </x:c>
      <x:c r="D134" s="18" t="str">
        <x:v>https://gogumafarm.kr/%EC%98%A4%ED%94%88%ED%86%A0%EC%82%AD%EC%8A%A4%C2%B7%EC%95%94%EC%BB%A4%ED%94%84%C2%B7%EB%84%A4%ED%8A%B8%EB%B0%B1-%EB%8B%B9%EC%9E%A5-%EC%8D%A8%EB%A8%B9%EC%9D%84-%EC%88%98-%EC%9E%88%EB%8A%94/</x:v>
      </x:c>
      <x:c r="E134" s="18" t="str">
        <x:v>공개 근거에서 확인·정규화한 관련어</x:v>
      </x:c>
    </x:row>
    <x:row r="135">
      <x:c r="A135" s="18" t="str">
        <x:v>kr_202607_tanning_character_goods</x:v>
      </x:c>
      <x:c r="B135" s="18" t="n">
        <x:v>2</x:v>
      </x:c>
      <x:c r="C135" s="18" t="str">
        <x:v>여름 캐릭터 굿즈</x:v>
      </x:c>
      <x:c r="D135" s="18" t="str">
        <x:v>https://www.youtube.com/results?search_query=%ED%83%9C%EB%8B%9D%20%EC%BA%90%EB%A6%AD%ED%84%B0%20%EA%B5%BF%EC%A6%88</x:v>
      </x:c>
      <x:c r="E135" s="18" t="str">
        <x:v>공개 근거에서 확인·정규화한 관련어</x:v>
      </x:c>
    </x:row>
    <x:row r="136">
      <x:c r="A136" s="18" t="str">
        <x:v>kr_202607_tanning_character_goods</x:v>
      </x:c>
      <x:c r="B136" s="18" t="n">
        <x:v>3</x:v>
      </x:c>
      <x:c r="C136" s="18" t="str">
        <x:v>그을린 캐릭터</x:v>
      </x:c>
      <x:c r="D136" s="18" t="str">
        <x:v>https://gogumafarm.kr/%EC%98%A4%ED%94%88%ED%86%A0%EC%82%AD%EC%8A%A4%C2%B7%EC%95%94%EC%BB%A4%ED%94%84%C2%B7%EB%84%A4%ED%8A%B8%EB%B0%B1-%EB%8B%B9%EC%9E%A5-%EC%8D%A8%EB%A8%B9%EC%9D%84-%EC%88%98-%EC%9E%88%EB%8A%94/</x:v>
      </x:c>
      <x:c r="E136" s="18" t="str">
        <x:v>공개 근거에서 확인·정규화한 관련어</x:v>
      </x:c>
    </x:row>
    <x:row r="137">
      <x:c r="A137" s="18" t="str">
        <x:v>kr_202607_tanning_character_goods</x:v>
      </x:c>
      <x:c r="B137" s="18" t="n">
        <x:v>4</x:v>
      </x:c>
      <x:c r="C137" s="18" t="str">
        <x:v>시즌 한정 굿즈</x:v>
      </x:c>
      <x:c r="D137" s="18" t="str">
        <x:v>https://www.youtube.com/results?search_query=%ED%83%9C%EB%8B%9D%20%EC%BA%90%EB%A6%AD%ED%84%B0%20%EA%B5%BF%EC%A6%88</x:v>
      </x:c>
      <x:c r="E137" s="18" t="str">
        <x:v>공개 근거에서 확인·정규화한 관련어</x:v>
      </x:c>
    </x:row>
    <x:row r="138">
      <x:c r="A138" s="18" t="str">
        <x:v>kr_202607_tanning_character_goods</x:v>
      </x:c>
      <x:c r="B138" s="18" t="n">
        <x:v>5</x:v>
      </x:c>
      <x:c r="C138" s="18" t="str">
        <x:v>바캉스 굿즈</x:v>
      </x:c>
      <x:c r="D138" s="18" t="str">
        <x:v>https://gogumafarm.kr/%EC%98%A4%ED%94%88%ED%86%A0%EC%82%AD%EC%8A%A4%C2%B7%EC%95%94%EC%BB%A4%ED%94%84%C2%B7%EB%84%A4%ED%8A%B8%EB%B0%B1-%EB%8B%B9%EC%9E%A5-%EC%8D%A8%EB%A8%B9%EC%9D%84-%EC%88%98-%EC%9E%88%EB%8A%94/</x:v>
      </x:c>
      <x:c r="E138" s="18" t="str">
        <x:v>공개 근거에서 확인·정규화한 관련어</x:v>
      </x:c>
    </x:row>
    <x:row r="139">
      <x:c r="A139" s="18" t="str">
        <x:v>kr_202607_jellyfish_design_goods</x:v>
      </x:c>
      <x:c r="B139" s="18" t="n">
        <x:v>1</x:v>
      </x:c>
      <x:c r="C139" s="18" t="str">
        <x:v>해파리 굿즈</x:v>
      </x:c>
      <x:c r="D139" s="18" t="str">
        <x:v>https://gogumafarm.kr/%EC%98%A4%ED%94%88%ED%86%A0%EC%82%AD%EC%8A%A4%C2%B7%EC%95%94%EC%BB%A4%ED%94%84%C2%B7%EB%84%A4%ED%8A%B8%EB%B0%B1-%EB%8B%B9%EC%9E%A5-%EC%8D%A8%EB%A8%B9%EC%9D%84-%EC%88%98-%EC%9E%88%EB%8A%94/</x:v>
      </x:c>
      <x:c r="E139" s="18" t="str">
        <x:v>공개 근거에서 확인·정규화한 관련어</x:v>
      </x:c>
    </x:row>
    <x:row r="140">
      <x:c r="A140" s="18" t="str">
        <x:v>kr_202607_jellyfish_design_goods</x:v>
      </x:c>
      <x:c r="B140" s="18" t="n">
        <x:v>2</x:v>
      </x:c>
      <x:c r="C140" s="18" t="str">
        <x:v>해양 디자인</x:v>
      </x:c>
      <x:c r="D140" s="18" t="str">
        <x:v>https://www.youtube.com/results?search_query=%ED%95%B4%ED%8C%8C%EB%A6%AC%20%EB%94%94%EC%9E%90%EC%9D%B8%20%EA%B5%BF%EC%A6%88</x:v>
      </x:c>
      <x:c r="E140" s="18" t="str">
        <x:v>공개 근거에서 확인·정규화한 관련어</x:v>
      </x:c>
    </x:row>
    <x:row r="141">
      <x:c r="A141" s="18" t="str">
        <x:v>kr_202607_jellyfish_design_goods</x:v>
      </x:c>
      <x:c r="B141" s="18" t="n">
        <x:v>3</x:v>
      </x:c>
      <x:c r="C141" s="18" t="str">
        <x:v>투명 소품</x:v>
      </x:c>
      <x:c r="D141" s="18" t="str">
        <x:v>https://gogumafarm.kr/%EC%98%A4%ED%94%88%ED%86%A0%EC%82%AD%EC%8A%A4%C2%B7%EC%95%94%EC%BB%A4%ED%94%84%C2%B7%EB%84%A4%ED%8A%B8%EB%B0%B1-%EB%8B%B9%EC%9E%A5-%EC%8D%A8%EB%A8%B9%EC%9D%84-%EC%88%98-%EC%9E%88%EB%8A%94/</x:v>
      </x:c>
      <x:c r="E141" s="18" t="str">
        <x:v>공개 근거에서 확인·정규화한 관련어</x:v>
      </x:c>
    </x:row>
    <x:row r="142">
      <x:c r="A142" s="18" t="str">
        <x:v>kr_202607_jellyfish_design_goods</x:v>
      </x:c>
      <x:c r="B142" s="18" t="n">
        <x:v>4</x:v>
      </x:c>
      <x:c r="C142" s="18" t="str">
        <x:v>여름 인테리어</x:v>
      </x:c>
      <x:c r="D142" s="18" t="str">
        <x:v>https://www.youtube.com/results?search_query=%ED%95%B4%ED%8C%8C%EB%A6%AC%20%EB%94%94%EC%9E%90%EC%9D%B8%20%EA%B5%BF%EC%A6%88</x:v>
      </x:c>
      <x:c r="E142" s="18" t="str">
        <x:v>공개 근거에서 확인·정규화한 관련어</x:v>
      </x:c>
    </x:row>
    <x:row r="143">
      <x:c r="A143" s="18" t="str">
        <x:v>kr_202607_jellyfish_design_goods</x:v>
      </x:c>
      <x:c r="B143" s="18" t="n">
        <x:v>5</x:v>
      </x:c>
      <x:c r="C143" s="18" t="str">
        <x:v>아쿠아 캐릭터</x:v>
      </x:c>
      <x:c r="D143" s="18" t="str">
        <x:v>https://gogumafarm.kr/%EC%98%A4%ED%94%88%ED%86%A0%EC%82%AD%EC%8A%A4%C2%B7%EC%95%94%EC%BB%A4%ED%94%84%C2%B7%EB%84%A4%ED%8A%B8%EB%B0%B1-%EB%8B%B9%EC%9E%A5-%EC%8D%A8%EB%A8%B9%EC%9D%84-%EC%88%98-%EC%9E%88%EB%8A%94/</x:v>
      </x:c>
      <x:c r="E143" s="18" t="str">
        <x:v>공개 근거에서 확인·정규화한 관련어</x:v>
      </x:c>
    </x:row>
    <x:row r="144">
      <x:c r="A144" s="18" t="str">
        <x:v>kr_202607_lemoncore</x:v>
      </x:c>
      <x:c r="B144" s="18" t="n">
        <x:v>1</x:v>
      </x:c>
      <x:c r="C144" s="18" t="str">
        <x:v>레몬코어</x:v>
      </x:c>
      <x:c r="D144" s="18" t="str">
        <x:v>https://gogumafarm.kr/%EC%98%A4%ED%94%88%ED%86%A0%EC%82%AD%EC%8A%A4%C2%B7%EC%95%94%EC%BB%A4%ED%94%84%C2%B7%EB%84%A4%ED%8A%B8%EB%B0%B1-%EB%8B%B9%EC%9E%A5-%EC%8D%A8%EB%A8%B9%EC%9D%84-%EC%88%98-%EC%9E%88%EB%8A%94/</x:v>
      </x:c>
      <x:c r="E144" s="18" t="str">
        <x:v>공개 근거에서 확인·정규화한 관련어</x:v>
      </x:c>
    </x:row>
    <x:row r="145">
      <x:c r="A145" s="18" t="str">
        <x:v>kr_202607_lemoncore</x:v>
      </x:c>
      <x:c r="B145" s="18" t="n">
        <x:v>2</x:v>
      </x:c>
      <x:c r="C145" s="18" t="str">
        <x:v>레몬 패션</x:v>
      </x:c>
      <x:c r="D145" s="18" t="str">
        <x:v>https://www.youtube.com/results?search_query=%EB%A0%88%EB%AA%AC%EC%BD%94%EC%96%B4</x:v>
      </x:c>
      <x:c r="E145" s="18" t="str">
        <x:v>공개 근거에서 확인·정규화한 관련어</x:v>
      </x:c>
    </x:row>
    <x:row r="146">
      <x:c r="A146" s="18" t="str">
        <x:v>kr_202607_lemoncore</x:v>
      </x:c>
      <x:c r="B146" s="18" t="n">
        <x:v>3</x:v>
      </x:c>
      <x:c r="C146" s="18" t="str">
        <x:v>노란색 스타일링</x:v>
      </x:c>
      <x:c r="D146" s="18" t="str">
        <x:v>https://gogumafarm.kr/%EC%98%A4%ED%94%88%ED%86%A0%EC%82%AD%EC%8A%A4%C2%B7%EC%95%94%EC%BB%A4%ED%94%84%C2%B7%EB%84%A4%ED%8A%B8%EB%B0%B1-%EB%8B%B9%EC%9E%A5-%EC%8D%A8%EB%A8%B9%EC%9D%84-%EC%88%98-%EC%9E%88%EB%8A%94/</x:v>
      </x:c>
      <x:c r="E146" s="18" t="str">
        <x:v>공개 근거에서 확인·정규화한 관련어</x:v>
      </x:c>
    </x:row>
    <x:row r="147">
      <x:c r="A147" s="18" t="str">
        <x:v>kr_202607_lemoncore</x:v>
      </x:c>
      <x:c r="B147" s="18" t="n">
        <x:v>4</x:v>
      </x:c>
      <x:c r="C147" s="18" t="str">
        <x:v>시트러스 무드</x:v>
      </x:c>
      <x:c r="D147" s="18" t="str">
        <x:v>https://www.youtube.com/results?search_query=%EB%A0%88%EB%AA%AC%EC%BD%94%EC%96%B4</x:v>
      </x:c>
      <x:c r="E147" s="18" t="str">
        <x:v>공개 근거에서 확인·정규화한 관련어</x:v>
      </x:c>
    </x:row>
    <x:row r="148">
      <x:c r="A148" s="18" t="str">
        <x:v>kr_202607_lemoncore</x:v>
      </x:c>
      <x:c r="B148" s="18" t="n">
        <x:v>5</x:v>
      </x:c>
      <x:c r="C148" s="18" t="str">
        <x:v>여름 코어</x:v>
      </x:c>
      <x:c r="D148" s="18" t="str">
        <x:v>https://gogumafarm.kr/%EC%98%A4%ED%94%88%ED%86%A0%EC%82%AD%EC%8A%A4%C2%B7%EC%95%94%EC%BB%A4%ED%94%84%C2%B7%EB%84%A4%ED%8A%B8%EB%B0%B1-%EB%8B%B9%EC%9E%A5-%EC%8D%A8%EB%A8%B9%EC%9D%84-%EC%88%98-%EC%9E%88%EB%8A%94/</x:v>
      </x:c>
      <x:c r="E148" s="18" t="str">
        <x:v>공개 근거에서 확인·정규화한 관련어</x:v>
      </x:c>
    </x:row>
    <x:row r="149">
      <x:c r="A149" s="18" t="str">
        <x:v>kr_202607_cream_soda_goods</x:v>
      </x:c>
      <x:c r="B149" s="18" t="n">
        <x:v>1</x:v>
      </x:c>
      <x:c r="C149" s="18" t="str">
        <x:v>크림소다 굿즈</x:v>
      </x:c>
      <x:c r="D149" s="18" t="str">
        <x:v>https://gogumafarm.kr/%EC%98%A4%ED%94%88%ED%86%A0%EC%82%AD%EC%8A%A4%C2%B7%EC%95%94%EC%BB%A4%ED%94%84%C2%B7%EB%84%A4%ED%8A%B8%EB%B0%B1-%EB%8B%B9%EC%9E%A5-%EC%8D%A8%EB%A8%B9%EC%9D%84-%EC%88%98-%EC%9E%88%EB%8A%94/</x:v>
      </x:c>
      <x:c r="E149" s="18" t="str">
        <x:v>공개 근거에서 확인·정규화한 관련어</x:v>
      </x:c>
    </x:row>
    <x:row r="150">
      <x:c r="A150" s="18" t="str">
        <x:v>kr_202607_cream_soda_goods</x:v>
      </x:c>
      <x:c r="B150" s="18" t="n">
        <x:v>2</x:v>
      </x:c>
      <x:c r="C150" s="18" t="str">
        <x:v>레트로 카페</x:v>
      </x:c>
      <x:c r="D150" s="18" t="str">
        <x:v>https://www.youtube.com/results?search_query=%ED%81%AC%EB%A6%BC%EC%86%8C%EB%8B%A4%20%EA%B5%BF%EC%A6%88</x:v>
      </x:c>
      <x:c r="E150" s="18" t="str">
        <x:v>공개 근거에서 확인·정규화한 관련어</x:v>
      </x:c>
    </x:row>
    <x:row r="151">
      <x:c r="A151" s="18" t="str">
        <x:v>kr_202607_cream_soda_goods</x:v>
      </x:c>
      <x:c r="B151" s="18" t="n">
        <x:v>3</x:v>
      </x:c>
      <x:c r="C151" s="18" t="str">
        <x:v>소다 컬러</x:v>
      </x:c>
      <x:c r="D151" s="18" t="str">
        <x:v>https://gogumafarm.kr/%EC%98%A4%ED%94%88%ED%86%A0%EC%82%AD%EC%8A%A4%C2%B7%EC%95%94%EC%BB%A4%ED%94%84%C2%B7%EB%84%A4%ED%8A%B8%EB%B0%B1-%EB%8B%B9%EC%9E%A5-%EC%8D%A8%EB%A8%B9%EC%9D%84-%EC%88%98-%EC%9E%88%EB%8A%94/</x:v>
      </x:c>
      <x:c r="E151" s="18" t="str">
        <x:v>공개 근거에서 확인·정규화한 관련어</x:v>
      </x:c>
    </x:row>
    <x:row r="152">
      <x:c r="A152" s="18" t="str">
        <x:v>kr_202607_cream_soda_goods</x:v>
      </x:c>
      <x:c r="B152" s="18" t="n">
        <x:v>4</x:v>
      </x:c>
      <x:c r="C152" s="18" t="str">
        <x:v>투명 굿즈</x:v>
      </x:c>
      <x:c r="D152" s="18" t="str">
        <x:v>https://www.youtube.com/results?search_query=%ED%81%AC%EB%A6%BC%EC%86%8C%EB%8B%A4%20%EA%B5%BF%EC%A6%88</x:v>
      </x:c>
      <x:c r="E152" s="18" t="str">
        <x:v>공개 근거에서 확인·정규화한 관련어</x:v>
      </x:c>
    </x:row>
    <x:row r="153">
      <x:c r="A153" s="18" t="str">
        <x:v>kr_202607_cream_soda_goods</x:v>
      </x:c>
      <x:c r="B153" s="18" t="n">
        <x:v>5</x:v>
      </x:c>
      <x:c r="C153" s="18" t="str">
        <x:v>카페 모티프</x:v>
      </x:c>
      <x:c r="D153" s="18" t="str">
        <x:v>https://gogumafarm.kr/%EC%98%A4%ED%94%88%ED%86%A0%EC%82%AD%EC%8A%A4%C2%B7%EC%95%94%EC%BB%A4%ED%94%84%C2%B7%EB%84%A4%ED%8A%B8%EB%B0%B1-%EB%8B%B9%EC%9E%A5-%EC%8D%A8%EB%A8%B9%EC%9D%84-%EC%88%98-%EC%9E%88%EB%8A%94/</x:v>
      </x:c>
      <x:c r="E153" s="18" t="str">
        <x:v>공개 근거에서 확인·정규화한 관련어</x:v>
      </x:c>
    </x:row>
    <x:row r="154">
      <x:c r="A154" s="18" t="str">
        <x:v>kr_202607_seasonal_fruit_poetry</x:v>
      </x:c>
      <x:c r="B154" s="18" t="n">
        <x:v>1</x:v>
      </x:c>
      <x:c r="C154" s="18" t="str">
        <x:v>제철 과일 백일장</x:v>
      </x:c>
      <x:c r="D154" s="18" t="str">
        <x:v>https://gogumafarm.kr/%EC%98%A4%ED%94%88%ED%86%A0%EC%82%AD%EC%8A%A4%C2%B7%EC%95%94%EC%BB%A4%ED%94%84%C2%B7%EB%84%A4%ED%8A%B8%EB%B0%B1-%EB%8B%B9%EC%9E%A5-%EC%8D%A8%EB%A8%B9%EC%9D%84-%EC%88%98-%EC%9E%88%EB%8A%94/</x:v>
      </x:c>
      <x:c r="E154" s="18" t="str">
        <x:v>공개 근거에서 확인·정규화한 관련어</x:v>
      </x:c>
    </x:row>
    <x:row r="155">
      <x:c r="A155" s="18" t="str">
        <x:v>kr_202607_seasonal_fruit_poetry</x:v>
      </x:c>
      <x:c r="B155" s="18" t="n">
        <x:v>2</x:v>
      </x:c>
      <x:c r="C155" s="18" t="str">
        <x:v>과일 카피</x:v>
      </x:c>
      <x:c r="D155" s="18" t="str">
        <x:v>https://www.youtube.com/results?search_query=%EC%A0%9C%EC%B2%A0%20%EA%B3%BC%EC%9D%BC%20%EB%B0%B1%EC%9D%BC%EC%9E%A5</x:v>
      </x:c>
      <x:c r="E155" s="18" t="str">
        <x:v>공개 근거에서 확인·정규화한 관련어</x:v>
      </x:c>
    </x:row>
    <x:row r="156">
      <x:c r="A156" s="18" t="str">
        <x:v>kr_202607_seasonal_fruit_poetry</x:v>
      </x:c>
      <x:c r="B156" s="18" t="n">
        <x:v>3</x:v>
      </x:c>
      <x:c r="C156" s="18" t="str">
        <x:v>참여형 브랜드 콘텐츠</x:v>
      </x:c>
      <x:c r="D156" s="18" t="str">
        <x:v>https://gogumafarm.kr/%EC%98%A4%ED%94%88%ED%86%A0%EC%82%AD%EC%8A%A4%C2%B7%EC%95%94%EC%BB%A4%ED%94%84%C2%B7%EB%84%A4%ED%8A%B8%EB%B0%B1-%EB%8B%B9%EC%9E%A5-%EC%8D%A8%EB%A8%B9%EC%9D%84-%EC%88%98-%EC%9E%88%EB%8A%94/</x:v>
      </x:c>
      <x:c r="E156" s="18" t="str">
        <x:v>공개 근거에서 확인·정규화한 관련어</x:v>
      </x:c>
    </x:row>
    <x:row r="157">
      <x:c r="A157" s="18" t="str">
        <x:v>kr_202607_seasonal_fruit_poetry</x:v>
      </x:c>
      <x:c r="B157" s="18" t="n">
        <x:v>4</x:v>
      </x:c>
      <x:c r="C157" s="18" t="str">
        <x:v>댓글 이벤트</x:v>
      </x:c>
      <x:c r="D157" s="18" t="str">
        <x:v>https://www.youtube.com/results?search_query=%EC%A0%9C%EC%B2%A0%20%EA%B3%BC%EC%9D%BC%20%EB%B0%B1%EC%9D%BC%EC%9E%A5</x:v>
      </x:c>
      <x:c r="E157" s="18" t="str">
        <x:v>공개 근거에서 확인·정규화한 관련어</x:v>
      </x:c>
    </x:row>
    <x:row r="158">
      <x:c r="A158" s="18" t="str">
        <x:v>kr_202607_seasonal_fruit_poetry</x:v>
      </x:c>
      <x:c r="B158" s="18" t="n">
        <x:v>5</x:v>
      </x:c>
      <x:c r="C158" s="18" t="str">
        <x:v>제철 마케팅</x:v>
      </x:c>
      <x:c r="D158" s="18" t="str">
        <x:v>https://gogumafarm.kr/%EC%98%A4%ED%94%88%ED%86%A0%EC%82%AD%EC%8A%A4%C2%B7%EC%95%94%EC%BB%A4%ED%94%84%C2%B7%EB%84%A4%ED%8A%B8%EB%B0%B1-%EB%8B%B9%EC%9E%A5-%EC%8D%A8%EB%A8%B9%EC%9D%84-%EC%88%98-%EC%9E%88%EB%8A%94/</x:v>
      </x:c>
      <x:c r="E158" s="18" t="str">
        <x:v>공개 근거에서 확인·정규화한 관련어</x:v>
      </x:c>
    </x:row>
    <x:row r="159">
      <x:c r="A159" s="18" t="str">
        <x:v>kr_202606_backrooms</x:v>
      </x:c>
      <x:c r="B159" s="18" t="n">
        <x:v>1</x:v>
      </x:c>
      <x:c r="C159" s="18" t="str">
        <x:v>백룸</x:v>
      </x:c>
      <x:c r="D159" s="18" t="str">
        <x:v>https://blog.hsad.co.kr/3751</x:v>
      </x:c>
      <x:c r="E159" s="18" t="str">
        <x:v>공개 근거에서 확인·정규화한 관련어</x:v>
      </x:c>
    </x:row>
    <x:row r="160">
      <x:c r="A160" s="18" t="str">
        <x:v>kr_202606_backrooms</x:v>
      </x:c>
      <x:c r="B160" s="18" t="n">
        <x:v>2</x:v>
      </x:c>
      <x:c r="C160" s="18" t="str">
        <x:v>리미널 스페이스</x:v>
      </x:c>
      <x:c r="D160" s="18" t="str">
        <x:v>https://www.youtube.com/results?search_query=%EB%B0%B1%EB%A3%B8</x:v>
      </x:c>
      <x:c r="E160" s="18" t="str">
        <x:v>공개 근거에서 확인·정규화한 관련어</x:v>
      </x:c>
    </x:row>
    <x:row r="161">
      <x:c r="A161" s="18" t="str">
        <x:v>kr_202606_backrooms</x:v>
      </x:c>
      <x:c r="B161" s="18" t="n">
        <x:v>3</x:v>
      </x:c>
      <x:c r="C161" s="18" t="str">
        <x:v>공포 게임</x:v>
      </x:c>
      <x:c r="D161" s="18" t="str">
        <x:v>https://blog.hsad.co.kr/3751</x:v>
      </x:c>
      <x:c r="E161" s="18" t="str">
        <x:v>공개 근거에서 확인·정규화한 관련어</x:v>
      </x:c>
    </x:row>
    <x:row r="162">
      <x:c r="A162" s="18" t="str">
        <x:v>kr_202606_backrooms</x:v>
      </x:c>
      <x:c r="B162" s="18" t="n">
        <x:v>4</x:v>
      </x:c>
      <x:c r="C162" s="18" t="str">
        <x:v>파운드 푸티지</x:v>
      </x:c>
      <x:c r="D162" s="18" t="str">
        <x:v>https://www.youtube.com/results?search_query=%EB%B0%B1%EB%A3%B8</x:v>
      </x:c>
      <x:c r="E162" s="18" t="str">
        <x:v>공개 근거에서 확인·정규화한 관련어</x:v>
      </x:c>
    </x:row>
    <x:row r="163">
      <x:c r="A163" s="18" t="str">
        <x:v>kr_202606_backrooms</x:v>
      </x:c>
      <x:c r="B163" s="18" t="n">
        <x:v>5</x:v>
      </x:c>
      <x:c r="C163" s="18" t="str">
        <x:v>인터넷 괴담</x:v>
      </x:c>
      <x:c r="D163" s="18" t="str">
        <x:v>https://blog.hsad.co.kr/3751</x:v>
      </x:c>
      <x:c r="E163" s="18" t="str">
        <x:v>공개 근거에서 확인·정규화한 관련어</x:v>
      </x:c>
    </x:row>
    <x:row r="164">
      <x:c r="A164" s="18" t="str">
        <x:v>kr_202606_geoje_yahoo</x:v>
      </x:c>
      <x:c r="B164" s="18" t="n">
        <x:v>1</x:v>
      </x:c>
      <x:c r="C164" s="18" t="str">
        <x:v>거제 야호</x:v>
      </x:c>
      <x:c r="D164" s="18" t="str">
        <x:v>https://blog.hsad.co.kr/3751</x:v>
      </x:c>
      <x:c r="E164" s="18" t="str">
        <x:v>공개 근거에서 확인·정규화한 관련어</x:v>
      </x:c>
    </x:row>
    <x:row r="165">
      <x:c r="A165" s="18" t="str">
        <x:v>kr_202606_geoje_yahoo</x:v>
      </x:c>
      <x:c r="B165" s="18" t="n">
        <x:v>2</x:v>
      </x:c>
      <x:c r="C165" s="18" t="str">
        <x:v>지역 밈</x:v>
      </x:c>
      <x:c r="D165" s="18" t="str">
        <x:v>https://www.youtube.com/results?search_query=%EA%B1%B0%EC%A0%9C%20%EC%95%BC%ED%98%B8</x:v>
      </x:c>
      <x:c r="E165" s="18" t="str">
        <x:v>공개 근거에서 확인·정규화한 관련어</x:v>
      </x:c>
    </x:row>
    <x:row r="166">
      <x:c r="A166" s="18" t="str">
        <x:v>kr_202606_geoje_yahoo</x:v>
      </x:c>
      <x:c r="B166" s="18" t="n">
        <x:v>3</x:v>
      </x:c>
      <x:c r="C166" s="18" t="str">
        <x:v>거제 여행</x:v>
      </x:c>
      <x:c r="D166" s="18" t="str">
        <x:v>https://blog.hsad.co.kr/3751</x:v>
      </x:c>
      <x:c r="E166" s="18" t="str">
        <x:v>공개 근거에서 확인·정규화한 관련어</x:v>
      </x:c>
    </x:row>
    <x:row r="167">
      <x:c r="A167" s="18" t="str">
        <x:v>kr_202606_geoje_yahoo</x:v>
      </x:c>
      <x:c r="B167" s="18" t="n">
        <x:v>4</x:v>
      </x:c>
      <x:c r="C167" s="18" t="str">
        <x:v>관광 숏폼</x:v>
      </x:c>
      <x:c r="D167" s="18" t="str">
        <x:v>https://www.youtube.com/results?search_query=%EA%B1%B0%EC%A0%9C%20%EC%95%BC%ED%98%B8</x:v>
      </x:c>
      <x:c r="E167" s="18" t="str">
        <x:v>공개 근거에서 확인·정규화한 관련어</x:v>
      </x:c>
    </x:row>
    <x:row r="168">
      <x:c r="A168" s="18" t="str">
        <x:v>kr_202606_geoje_yahoo</x:v>
      </x:c>
      <x:c r="B168" s="18" t="n">
        <x:v>5</x:v>
      </x:c>
      <x:c r="C168" s="18" t="str">
        <x:v>로컬 브랜딩</x:v>
      </x:c>
      <x:c r="D168" s="18" t="str">
        <x:v>https://blog.hsad.co.kr/3751</x:v>
      </x:c>
      <x:c r="E168" s="18" t="str">
        <x:v>공개 근거에서 확인·정규화한 관련어</x:v>
      </x:c>
    </x:row>
    <x:row r="169">
      <x:c r="A169" s="18" t="str">
        <x:v>kr_202606_youngcreatorcrew</x:v>
      </x:c>
      <x:c r="B169" s="18" t="n">
        <x:v>1</x:v>
      </x:c>
      <x:c r="C169" s="18" t="str">
        <x:v>영크크</x:v>
      </x:c>
      <x:c r="D169" s="18" t="str">
        <x:v>https://blog.hsad.co.kr/3751</x:v>
      </x:c>
      <x:c r="E169" s="18" t="str">
        <x:v>공개 근거에서 확인·정규화한 관련어</x:v>
      </x:c>
    </x:row>
    <x:row r="170">
      <x:c r="A170" s="18" t="str">
        <x:v>kr_202606_youngcreatorcrew</x:v>
      </x:c>
      <x:c r="B170" s="18" t="n">
        <x:v>2</x:v>
      </x:c>
      <x:c r="C170" s="18" t="str">
        <x:v>영 크리에이터 크루</x:v>
      </x:c>
      <x:c r="D170" s="18" t="str">
        <x:v>https://www.youtube.com/results?search_query=%EC%98%81%ED%81%AC%ED%81%AC</x:v>
      </x:c>
      <x:c r="E170" s="18" t="str">
        <x:v>공개 근거에서 확인·정규화한 관련어</x:v>
      </x:c>
    </x:row>
    <x:row r="171">
      <x:c r="A171" s="18" t="str">
        <x:v>kr_202606_youngcreatorcrew</x:v>
      </x:c>
      <x:c r="B171" s="18" t="n">
        <x:v>3</x:v>
      </x:c>
      <x:c r="C171" s="18" t="str">
        <x:v>크리에이터 육성</x:v>
      </x:c>
      <x:c r="D171" s="18" t="str">
        <x:v>https://blog.hsad.co.kr/3751</x:v>
      </x:c>
      <x:c r="E171" s="18" t="str">
        <x:v>공개 근거에서 확인·정규화한 관련어</x:v>
      </x:c>
    </x:row>
    <x:row r="172">
      <x:c r="A172" s="18" t="str">
        <x:v>kr_202606_youngcreatorcrew</x:v>
      </x:c>
      <x:c r="B172" s="18" t="n">
        <x:v>4</x:v>
      </x:c>
      <x:c r="C172" s="18" t="str">
        <x:v>숏폼 제작</x:v>
      </x:c>
      <x:c r="D172" s="18" t="str">
        <x:v>https://www.youtube.com/results?search_query=%EC%98%81%ED%81%AC%ED%81%AC</x:v>
      </x:c>
      <x:c r="E172" s="18" t="str">
        <x:v>공개 근거에서 확인·정규화한 관련어</x:v>
      </x:c>
    </x:row>
    <x:row r="173">
      <x:c r="A173" s="18" t="str">
        <x:v>kr_202606_youngcreatorcrew</x:v>
      </x:c>
      <x:c r="B173" s="18" t="n">
        <x:v>5</x:v>
      </x:c>
      <x:c r="C173" s="18" t="str">
        <x:v>Z세대 크리에이터</x:v>
      </x:c>
      <x:c r="D173" s="18" t="str">
        <x:v>https://blog.hsad.co.kr/3751</x:v>
      </x:c>
      <x:c r="E173" s="18" t="str">
        <x:v>공개 근거에서 확인·정규화한 관련어</x:v>
      </x:c>
    </x:row>
    <x:row r="174">
      <x:c r="A174" s="18" t="str">
        <x:v>kr_202606_ai_sports_broadcast_shot</x:v>
      </x:c>
      <x:c r="B174" s="18" t="n">
        <x:v>1</x:v>
      </x:c>
      <x:c r="C174" s="18" t="str">
        <x:v>관중 난입 AI</x:v>
      </x:c>
      <x:c r="D174" s="18" t="str">
        <x:v>https://blog.hsad.co.kr/3751</x:v>
      </x:c>
      <x:c r="E174" s="18" t="str">
        <x:v>공개 근거에서 확인·정규화한 관련어</x:v>
      </x:c>
    </x:row>
    <x:row r="175">
      <x:c r="A175" s="18" t="str">
        <x:v>kr_202606_ai_sports_broadcast_shot</x:v>
      </x:c>
      <x:c r="B175" s="18" t="n">
        <x:v>2</x:v>
      </x:c>
      <x:c r="C175" s="18" t="str">
        <x:v>AI 스포츠 영상</x:v>
      </x:c>
      <x:c r="D175" s="18" t="str">
        <x:v>https://www.youtube.com/results?search_query=%EA%B4%80%EC%A4%91%20%EB%82%9C%EC%9E%85%20AI</x:v>
      </x:c>
      <x:c r="E175" s="18" t="str">
        <x:v>공개 근거에서 확인·정규화한 관련어</x:v>
      </x:c>
    </x:row>
    <x:row r="176">
      <x:c r="A176" s="18" t="str">
        <x:v>kr_202606_ai_sports_broadcast_shot</x:v>
      </x:c>
      <x:c r="B176" s="18" t="n">
        <x:v>3</x:v>
      </x:c>
      <x:c r="C176" s="18" t="str">
        <x:v>가상 중계</x:v>
      </x:c>
      <x:c r="D176" s="18" t="str">
        <x:v>https://blog.hsad.co.kr/3751</x:v>
      </x:c>
      <x:c r="E176" s="18" t="str">
        <x:v>공개 근거에서 확인·정규화한 관련어</x:v>
      </x:c>
    </x:row>
    <x:row r="177">
      <x:c r="A177" s="18" t="str">
        <x:v>kr_202606_ai_sports_broadcast_shot</x:v>
      </x:c>
      <x:c r="B177" s="18" t="n">
        <x:v>4</x:v>
      </x:c>
      <x:c r="C177" s="18" t="str">
        <x:v>생성형 영상</x:v>
      </x:c>
      <x:c r="D177" s="18" t="str">
        <x:v>https://www.youtube.com/results?search_query=%EA%B4%80%EC%A4%91%20%EB%82%9C%EC%9E%85%20AI</x:v>
      </x:c>
      <x:c r="E177" s="18" t="str">
        <x:v>공개 근거에서 확인·정규화한 관련어</x:v>
      </x:c>
    </x:row>
    <x:row r="178">
      <x:c r="A178" s="18" t="str">
        <x:v>kr_202606_ai_sports_broadcast_shot</x:v>
      </x:c>
      <x:c r="B178" s="18" t="n">
        <x:v>5</x:v>
      </x:c>
      <x:c r="C178" s="18" t="str">
        <x:v>스포츠 밈</x:v>
      </x:c>
      <x:c r="D178" s="18" t="str">
        <x:v>https://blog.hsad.co.kr/3751</x:v>
      </x:c>
      <x:c r="E178" s="18" t="str">
        <x:v>공개 근거에서 확인·정규화한 관련어</x:v>
      </x:c>
    </x:row>
    <x:row r="179">
      <x:c r="A179" s="18" t="str">
        <x:v>kr_202606_suddenly_yangeuji</x:v>
      </x:c>
      <x:c r="B179" s="18" t="n">
        <x:v>1</x:v>
      </x:c>
      <x:c r="C179" s="18" t="str">
        <x:v>자려고 누웠는데 양의지</x:v>
      </x:c>
      <x:c r="D179" s="18" t="str">
        <x:v>https://blog.hsad.co.kr/3751</x:v>
      </x:c>
      <x:c r="E179" s="18" t="str">
        <x:v>공개 근거에서 확인·정규화한 관련어</x:v>
      </x:c>
    </x:row>
    <x:row r="180">
      <x:c r="A180" s="18" t="str">
        <x:v>kr_202606_suddenly_yangeuji</x:v>
      </x:c>
      <x:c r="B180" s="18" t="n">
        <x:v>2</x:v>
      </x:c>
      <x:c r="C180" s="18" t="str">
        <x:v>양의지 밈</x:v>
      </x:c>
      <x:c r="D180" s="18" t="str">
        <x:v>https://www.youtube.com/results?search_query=%EC%9E%90%EB%A0%A4%EA%B3%A0%20%EB%88%84%EC%9B%A0%EB%8A%94%EB%8D%B0%20%EC%96%91%EC%9D%98%EC%A7%80</x:v>
      </x:c>
      <x:c r="E180" s="18" t="str">
        <x:v>공개 근거에서 확인·정규화한 관련어</x:v>
      </x:c>
    </x:row>
    <x:row r="181">
      <x:c r="A181" s="18" t="str">
        <x:v>kr_202606_suddenly_yangeuji</x:v>
      </x:c>
      <x:c r="B181" s="18" t="n">
        <x:v>3</x:v>
      </x:c>
      <x:c r="C181" s="18" t="str">
        <x:v>야구 숏폼</x:v>
      </x:c>
      <x:c r="D181" s="18" t="str">
        <x:v>https://blog.hsad.co.kr/3751</x:v>
      </x:c>
      <x:c r="E181" s="18" t="str">
        <x:v>공개 근거에서 확인·정규화한 관련어</x:v>
      </x:c>
    </x:row>
    <x:row r="182">
      <x:c r="A182" s="18" t="str">
        <x:v>kr_202606_suddenly_yangeuji</x:v>
      </x:c>
      <x:c r="B182" s="18" t="n">
        <x:v>4</x:v>
      </x:c>
      <x:c r="C182" s="18" t="str">
        <x:v>프로야구 밈</x:v>
      </x:c>
      <x:c r="D182" s="18" t="str">
        <x:v>https://www.youtube.com/results?search_query=%EC%9E%90%EB%A0%A4%EA%B3%A0%20%EB%88%84%EC%9B%A0%EB%8A%94%EB%8D%B0%20%EC%96%91%EC%9D%98%EC%A7%80</x:v>
      </x:c>
      <x:c r="E182" s="18" t="str">
        <x:v>공개 근거에서 확인·정규화한 관련어</x:v>
      </x:c>
    </x:row>
    <x:row r="183">
      <x:c r="A183" s="18" t="str">
        <x:v>kr_202606_suddenly_yangeuji</x:v>
      </x:c>
      <x:c r="B183" s="18" t="n">
        <x:v>5</x:v>
      </x:c>
      <x:c r="C183" s="18" t="str">
        <x:v>두산 베어스</x:v>
      </x:c>
      <x:c r="D183" s="18" t="str">
        <x:v>https://blog.hsad.co.kr/3751</x:v>
      </x:c>
      <x:c r="E183" s="18" t="str">
        <x:v>공개 근거에서 확인·정규화한 관련어</x:v>
      </x:c>
    </x:row>
    <x:row r="184">
      <x:c r="A184" s="18" t="str">
        <x:v>kr_202605_setlog</x:v>
      </x:c>
      <x:c r="B184" s="18" t="n">
        <x:v>1</x:v>
      </x:c>
      <x:c r="C184" s="18" t="str">
        <x:v>셋로그</x:v>
      </x:c>
      <x:c r="D184" s="18" t="str">
        <x:v>https://blog.hsad.co.kr/3736</x:v>
      </x:c>
      <x:c r="E184" s="18" t="str">
        <x:v>공개 근거에서 확인·정규화한 관련어</x:v>
      </x:c>
    </x:row>
    <x:row r="185">
      <x:c r="A185" s="18" t="str">
        <x:v>kr_202605_setlog</x:v>
      </x:c>
      <x:c r="B185" s="18" t="n">
        <x:v>2</x:v>
      </x:c>
      <x:c r="C185" s="18" t="str">
        <x:v>소개팅 숏폼</x:v>
      </x:c>
      <x:c r="D185" s="18" t="str">
        <x:v>https://www.youtube.com/results?search_query=%EC%85%8B%EB%A1%9C%EA%B7%B8</x:v>
      </x:c>
      <x:c r="E185" s="18" t="str">
        <x:v>공개 근거에서 확인·정규화한 관련어</x:v>
      </x:c>
    </x:row>
    <x:row r="186">
      <x:c r="A186" s="18" t="str">
        <x:v>kr_202605_setlog</x:v>
      </x:c>
      <x:c r="B186" s="18" t="n">
        <x:v>3</x:v>
      </x:c>
      <x:c r="C186" s="18" t="str">
        <x:v>관계 콘텐츠</x:v>
      </x:c>
      <x:c r="D186" s="18" t="str">
        <x:v>https://blog.hsad.co.kr/3736</x:v>
      </x:c>
      <x:c r="E186" s="18" t="str">
        <x:v>공개 근거에서 확인·정규화한 관련어</x:v>
      </x:c>
    </x:row>
    <x:row r="187">
      <x:c r="A187" s="18" t="str">
        <x:v>kr_202605_setlog</x:v>
      </x:c>
      <x:c r="B187" s="18" t="n">
        <x:v>4</x:v>
      </x:c>
      <x:c r="C187" s="18" t="str">
        <x:v>MZ 소개팅</x:v>
      </x:c>
      <x:c r="D187" s="18" t="str">
        <x:v>https://www.youtube.com/results?search_query=%EC%85%8B%EB%A1%9C%EA%B7%B8</x:v>
      </x:c>
      <x:c r="E187" s="18" t="str">
        <x:v>공개 근거에서 확인·정규화한 관련어</x:v>
      </x:c>
    </x:row>
    <x:row r="188">
      <x:c r="A188" s="18" t="str">
        <x:v>kr_202605_setlog</x:v>
      </x:c>
      <x:c r="B188" s="18" t="n">
        <x:v>5</x:v>
      </x:c>
      <x:c r="C188" s="18" t="str">
        <x:v>소셜 매칭</x:v>
      </x:c>
      <x:c r="D188" s="18" t="str">
        <x:v>https://blog.hsad.co.kr/3736</x:v>
      </x:c>
      <x:c r="E188" s="18" t="str">
        <x:v>공개 근거에서 확인·정규화한 관련어</x:v>
      </x:c>
    </x:row>
    <x:row r="189">
      <x:c r="A189" s="18" t="str">
        <x:v>kr_202605_ai_broadcast_shot</x:v>
      </x:c>
      <x:c r="B189" s="18" t="n">
        <x:v>1</x:v>
      </x:c>
      <x:c r="C189" s="18" t="str">
        <x:v>AI 중계샷</x:v>
      </x:c>
      <x:c r="D189" s="18" t="str">
        <x:v>https://blog.hsad.co.kr/3736</x:v>
      </x:c>
      <x:c r="E189" s="18" t="str">
        <x:v>공개 근거에서 확인·정규화한 관련어</x:v>
      </x:c>
    </x:row>
    <x:row r="190">
      <x:c r="A190" s="18" t="str">
        <x:v>kr_202605_ai_broadcast_shot</x:v>
      </x:c>
      <x:c r="B190" s="18" t="n">
        <x:v>2</x:v>
      </x:c>
      <x:c r="C190" s="18" t="str">
        <x:v>가상 카메라</x:v>
      </x:c>
      <x:c r="D190" s="18" t="str">
        <x:v>https://www.youtube.com/results?search_query=AI%20%EC%A4%91%EA%B3%84%EC%83%B7</x:v>
      </x:c>
      <x:c r="E190" s="18" t="str">
        <x:v>공개 근거에서 확인·정규화한 관련어</x:v>
      </x:c>
    </x:row>
    <x:row r="191">
      <x:c r="A191" s="18" t="str">
        <x:v>kr_202605_ai_broadcast_shot</x:v>
      </x:c>
      <x:c r="B191" s="18" t="n">
        <x:v>3</x:v>
      </x:c>
      <x:c r="C191" s="18" t="str">
        <x:v>스포츠 생성형 AI</x:v>
      </x:c>
      <x:c r="D191" s="18" t="str">
        <x:v>https://blog.hsad.co.kr/3736</x:v>
      </x:c>
      <x:c r="E191" s="18" t="str">
        <x:v>공개 근거에서 확인·정규화한 관련어</x:v>
      </x:c>
    </x:row>
    <x:row r="192">
      <x:c r="A192" s="18" t="str">
        <x:v>kr_202605_ai_broadcast_shot</x:v>
      </x:c>
      <x:c r="B192" s="18" t="n">
        <x:v>4</x:v>
      </x:c>
      <x:c r="C192" s="18" t="str">
        <x:v>중계 패러디</x:v>
      </x:c>
      <x:c r="D192" s="18" t="str">
        <x:v>https://www.youtube.com/results?search_query=AI%20%EC%A4%91%EA%B3%84%EC%83%B7</x:v>
      </x:c>
      <x:c r="E192" s="18" t="str">
        <x:v>공개 근거에서 확인·정규화한 관련어</x:v>
      </x:c>
    </x:row>
    <x:row r="193">
      <x:c r="A193" s="18" t="str">
        <x:v>kr_202605_ai_broadcast_shot</x:v>
      </x:c>
      <x:c r="B193" s="18" t="n">
        <x:v>5</x:v>
      </x:c>
      <x:c r="C193" s="18" t="str">
        <x:v>AI 영상</x:v>
      </x:c>
      <x:c r="D193" s="18" t="str">
        <x:v>https://blog.hsad.co.kr/3736</x:v>
      </x:c>
      <x:c r="E193" s="18" t="str">
        <x:v>공개 근거에서 확인·정규화한 관련어</x:v>
      </x:c>
    </x:row>
    <x:row r="194">
      <x:c r="A194" s="18" t="str">
        <x:v>kr_202605_goyang_flower_show</x:v>
      </x:c>
      <x:c r="B194" s="18" t="n">
        <x:v>1</x:v>
      </x:c>
      <x:c r="C194" s="18" t="str">
        <x:v>고양국제꽃박람회</x:v>
      </x:c>
      <x:c r="D194" s="18" t="str">
        <x:v>https://blog.hsad.co.kr/3736</x:v>
      </x:c>
      <x:c r="E194" s="18" t="str">
        <x:v>공개 근거에서 확인·정규화한 관련어</x:v>
      </x:c>
    </x:row>
    <x:row r="195">
      <x:c r="A195" s="18" t="str">
        <x:v>kr_202605_goyang_flower_show</x:v>
      </x:c>
      <x:c r="B195" s="18" t="n">
        <x:v>2</x:v>
      </x:c>
      <x:c r="C195" s="18" t="str">
        <x:v>일산호수공원</x:v>
      </x:c>
      <x:c r="D195" s="18" t="str">
        <x:v>https://www.youtube.com/results?search_query=%EA%B3%A0%EC%96%91%EA%B5%AD%EC%A0%9C%EA%BD%83%EB%B0%95%EB%9E%8C%ED%9A%8C</x:v>
      </x:c>
      <x:c r="E195" s="18" t="str">
        <x:v>공개 근거에서 확인·정규화한 관련어</x:v>
      </x:c>
    </x:row>
    <x:row r="196">
      <x:c r="A196" s="18" t="str">
        <x:v>kr_202605_goyang_flower_show</x:v>
      </x:c>
      <x:c r="B196" s="18" t="n">
        <x:v>3</x:v>
      </x:c>
      <x:c r="C196" s="18" t="str">
        <x:v>꽃축제</x:v>
      </x:c>
      <x:c r="D196" s="18" t="str">
        <x:v>https://blog.hsad.co.kr/3736</x:v>
      </x:c>
      <x:c r="E196" s="18" t="str">
        <x:v>공개 근거에서 확인·정규화한 관련어</x:v>
      </x:c>
    </x:row>
    <x:row r="197">
      <x:c r="A197" s="18" t="str">
        <x:v>kr_202605_goyang_flower_show</x:v>
      </x:c>
      <x:c r="B197" s="18" t="n">
        <x:v>4</x:v>
      </x:c>
      <x:c r="C197" s="18" t="str">
        <x:v>봄 나들이</x:v>
      </x:c>
      <x:c r="D197" s="18" t="str">
        <x:v>https://www.youtube.com/results?search_query=%EA%B3%A0%EC%96%91%EA%B5%AD%EC%A0%9C%EA%BD%83%EB%B0%95%EB%9E%8C%ED%9A%8C</x:v>
      </x:c>
      <x:c r="E197" s="18" t="str">
        <x:v>공개 근거에서 확인·정규화한 관련어</x:v>
      </x:c>
    </x:row>
    <x:row r="198">
      <x:c r="A198" s="18" t="str">
        <x:v>kr_202605_goyang_flower_show</x:v>
      </x:c>
      <x:c r="B198" s="18" t="n">
        <x:v>5</x:v>
      </x:c>
      <x:c r="C198" s="18" t="str">
        <x:v>플라워 콘텐츠</x:v>
      </x:c>
      <x:c r="D198" s="18" t="str">
        <x:v>https://blog.hsad.co.kr/3736</x:v>
      </x:c>
      <x:c r="E198" s="18" t="str">
        <x:v>공개 근거에서 확인·정규화한 관련어</x:v>
      </x:c>
    </x:row>
    <x:row r="199">
      <x:c r="A199" s="18" t="str">
        <x:v>kr_202605_romantic_hydrangea</x:v>
      </x:c>
      <x:c r="B199" s="18" t="n">
        <x:v>1</x:v>
      </x:c>
      <x:c r="C199" s="18" t="str">
        <x:v>낭만수국전</x:v>
      </x:c>
      <x:c r="D199" s="18" t="str">
        <x:v>https://blog.hsad.co.kr/3736</x:v>
      </x:c>
      <x:c r="E199" s="18" t="str">
        <x:v>공개 근거에서 확인·정규화한 관련어</x:v>
      </x:c>
    </x:row>
    <x:row r="200">
      <x:c r="A200" s="18" t="str">
        <x:v>kr_202605_romantic_hydrangea</x:v>
      </x:c>
      <x:c r="B200" s="18" t="n">
        <x:v>2</x:v>
      </x:c>
      <x:c r="C200" s="18" t="str">
        <x:v>서울식물원</x:v>
      </x:c>
      <x:c r="D200" s="18" t="str">
        <x:v>https://www.youtube.com/results?search_query=%EC%84%9C%EC%9A%B8%EC%8B%9D%EB%AC%BC%EC%9B%90%20%EB%82%AD%EB%A7%8C%EC%88%98%EA%B5%AD%EC%A0%84</x:v>
      </x:c>
      <x:c r="E200" s="18" t="str">
        <x:v>공개 근거에서 확인·정규화한 관련어</x:v>
      </x:c>
    </x:row>
    <x:row r="201">
      <x:c r="A201" s="18" t="str">
        <x:v>kr_202605_romantic_hydrangea</x:v>
      </x:c>
      <x:c r="B201" s="18" t="n">
        <x:v>3</x:v>
      </x:c>
      <x:c r="C201" s="18" t="str">
        <x:v>수국 전시</x:v>
      </x:c>
      <x:c r="D201" s="18" t="str">
        <x:v>https://blog.hsad.co.kr/3736</x:v>
      </x:c>
      <x:c r="E201" s="18" t="str">
        <x:v>공개 근거에서 확인·정규화한 관련어</x:v>
      </x:c>
    </x:row>
    <x:row r="202">
      <x:c r="A202" s="18" t="str">
        <x:v>kr_202605_romantic_hydrangea</x:v>
      </x:c>
      <x:c r="B202" s="18" t="n">
        <x:v>4</x:v>
      </x:c>
      <x:c r="C202" s="18" t="str">
        <x:v>꽃 인증샷</x:v>
      </x:c>
      <x:c r="D202" s="18" t="str">
        <x:v>https://www.youtube.com/results?search_query=%EC%84%9C%EC%9A%B8%EC%8B%9D%EB%AC%BC%EC%9B%90%20%EB%82%AD%EB%A7%8C%EC%88%98%EA%B5%AD%EC%A0%84</x:v>
      </x:c>
      <x:c r="E202" s="18" t="str">
        <x:v>공개 근거에서 확인·정규화한 관련어</x:v>
      </x:c>
    </x:row>
    <x:row r="203">
      <x:c r="A203" s="18" t="str">
        <x:v>kr_202605_romantic_hydrangea</x:v>
      </x:c>
      <x:c r="B203" s="18" t="n">
        <x:v>5</x:v>
      </x:c>
      <x:c r="C203" s="18" t="str">
        <x:v>서울 나들이</x:v>
      </x:c>
      <x:c r="D203" s="18" t="str">
        <x:v>https://blog.hsad.co.kr/3736</x:v>
      </x:c>
      <x:c r="E203" s="18" t="str">
        <x:v>공개 근거에서 확인·정규화한 관련어</x:v>
      </x:c>
    </x:row>
    <x:row r="204">
      <x:c r="A204" s="18" t="str">
        <x:v>kr_202605_seoul_garden_show</x:v>
      </x:c>
      <x:c r="B204" s="18" t="n">
        <x:v>1</x:v>
      </x:c>
      <x:c r="C204" s="18" t="str">
        <x:v>서울국제정원박람회</x:v>
      </x:c>
      <x:c r="D204" s="18" t="str">
        <x:v>https://blog.hsad.co.kr/3736</x:v>
      </x:c>
      <x:c r="E204" s="18" t="str">
        <x:v>공개 근거에서 확인·정규화한 관련어</x:v>
      </x:c>
    </x:row>
    <x:row r="205">
      <x:c r="A205" s="18" t="str">
        <x:v>kr_202605_seoul_garden_show</x:v>
      </x:c>
      <x:c r="B205" s="18" t="n">
        <x:v>2</x:v>
      </x:c>
      <x:c r="C205" s="18" t="str">
        <x:v>보라매공원</x:v>
      </x:c>
      <x:c r="D205" s="18" t="str">
        <x:v>https://www.youtube.com/results?search_query=%EC%84%9C%EC%9A%B8%EA%B5%AD%EC%A0%9C%EC%A0%95%EC%9B%90%EB%B0%95%EB%9E%8C%ED%9A%8C</x:v>
      </x:c>
      <x:c r="E205" s="18" t="str">
        <x:v>공개 근거에서 확인·정규화한 관련어</x:v>
      </x:c>
    </x:row>
    <x:row r="206">
      <x:c r="A206" s="18" t="str">
        <x:v>kr_202605_seoul_garden_show</x:v>
      </x:c>
      <x:c r="B206" s="18" t="n">
        <x:v>3</x:v>
      </x:c>
      <x:c r="C206" s="18" t="str">
        <x:v>정원 콘텐츠</x:v>
      </x:c>
      <x:c r="D206" s="18" t="str">
        <x:v>https://blog.hsad.co.kr/3736</x:v>
      </x:c>
      <x:c r="E206" s="18" t="str">
        <x:v>공개 근거에서 확인·정규화한 관련어</x:v>
      </x:c>
    </x:row>
    <x:row r="207">
      <x:c r="A207" s="18" t="str">
        <x:v>kr_202605_seoul_garden_show</x:v>
      </x:c>
      <x:c r="B207" s="18" t="n">
        <x:v>4</x:v>
      </x:c>
      <x:c r="C207" s="18" t="str">
        <x:v>도시 공원</x:v>
      </x:c>
      <x:c r="D207" s="18" t="str">
        <x:v>https://www.youtube.com/results?search_query=%EC%84%9C%EC%9A%B8%EA%B5%AD%EC%A0%9C%EC%A0%95%EC%9B%90%EB%B0%95%EB%9E%8C%ED%9A%8C</x:v>
      </x:c>
      <x:c r="E207" s="18" t="str">
        <x:v>공개 근거에서 확인·정규화한 관련어</x:v>
      </x:c>
    </x:row>
    <x:row r="208">
      <x:c r="A208" s="18" t="str">
        <x:v>kr_202605_seoul_garden_show</x:v>
      </x:c>
      <x:c r="B208" s="18" t="n">
        <x:v>5</x:v>
      </x:c>
      <x:c r="C208" s="18" t="str">
        <x:v>가든 투어</x:v>
      </x:c>
      <x:c r="D208" s="18" t="str">
        <x:v>https://blog.hsad.co.kr/3736</x:v>
      </x:c>
      <x:c r="E208" s="18" t="str">
        <x:v>공개 근거에서 확인·정규화한 관련어</x:v>
      </x:c>
    </x:row>
    <x:row r="209">
      <x:c r="A209" s="18" t="str">
        <x:v>kr_202605_salmokji</x:v>
      </x:c>
      <x:c r="B209" s="18" t="n">
        <x:v>1</x:v>
      </x:c>
      <x:c r="C209" s="18" t="str">
        <x:v>살목지</x:v>
      </x:c>
      <x:c r="D209" s="18" t="str">
        <x:v>https://blog.hsad.co.kr/3736</x:v>
      </x:c>
      <x:c r="E209" s="18" t="str">
        <x:v>공개 근거에서 확인·정규화한 관련어</x:v>
      </x:c>
    </x:row>
    <x:row r="210">
      <x:c r="A210" s="18" t="str">
        <x:v>kr_202605_salmokji</x:v>
      </x:c>
      <x:c r="B210" s="18" t="n">
        <x:v>2</x:v>
      </x:c>
      <x:c r="C210" s="18" t="str">
        <x:v>한국 공포영화</x:v>
      </x:c>
      <x:c r="D210" s="18" t="str">
        <x:v>https://www.youtube.com/results?search_query=%EC%98%81%ED%99%94%20%EC%82%B4%EB%AA%A9%EC%A7%80</x:v>
      </x:c>
      <x:c r="E210" s="18" t="str">
        <x:v>공개 근거에서 확인·정규화한 관련어</x:v>
      </x:c>
    </x:row>
    <x:row r="211">
      <x:c r="A211" s="18" t="str">
        <x:v>kr_202605_salmokji</x:v>
      </x:c>
      <x:c r="B211" s="18" t="n">
        <x:v>3</x:v>
      </x:c>
      <x:c r="C211" s="18" t="str">
        <x:v>저수지 괴담</x:v>
      </x:c>
      <x:c r="D211" s="18" t="str">
        <x:v>https://blog.hsad.co.kr/3736</x:v>
      </x:c>
      <x:c r="E211" s="18" t="str">
        <x:v>공개 근거에서 확인·정규화한 관련어</x:v>
      </x:c>
    </x:row>
    <x:row r="212">
      <x:c r="A212" s="18" t="str">
        <x:v>kr_202605_salmokji</x:v>
      </x:c>
      <x:c r="B212" s="18" t="n">
        <x:v>4</x:v>
      </x:c>
      <x:c r="C212" s="18" t="str">
        <x:v>극장 공포</x:v>
      </x:c>
      <x:c r="D212" s="18" t="str">
        <x:v>https://www.youtube.com/results?search_query=%EC%98%81%ED%99%94%20%EC%82%B4%EB%AA%A9%EC%A7%80</x:v>
      </x:c>
      <x:c r="E212" s="18" t="str">
        <x:v>공개 근거에서 확인·정규화한 관련어</x:v>
      </x:c>
    </x:row>
    <x:row r="213">
      <x:c r="A213" s="18" t="str">
        <x:v>kr_202605_salmokji</x:v>
      </x:c>
      <x:c r="B213" s="18" t="n">
        <x:v>5</x:v>
      </x:c>
      <x:c r="C213" s="18" t="str">
        <x:v>호러 콘텐츠</x:v>
      </x:c>
      <x:c r="D213" s="18" t="str">
        <x:v>https://blog.hsad.co.kr/3736</x:v>
      </x:c>
      <x:c r="E213" s="18" t="str">
        <x:v>공개 근거에서 확인·정규화한 관련어</x:v>
      </x:c>
    </x:row>
    <x:row r="214">
      <x:c r="A214" s="18" t="str">
        <x:v>kr_202605_namja_eopnya</x:v>
      </x:c>
      <x:c r="B214" s="18" t="n">
        <x:v>1</x:v>
      </x:c>
      <x:c r="C214" s="18" t="str">
        <x:v>남쟈 없냐 남쟈</x:v>
      </x:c>
      <x:c r="D214" s="18" t="str">
        <x:v>https://gogumafarm.kr/%EC%9A%94%EC%A6%98-%EC%9C%A0%ED%96%89%ED%95%98%EB%8A%94-%EB%B0%88-%EB%AA%A8%EC%9D%8C-green-green-2026%EB%85%84-5%EC%9B%94-%EC%B5%9C%EC%8B%A0-%EB%B0%88-%EB%AA%A8%EC%9D%8C/</x:v>
      </x:c>
      <x:c r="E214" s="18" t="str">
        <x:v>공개 근거에서 확인·정규화한 관련어</x:v>
      </x:c>
    </x:row>
    <x:row r="215">
      <x:c r="A215" s="18" t="str">
        <x:v>kr_202605_namja_eopnya</x:v>
      </x:c>
      <x:c r="B215" s="18" t="n">
        <x:v>2</x:v>
      </x:c>
      <x:c r="C215" s="18" t="str">
        <x:v>말투 밈</x:v>
      </x:c>
      <x:c r="D215" s="18" t="str">
        <x:v>https://www.youtube.com/results?search_query=%EB%82%A8%EC%9F%88%20%EC%97%86%EB%83%90%20%EB%82%A8%EC%9F%88</x:v>
      </x:c>
      <x:c r="E215" s="18" t="str">
        <x:v>공개 근거에서 확인·정규화한 관련어</x:v>
      </x:c>
    </x:row>
    <x:row r="216">
      <x:c r="A216" s="18" t="str">
        <x:v>kr_202605_namja_eopnya</x:v>
      </x:c>
      <x:c r="B216" s="18" t="n">
        <x:v>3</x:v>
      </x:c>
      <x:c r="C216" s="18" t="str">
        <x:v>텍스트 짤</x:v>
      </x:c>
      <x:c r="D216" s="18" t="str">
        <x:v>https://gogumafarm.kr/%EC%9A%94%EC%A6%98-%EC%9C%A0%ED%96%89%ED%95%98%EB%8A%94-%EB%B0%88-%EB%AA%A8%EC%9D%8C-green-green-2026%EB%85%84-5%EC%9B%94-%EC%B5%9C%EC%8B%A0-%EB%B0%88-%EB%AA%A8%EC%9D%8C/</x:v>
      </x:c>
      <x:c r="E216" s="18" t="str">
        <x:v>공개 근거에서 확인·정규화한 관련어</x:v>
      </x:c>
    </x:row>
    <x:row r="217">
      <x:c r="A217" s="18" t="str">
        <x:v>kr_202605_namja_eopnya</x:v>
      </x:c>
      <x:c r="B217" s="18" t="n">
        <x:v>4</x:v>
      </x:c>
      <x:c r="C217" s="18" t="str">
        <x:v>댓글 밈</x:v>
      </x:c>
      <x:c r="D217" s="18" t="str">
        <x:v>https://www.youtube.com/results?search_query=%EB%82%A8%EC%9F%88%20%EC%97%86%EB%83%90%20%EB%82%A8%EC%9F%88</x:v>
      </x:c>
      <x:c r="E217" s="18" t="str">
        <x:v>공개 근거에서 확인·정규화한 관련어</x:v>
      </x:c>
    </x:row>
    <x:row r="218">
      <x:c r="A218" s="18" t="str">
        <x:v>kr_202605_namja_eopnya</x:v>
      </x:c>
      <x:c r="B218" s="18" t="n">
        <x:v>5</x:v>
      </x:c>
      <x:c r="C218" s="18" t="str">
        <x:v>SNS 유행어</x:v>
      </x:c>
      <x:c r="D218" s="18" t="str">
        <x:v>https://gogumafarm.kr/%EC%9A%94%EC%A6%98-%EC%9C%A0%ED%96%89%ED%95%98%EB%8A%94-%EB%B0%88-%EB%AA%A8%EC%9D%8C-green-green-2026%EB%85%84-5%EC%9B%94-%EC%B5%9C%EC%8B%A0-%EB%B0%88-%EB%AA%A8%EC%9D%8C/</x:v>
      </x:c>
      <x:c r="E218" s="18" t="str">
        <x:v>공개 근거에서 확인·정규화한 관련어</x:v>
      </x:c>
    </x:row>
    <x:row r="219">
      <x:c r="A219" s="18" t="str">
        <x:v>kr_202605_green_green_red_red</x:v>
      </x:c>
      <x:c r="B219" s="18" t="n">
        <x:v>1</x:v>
      </x:c>
      <x:c r="C219" s="18" t="str">
        <x:v>그린그린</x:v>
      </x:c>
      <x:c r="D219" s="18" t="str">
        <x:v>https://gogumafarm.kr/%EC%9A%94%EC%A6%98-%EC%9C%A0%ED%96%89%ED%95%98%EB%8A%94-%EB%B0%88-%EB%AA%A8%EC%9D%8C-green-green-2026%EB%85%84-5%EC%9B%94-%EC%B5%9C%EC%8B%A0-%EB%B0%88-%EB%AA%A8%EC%9D%8C/</x:v>
      </x:c>
      <x:c r="E219" s="18" t="str">
        <x:v>공개 근거에서 확인·정규화한 관련어</x:v>
      </x:c>
    </x:row>
    <x:row r="220">
      <x:c r="A220" s="18" t="str">
        <x:v>kr_202605_green_green_red_red</x:v>
      </x:c>
      <x:c r="B220" s="18" t="n">
        <x:v>2</x:v>
      </x:c>
      <x:c r="C220" s="18" t="str">
        <x:v>레드레드</x:v>
      </x:c>
      <x:c r="D220" s="18" t="str">
        <x:v>https://www.youtube.com/results?search_query=%EA%B7%B8%EB%A6%B0%EA%B7%B8%EB%A6%B0%C2%B7%EB%A0%88%EB%93%9C%EB%A0%88%EB%93%9C</x:v>
      </x:c>
      <x:c r="E220" s="18" t="str">
        <x:v>공개 근거에서 확인·정규화한 관련어</x:v>
      </x:c>
    </x:row>
    <x:row r="221">
      <x:c r="A221" s="18" t="str">
        <x:v>kr_202605_green_green_red_red</x:v>
      </x:c>
      <x:c r="B221" s="18" t="n">
        <x:v>3</x:v>
      </x:c>
      <x:c r="C221" s="18" t="str">
        <x:v>색상 밈</x:v>
      </x:c>
      <x:c r="D221" s="18" t="str">
        <x:v>https://gogumafarm.kr/%EC%9A%94%EC%A6%98-%EC%9C%A0%ED%96%89%ED%95%98%EB%8A%94-%EB%B0%88-%EB%AA%A8%EC%9D%8C-green-green-2026%EB%85%84-5%EC%9B%94-%EC%B5%9C%EC%8B%A0-%EB%B0%88-%EB%AA%A8%EC%9D%8C/</x:v>
      </x:c>
      <x:c r="E221" s="18" t="str">
        <x:v>공개 근거에서 확인·정규화한 관련어</x:v>
      </x:c>
    </x:row>
    <x:row r="222">
      <x:c r="A222" s="18" t="str">
        <x:v>kr_202605_green_green_red_red</x:v>
      </x:c>
      <x:c r="B222" s="18" t="n">
        <x:v>4</x:v>
      </x:c>
      <x:c r="C222" s="18" t="str">
        <x:v>반복 말투</x:v>
      </x:c>
      <x:c r="D222" s="18" t="str">
        <x:v>https://www.youtube.com/results?search_query=%EA%B7%B8%EB%A6%B0%EA%B7%B8%EB%A6%B0%C2%B7%EB%A0%88%EB%93%9C%EB%A0%88%EB%93%9C</x:v>
      </x:c>
      <x:c r="E222" s="18" t="str">
        <x:v>공개 근거에서 확인·정규화한 관련어</x:v>
      </x:c>
    </x:row>
    <x:row r="223">
      <x:c r="A223" s="18" t="str">
        <x:v>kr_202605_green_green_red_red</x:v>
      </x:c>
      <x:c r="B223" s="18" t="n">
        <x:v>5</x:v>
      </x:c>
      <x:c r="C223" s="18" t="str">
        <x:v>비주얼 패러디</x:v>
      </x:c>
      <x:c r="D223" s="18" t="str">
        <x:v>https://gogumafarm.kr/%EC%9A%94%EC%A6%98-%EC%9C%A0%ED%96%89%ED%95%98%EB%8A%94-%EB%B0%88-%EB%AA%A8%EC%9D%8C-green-green-2026%EB%85%84-5%EC%9B%94-%EC%B5%9C%EC%8B%A0-%EB%B0%88-%EB%AA%A8%EC%9D%8C/</x:v>
      </x:c>
      <x:c r="E223" s="18" t="str">
        <x:v>공개 근거에서 확인·정규화한 관련어</x:v>
      </x:c>
    </x:row>
    <x:row r="224">
      <x:c r="A224" s="18" t="str">
        <x:v>kr_202605_gangnamstyle_remix_meme</x:v>
      </x:c>
      <x:c r="B224" s="18" t="n">
        <x:v>1</x:v>
      </x:c>
      <x:c r="C224" s="18" t="str">
        <x:v>강남스타일 리믹스</x:v>
      </x:c>
      <x:c r="D224" s="18" t="str">
        <x:v>https://gogumafarm.kr/%EC%9A%94%EC%A6%98-%EC%9C%A0%ED%96%89%ED%95%98%EB%8A%94-%EB%B0%88-%EB%AA%A8%EC%9D%8C-green-green-2026%EB%85%84-5%EC%9B%94-%EC%B5%9C%EC%8B%A0-%EB%B0%88-%EB%AA%A8%EC%9D%8C/</x:v>
      </x:c>
      <x:c r="E224" s="18" t="str">
        <x:v>공개 근거에서 확인·정규화한 관련어</x:v>
      </x:c>
    </x:row>
    <x:row r="225">
      <x:c r="A225" s="18" t="str">
        <x:v>kr_202605_gangnamstyle_remix_meme</x:v>
      </x:c>
      <x:c r="B225" s="18" t="n">
        <x:v>2</x:v>
      </x:c>
      <x:c r="C225" s="18" t="str">
        <x:v>싸이 밈</x:v>
      </x:c>
      <x:c r="D225" s="18" t="str">
        <x:v>https://www.youtube.com/results?search_query=%EA%B0%95%EB%82%A8%EC%8A%A4%ED%83%80%EC%9D%BC%20%EB%A6%AC%EB%AF%B9%EC%8A%A4%20%EB%B0%88</x:v>
      </x:c>
      <x:c r="E225" s="18" t="str">
        <x:v>공개 근거에서 확인·정규화한 관련어</x:v>
      </x:c>
    </x:row>
    <x:row r="226">
      <x:c r="A226" s="18" t="str">
        <x:v>kr_202605_gangnamstyle_remix_meme</x:v>
      </x:c>
      <x:c r="B226" s="18" t="n">
        <x:v>3</x:v>
      </x:c>
      <x:c r="C226" s="18" t="str">
        <x:v>리믹스 숏폼</x:v>
      </x:c>
      <x:c r="D226" s="18" t="str">
        <x:v>https://gogumafarm.kr/%EC%9A%94%EC%A6%98-%EC%9C%A0%ED%96%89%ED%95%98%EB%8A%94-%EB%B0%88-%EB%AA%A8%EC%9D%8C-green-green-2026%EB%85%84-5%EC%9B%94-%EC%B5%9C%EC%8B%A0-%EB%B0%88-%EB%AA%A8%EC%9D%8C/</x:v>
      </x:c>
      <x:c r="E226" s="18" t="str">
        <x:v>공개 근거에서 확인·정규화한 관련어</x:v>
      </x:c>
    </x:row>
    <x:row r="227">
      <x:c r="A227" s="18" t="str">
        <x:v>kr_202605_gangnamstyle_remix_meme</x:v>
      </x:c>
      <x:c r="B227" s="18" t="n">
        <x:v>4</x:v>
      </x:c>
      <x:c r="C227" s="18" t="str">
        <x:v>2010년대 소환</x:v>
      </x:c>
      <x:c r="D227" s="18" t="str">
        <x:v>https://www.youtube.com/results?search_query=%EA%B0%95%EB%82%A8%EC%8A%A4%ED%83%80%EC%9D%BC%20%EB%A6%AC%EB%AF%B9%EC%8A%A4%20%EB%B0%88</x:v>
      </x:c>
      <x:c r="E227" s="18" t="str">
        <x:v>공개 근거에서 확인·정규화한 관련어</x:v>
      </x:c>
    </x:row>
    <x:row r="228">
      <x:c r="A228" s="18" t="str">
        <x:v>kr_202605_gangnamstyle_remix_meme</x:v>
      </x:c>
      <x:c r="B228" s="18" t="n">
        <x:v>5</x:v>
      </x:c>
      <x:c r="C228" s="18" t="str">
        <x:v>댄스 패러디</x:v>
      </x:c>
      <x:c r="D228" s="18" t="str">
        <x:v>https://gogumafarm.kr/%EC%9A%94%EC%A6%98-%EC%9C%A0%ED%96%89%ED%95%98%EB%8A%94-%EB%B0%88-%EB%AA%A8%EC%9D%8C-green-green-2026%EB%85%84-5%EC%9B%94-%EC%B5%9C%EC%8B%A0-%EB%B0%88-%EB%AA%A8%EC%9D%8C/</x:v>
      </x:c>
      <x:c r="E228" s="18" t="str">
        <x:v>공개 근거에서 확인·정규화한 관련어</x:v>
      </x:c>
    </x:row>
    <x:row r="229">
      <x:c r="A229" s="18" t="str">
        <x:v>kr_202605_golden_iyora</x:v>
      </x:c>
      <x:c r="B229" s="18" t="n">
        <x:v>1</x:v>
      </x:c>
      <x:c r="C229" s="18" t="str">
        <x:v>골든이여라</x:v>
      </x:c>
      <x:c r="D229" s="18" t="str">
        <x:v>https://gogumafarm.kr/%EC%9A%94%EC%A6%98-%EC%9C%A0%ED%96%89%ED%95%98%EB%8A%94-%EB%B0%88-%EB%AA%A8%EC%9D%8C-green-green-2026%EB%85%84-5%EC%9B%94-%EC%B5%9C%EC%8B%A0-%EB%B0%88-%EB%AA%A8%EC%9D%8C/</x:v>
      </x:c>
      <x:c r="E229" s="18" t="str">
        <x:v>공개 근거에서 확인·정규화한 관련어</x:v>
      </x:c>
    </x:row>
    <x:row r="230">
      <x:c r="A230" s="18" t="str">
        <x:v>kr_202605_golden_iyora</x:v>
      </x:c>
      <x:c r="B230" s="18" t="n">
        <x:v>2</x:v>
      </x:c>
      <x:c r="C230" s="18" t="str">
        <x:v>축하 밈</x:v>
      </x:c>
      <x:c r="D230" s="18" t="str">
        <x:v>https://www.youtube.com/results?search_query=%EA%B3%A8%EB%93%A0%EC%9D%B4%EC%97%AC%EB%9D%BC</x:v>
      </x:c>
      <x:c r="E230" s="18" t="str">
        <x:v>공개 근거에서 확인·정규화한 관련어</x:v>
      </x:c>
    </x:row>
    <x:row r="231">
      <x:c r="A231" s="18" t="str">
        <x:v>kr_202605_golden_iyora</x:v>
      </x:c>
      <x:c r="B231" s="18" t="n">
        <x:v>3</x:v>
      </x:c>
      <x:c r="C231" s="18" t="str">
        <x:v>과장 리액션</x:v>
      </x:c>
      <x:c r="D231" s="18" t="str">
        <x:v>https://gogumafarm.kr/%EC%9A%94%EC%A6%98-%EC%9C%A0%ED%96%89%ED%95%98%EB%8A%94-%EB%B0%88-%EB%AA%A8%EC%9D%8C-green-green-2026%EB%85%84-5%EC%9B%94-%EC%B5%9C%EC%8B%A0-%EB%B0%88-%EB%AA%A8%EC%9D%8C/</x:v>
      </x:c>
      <x:c r="E231" s="18" t="str">
        <x:v>공개 근거에서 확인·정규화한 관련어</x:v>
      </x:c>
    </x:row>
    <x:row r="232">
      <x:c r="A232" s="18" t="str">
        <x:v>kr_202605_golden_iyora</x:v>
      </x:c>
      <x:c r="B232" s="18" t="n">
        <x:v>4</x:v>
      </x:c>
      <x:c r="C232" s="18" t="str">
        <x:v>댓글 유행어</x:v>
      </x:c>
      <x:c r="D232" s="18" t="str">
        <x:v>https://www.youtube.com/results?search_query=%EA%B3%A8%EB%93%A0%EC%9D%B4%EC%97%AC%EB%9D%BC</x:v>
      </x:c>
      <x:c r="E232" s="18" t="str">
        <x:v>공개 근거에서 확인·정규화한 관련어</x:v>
      </x:c>
    </x:row>
    <x:row r="233">
      <x:c r="A233" s="18" t="str">
        <x:v>kr_202605_golden_iyora</x:v>
      </x:c>
      <x:c r="B233" s="18" t="n">
        <x:v>5</x:v>
      </x:c>
      <x:c r="C233" s="18" t="str">
        <x:v>숏폼 말투</x:v>
      </x:c>
      <x:c r="D233" s="18" t="str">
        <x:v>https://gogumafarm.kr/%EC%9A%94%EC%A6%98-%EC%9C%A0%ED%96%89%ED%95%98%EB%8A%94-%EB%B0%88-%EB%AA%A8%EC%9D%8C-green-green-2026%EB%85%84-5%EC%9B%94-%EC%B5%9C%EC%8B%A0-%EB%B0%88-%EB%AA%A8%EC%9D%8C/</x:v>
      </x:c>
      <x:c r="E233" s="18" t="str">
        <x:v>공개 근거에서 확인·정규화한 관련어</x:v>
      </x:c>
    </x:row>
    <x:row r="234">
      <x:c r="A234" s="18" t="str">
        <x:v>kr_202605_snack_photo_decor</x:v>
      </x:c>
      <x:c r="B234" s="18" t="n">
        <x:v>1</x:v>
      </x:c>
      <x:c r="C234" s="18" t="str">
        <x:v>과자 사진 꾸미기</x:v>
      </x:c>
      <x:c r="D234" s="18" t="str">
        <x:v>https://letter.wepick.kr/post/23942</x:v>
      </x:c>
      <x:c r="E234" s="18" t="str">
        <x:v>공개 근거에서 확인·정규화한 관련어</x:v>
      </x:c>
    </x:row>
    <x:row r="235">
      <x:c r="A235" s="18" t="str">
        <x:v>kr_202605_snack_photo_decor</x:v>
      </x:c>
      <x:c r="B235" s="18" t="n">
        <x:v>2</x:v>
      </x:c>
      <x:c r="C235" s="18" t="str">
        <x:v>패키지 프레임</x:v>
      </x:c>
      <x:c r="D235" s="18" t="str">
        <x:v>https://www.youtube.com/results?search_query=%EA%B3%BC%EC%9E%90%20%EC%82%AC%EC%A7%84%20%EA%BE%B8%EB%AF%B8%EA%B8%B0</x:v>
      </x:c>
      <x:c r="E235" s="18" t="str">
        <x:v>공개 근거에서 확인·정규화한 관련어</x:v>
      </x:c>
    </x:row>
    <x:row r="236">
      <x:c r="A236" s="18" t="str">
        <x:v>kr_202605_snack_photo_decor</x:v>
      </x:c>
      <x:c r="B236" s="18" t="n">
        <x:v>3</x:v>
      </x:c>
      <x:c r="C236" s="18" t="str">
        <x:v>인증샷 놀이</x:v>
      </x:c>
      <x:c r="D236" s="18" t="str">
        <x:v>https://letter.wepick.kr/post/23942</x:v>
      </x:c>
      <x:c r="E236" s="18" t="str">
        <x:v>공개 근거에서 확인·정규화한 관련어</x:v>
      </x:c>
    </x:row>
    <x:row r="237">
      <x:c r="A237" s="18" t="str">
        <x:v>kr_202605_snack_photo_decor</x:v>
      </x:c>
      <x:c r="B237" s="18" t="n">
        <x:v>4</x:v>
      </x:c>
      <x:c r="C237" s="18" t="str">
        <x:v>브랜드 UGC</x:v>
      </x:c>
      <x:c r="D237" s="18" t="str">
        <x:v>https://www.youtube.com/results?search_query=%EA%B3%BC%EC%9E%90%20%EC%82%AC%EC%A7%84%20%EA%BE%B8%EB%AF%B8%EA%B8%B0</x:v>
      </x:c>
      <x:c r="E237" s="18" t="str">
        <x:v>공개 근거에서 확인·정규화한 관련어</x:v>
      </x:c>
    </x:row>
    <x:row r="238">
      <x:c r="A238" s="18" t="str">
        <x:v>kr_202605_snack_photo_decor</x:v>
      </x:c>
      <x:c r="B238" s="18" t="n">
        <x:v>5</x:v>
      </x:c>
      <x:c r="C238" s="18" t="str">
        <x:v>사진 편집 밈</x:v>
      </x:c>
      <x:c r="D238" s="18" t="str">
        <x:v>https://letter.wepick.kr/post/23942</x:v>
      </x:c>
      <x:c r="E238" s="18" t="str">
        <x:v>공개 근거에서 확인·정규화한 관련어</x:v>
      </x:c>
    </x:row>
    <x:row r="239">
      <x:c r="A239" s="18" t="str">
        <x:v>kr_202606_born_year_dance</x:v>
      </x:c>
      <x:c r="B239" s="18" t="n">
        <x:v>1</x:v>
      </x:c>
      <x:c r="C239" s="18" t="str">
        <x:v>나 ○○년생인데</x:v>
      </x:c>
      <x:c r="D239" s="18" t="str">
        <x:v>https://gogumafarm.kr/%EB%82%98-%EA%B3%A0%EA%B5%AC%EB%A7%88%ED%8C%9C%EC%9D%B8%EB%8D%B0-%EC%9A%94%EC%A6%98-%EB%9C%A8%EB%8A%94-%EB%B0%88-%EA%B0%80%EC%A0%B8%EC%99%94%EB%8B%A4-2026%EB%85%84-6%EC%9B%94-%EC%B5%9C%EC%8B%A0/</x:v>
      </x:c>
      <x:c r="E239" s="18" t="str">
        <x:v>공개 근거에서 확인·정규화한 관련어</x:v>
      </x:c>
    </x:row>
    <x:row r="240">
      <x:c r="A240" s="18" t="str">
        <x:v>kr_202606_born_year_dance</x:v>
      </x:c>
      <x:c r="B240" s="18" t="n">
        <x:v>2</x:v>
      </x:c>
      <x:c r="C240" s="18" t="str">
        <x:v>출생연도 밈</x:v>
      </x:c>
      <x:c r="D240" s="18" t="str">
        <x:v>https://www.youtube.com/results?search_query=%EB%82%98%20%E2%97%8B%E2%97%8B%EB%85%84%EC%83%9D%20%E2%97%8B%E2%97%8B%E2%97%8B%EC%9D%B8%EB%8D%B0</x:v>
      </x:c>
      <x:c r="E240" s="18" t="str">
        <x:v>공개 근거에서 확인·정규화한 관련어</x:v>
      </x:c>
    </x:row>
    <x:row r="241">
      <x:c r="A241" s="18" t="str">
        <x:v>kr_202606_born_year_dance</x:v>
      </x:c>
      <x:c r="B241" s="18" t="n">
        <x:v>3</x:v>
      </x:c>
      <x:c r="C241" s="18" t="str">
        <x:v>세대 댄스</x:v>
      </x:c>
      <x:c r="D241" s="18" t="str">
        <x:v>https://gogumafarm.kr/%EB%82%98-%EA%B3%A0%EA%B5%AC%EB%A7%88%ED%8C%9C%EC%9D%B8%EB%8D%B0-%EC%9A%94%EC%A6%98-%EB%9C%A8%EB%8A%94-%EB%B0%88-%EA%B0%80%EC%A0%B8%EC%99%94%EB%8B%A4-2026%EB%85%84-6%EC%9B%94-%EC%B5%9C%EC%8B%A0/</x:v>
      </x:c>
      <x:c r="E241" s="18" t="str">
        <x:v>공개 근거에서 확인·정규화한 관련어</x:v>
      </x:c>
    </x:row>
    <x:row r="242">
      <x:c r="A242" s="18" t="str">
        <x:v>kr_202606_born_year_dance</x:v>
      </x:c>
      <x:c r="B242" s="18" t="n">
        <x:v>4</x:v>
      </x:c>
      <x:c r="C242" s="18" t="str">
        <x:v>자기소개 숏폼</x:v>
      </x:c>
      <x:c r="D242" s="18" t="str">
        <x:v>https://www.youtube.com/results?search_query=%EB%82%98%20%E2%97%8B%E2%97%8B%EB%85%84%EC%83%9D%20%E2%97%8B%E2%97%8B%E2%97%8B%EC%9D%B8%EB%8D%B0</x:v>
      </x:c>
      <x:c r="E242" s="18" t="str">
        <x:v>공개 근거에서 확인·정규화한 관련어</x:v>
      </x:c>
    </x:row>
    <x:row r="243">
      <x:c r="A243" s="18" t="str">
        <x:v>kr_202606_born_year_dance</x:v>
      </x:c>
      <x:c r="B243" s="18" t="n">
        <x:v>5</x:v>
      </x:c>
      <x:c r="C243" s="18" t="str">
        <x:v>연령 패러디</x:v>
      </x:c>
      <x:c r="D243" s="18" t="str">
        <x:v>https://gogumafarm.kr/%EB%82%98-%EA%B3%A0%EA%B5%AC%EB%A7%88%ED%8C%9C%EC%9D%B8%EB%8D%B0-%EC%9A%94%EC%A6%98-%EB%9C%A8%EB%8A%94-%EB%B0%88-%EA%B0%80%EC%A0%B8%EC%99%94%EB%8B%A4-2026%EB%85%84-6%EC%9B%94-%EC%B5%9C%EC%8B%A0/</x:v>
      </x:c>
      <x:c r="E243" s="18" t="str">
        <x:v>공개 근거에서 확인·정규화한 관련어</x:v>
      </x:c>
    </x:row>
    <x:row r="244">
      <x:c r="A244" s="18" t="str">
        <x:v>kr_202606_millennial_genz_compare</x:v>
      </x:c>
      <x:c r="B244" s="18" t="n">
        <x:v>1</x:v>
      </x:c>
      <x:c r="C244" s="18" t="str">
        <x:v>밀레니얼 vs 젠지</x:v>
      </x:c>
      <x:c r="D244" s="18" t="str">
        <x:v>https://gogumafarm.kr/%EB%82%98-%EA%B3%A0%EA%B5%AC%EB%A7%88%ED%8C%9C%EC%9D%B8%EB%8D%B0-%EC%9A%94%EC%A6%98-%EB%9C%A8%EB%8A%94-%EB%B0%88-%EA%B0%80%EC%A0%B8%EC%99%94%EB%8B%A4-2026%EB%85%84-6%EC%9B%94-%EC%B5%9C%EC%8B%A0/</x:v>
      </x:c>
      <x:c r="E244" s="18" t="str">
        <x:v>공개 근거에서 확인·정규화한 관련어</x:v>
      </x:c>
    </x:row>
    <x:row r="245">
      <x:c r="A245" s="18" t="str">
        <x:v>kr_202606_millennial_genz_compare</x:v>
      </x:c>
      <x:c r="B245" s="18" t="n">
        <x:v>2</x:v>
      </x:c>
      <x:c r="C245" s="18" t="str">
        <x:v>세대 비교</x:v>
      </x:c>
      <x:c r="D245" s="18" t="str">
        <x:v>https://www.youtube.com/results?search_query=%EB%B0%80%EB%A0%88%EB%8B%88%EC%96%BC%20vs%20%EC%A0%A0%EC%A7%80%20%EB%8B%B4%EB%8B%B9%EC%9E%90%20%EB%B9%84%EA%B5%90</x:v>
      </x:c>
      <x:c r="E245" s="18" t="str">
        <x:v>공개 근거에서 확인·정규화한 관련어</x:v>
      </x:c>
    </x:row>
    <x:row r="246">
      <x:c r="A246" s="18" t="str">
        <x:v>kr_202606_millennial_genz_compare</x:v>
      </x:c>
      <x:c r="B246" s="18" t="n">
        <x:v>3</x:v>
      </x:c>
      <x:c r="C246" s="18" t="str">
        <x:v>담당자 밈</x:v>
      </x:c>
      <x:c r="D246" s="18" t="str">
        <x:v>https://gogumafarm.kr/%EB%82%98-%EA%B3%A0%EA%B5%AC%EB%A7%88%ED%8C%9C%EC%9D%B8%EB%8D%B0-%EC%9A%94%EC%A6%98-%EB%9C%A8%EB%8A%94-%EB%B0%88-%EA%B0%80%EC%A0%B8%EC%99%94%EB%8B%A4-2026%EB%85%84-6%EC%9B%94-%EC%B5%9C%EC%8B%A0/</x:v>
      </x:c>
      <x:c r="E246" s="18" t="str">
        <x:v>공개 근거에서 확인·정규화한 관련어</x:v>
      </x:c>
    </x:row>
    <x:row r="247">
      <x:c r="A247" s="18" t="str">
        <x:v>kr_202606_millennial_genz_compare</x:v>
      </x:c>
      <x:c r="B247" s="18" t="n">
        <x:v>4</x:v>
      </x:c>
      <x:c r="C247" s="18" t="str">
        <x:v>직장인 숏폼</x:v>
      </x:c>
      <x:c r="D247" s="18" t="str">
        <x:v>https://www.youtube.com/results?search_query=%EB%B0%80%EB%A0%88%EB%8B%88%EC%96%BC%20vs%20%EC%A0%A0%EC%A7%80%20%EB%8B%B4%EB%8B%B9%EC%9E%90%20%EB%B9%84%EA%B5%90</x:v>
      </x:c>
      <x:c r="E247" s="18" t="str">
        <x:v>공개 근거에서 확인·정규화한 관련어</x:v>
      </x:c>
    </x:row>
    <x:row r="248">
      <x:c r="A248" s="18" t="str">
        <x:v>kr_202606_millennial_genz_compare</x:v>
      </x:c>
      <x:c r="B248" s="18" t="n">
        <x:v>5</x:v>
      </x:c>
      <x:c r="C248" s="18" t="str">
        <x:v>브랜드 계정</x:v>
      </x:c>
      <x:c r="D248" s="18" t="str">
        <x:v>https://gogumafarm.kr/%EB%82%98-%EA%B3%A0%EA%B5%AC%EB%A7%88%ED%8C%9C%EC%9D%B8%EB%8D%B0-%EC%9A%94%EC%A6%98-%EB%9C%A8%EB%8A%94-%EB%B0%88-%EA%B0%80%EC%A0%B8%EC%99%94%EB%8B%A4-2026%EB%85%84-6%EC%9B%94-%EC%B5%9C%EC%8B%A0/</x:v>
      </x:c>
      <x:c r="E248" s="18" t="str">
        <x:v>공개 근거에서 확인·정규화한 관련어</x:v>
      </x:c>
    </x:row>
    <x:row r="249">
      <x:c r="A249" s="18" t="str">
        <x:v>kr_202606_acting_challenge</x:v>
      </x:c>
      <x:c r="B249" s="18" t="n">
        <x:v>1</x:v>
      </x:c>
      <x:c r="C249" s="18" t="str">
        <x:v>연기 챌린지</x:v>
      </x:c>
      <x:c r="D249" s="18" t="str">
        <x:v>https://gogumafarm.kr/%EC%97%B0%EA%B8%B0-%EC%B1%8C%EB%A6%B0%EC%A7%80-%EC%A3%BC%EC%88%A0-%ED%9A%8C%EC%A0%84%EC%83%B7-%ED%94%BC%EB%93%9C%EB%A5%BC-%EC%A0%90%EB%A0%B9%ED%95%9C-%EB%A6%B4%EC%8A%A4-%ED%8F%AC%EB%A7%B7-4%EA%B0%80/</x:v>
      </x:c>
      <x:c r="E249" s="18" t="str">
        <x:v>공개 근거에서 확인·정규화한 관련어</x:v>
      </x:c>
    </x:row>
    <x:row r="250">
      <x:c r="A250" s="18" t="str">
        <x:v>kr_202606_acting_challenge</x:v>
      </x:c>
      <x:c r="B250" s="18" t="n">
        <x:v>2</x:v>
      </x:c>
      <x:c r="C250" s="18" t="str">
        <x:v>표정 연기</x:v>
      </x:c>
      <x:c r="D250" s="18" t="str">
        <x:v>https://www.youtube.com/results?search_query=%EC%97%B0%EA%B8%B0%20%EC%B1%8C%EB%A6%B0%EC%A7%80</x:v>
      </x:c>
      <x:c r="E250" s="18" t="str">
        <x:v>공개 근거에서 확인·정규화한 관련어</x:v>
      </x:c>
    </x:row>
    <x:row r="251">
      <x:c r="A251" s="18" t="str">
        <x:v>kr_202606_acting_challenge</x:v>
      </x:c>
      <x:c r="B251" s="18" t="n">
        <x:v>3</x:v>
      </x:c>
      <x:c r="C251" s="18" t="str">
        <x:v>상황극 릴스</x:v>
      </x:c>
      <x:c r="D251" s="18" t="str">
        <x:v>https://gogumafarm.kr/%EC%97%B0%EA%B8%B0-%EC%B1%8C%EB%A6%B0%EC%A7%80-%EC%A3%BC%EC%88%A0-%ED%9A%8C%EC%A0%84%EC%83%B7-%ED%94%BC%EB%93%9C%EB%A5%BC-%EC%A0%90%EB%A0%B9%ED%95%9C-%EB%A6%B4%EC%8A%A4-%ED%8F%AC%EB%A7%B7-4%EA%B0%80/</x:v>
      </x:c>
      <x:c r="E251" s="18" t="str">
        <x:v>공개 근거에서 확인·정규화한 관련어</x:v>
      </x:c>
    </x:row>
    <x:row r="252">
      <x:c r="A252" s="18" t="str">
        <x:v>kr_202606_acting_challenge</x:v>
      </x:c>
      <x:c r="B252" s="18" t="n">
        <x:v>4</x:v>
      </x:c>
      <x:c r="C252" s="18" t="str">
        <x:v>크리에이터 참여</x:v>
      </x:c>
      <x:c r="D252" s="18" t="str">
        <x:v>https://www.youtube.com/results?search_query=%EC%97%B0%EA%B8%B0%20%EC%B1%8C%EB%A6%B0%EC%A7%80</x:v>
      </x:c>
      <x:c r="E252" s="18" t="str">
        <x:v>공개 근거에서 확인·정규화한 관련어</x:v>
      </x:c>
    </x:row>
    <x:row r="253">
      <x:c r="A253" s="18" t="str">
        <x:v>kr_202606_acting_challenge</x:v>
      </x:c>
      <x:c r="B253" s="18" t="n">
        <x:v>5</x:v>
      </x:c>
      <x:c r="C253" s="18" t="str">
        <x:v>숏폼 포맷</x:v>
      </x:c>
      <x:c r="D253" s="18" t="str">
        <x:v>https://gogumafarm.kr/%EC%97%B0%EA%B8%B0-%EC%B1%8C%EB%A6%B0%EC%A7%80-%EC%A3%BC%EC%88%A0-%ED%9A%8C%EC%A0%84%EC%83%B7-%ED%94%BC%EB%93%9C%EB%A5%BC-%EC%A0%90%EB%A0%B9%ED%95%9C-%EB%A6%B4%EC%8A%A4-%ED%8F%AC%EB%A7%B7-4%EA%B0%80/</x:v>
      </x:c>
      <x:c r="E253" s="18" t="str">
        <x:v>공개 근거에서 확인·정규화한 관련어</x:v>
      </x:c>
    </x:row>
    <x:row r="254">
      <x:c r="A254" s="18"/>
      <x:c r="B254" s="18"/>
      <x:c r="C254" s="18"/>
      <x:c r="D254" s="18"/>
      <x:c r="E254" s="18"/>
    </x:row>
    <x:row r="255">
      <x:c r="A255" s="18"/>
      <x:c r="B255" s="18"/>
      <x:c r="C255" s="18"/>
      <x:c r="D255" s="18"/>
      <x:c r="E255" s="18"/>
    </x:row>
    <x:row r="256">
      <x:c r="A256" s="18"/>
      <x:c r="B256" s="18"/>
      <x:c r="C256" s="18"/>
      <x:c r="D256" s="18"/>
      <x:c r="E256" s="18"/>
    </x:row>
    <x:row r="257">
      <x:c r="A257" s="18"/>
      <x:c r="B257" s="18"/>
      <x:c r="C257" s="18"/>
      <x:c r="D257" s="18"/>
      <x:c r="E257" s="18"/>
    </x:row>
    <x:row r="258">
      <x:c r="A258" s="18"/>
      <x:c r="B258" s="18"/>
      <x:c r="C258" s="18"/>
      <x:c r="D258" s="18"/>
      <x:c r="E258" s="18"/>
    </x:row>
    <x:row r="259">
      <x:c r="A259" s="18"/>
      <x:c r="B259" s="18"/>
      <x:c r="C259" s="18"/>
      <x:c r="D259" s="18"/>
      <x:c r="E259" s="18"/>
    </x:row>
    <x:row r="260">
      <x:c r="A260" s="18"/>
      <x:c r="B260" s="18"/>
      <x:c r="C260" s="18"/>
      <x:c r="D260" s="18"/>
      <x:c r="E260" s="18"/>
    </x:row>
    <x:row r="261">
      <x:c r="A261" s="18"/>
      <x:c r="B261" s="18"/>
      <x:c r="C261" s="18"/>
      <x:c r="D261" s="18"/>
      <x:c r="E261" s="18"/>
    </x:row>
    <x:row r="262">
      <x:c r="A262" s="18"/>
      <x:c r="B262" s="18"/>
      <x:c r="C262" s="18"/>
      <x:c r="D262" s="18"/>
      <x:c r="E262" s="18"/>
    </x:row>
    <x:row r="263">
      <x:c r="A263" s="18"/>
      <x:c r="B263" s="18"/>
      <x:c r="C263" s="18"/>
      <x:c r="D263" s="18"/>
      <x:c r="E263" s="18"/>
    </x:row>
    <x:row r="264">
      <x:c r="A264" s="18"/>
      <x:c r="B264" s="18"/>
      <x:c r="C264" s="18"/>
      <x:c r="D264" s="18"/>
      <x:c r="E264" s="18"/>
    </x:row>
    <x:row r="265">
      <x:c r="A265" s="18"/>
      <x:c r="B265" s="18"/>
      <x:c r="C265" s="18"/>
      <x:c r="D265" s="18"/>
      <x:c r="E265" s="18"/>
    </x:row>
    <x:row r="266">
      <x:c r="A266" s="18"/>
      <x:c r="B266" s="18"/>
      <x:c r="C266" s="18"/>
      <x:c r="D266" s="18"/>
      <x:c r="E266" s="18"/>
    </x:row>
    <x:row r="267">
      <x:c r="A267" s="18"/>
      <x:c r="B267" s="18"/>
      <x:c r="C267" s="18"/>
      <x:c r="D267" s="18"/>
      <x:c r="E267" s="18"/>
    </x:row>
    <x:row r="268">
      <x:c r="A268" s="18"/>
      <x:c r="B268" s="18"/>
      <x:c r="C268" s="18"/>
      <x:c r="D268" s="18"/>
      <x:c r="E268" s="18"/>
    </x:row>
    <x:row r="269">
      <x:c r="A269" s="18"/>
      <x:c r="B269" s="18"/>
      <x:c r="C269" s="18"/>
      <x:c r="D269" s="18"/>
      <x:c r="E269" s="18"/>
    </x:row>
    <x:row r="270">
      <x:c r="A270" s="18"/>
      <x:c r="B270" s="18"/>
      <x:c r="C270" s="18"/>
      <x:c r="D270" s="18"/>
      <x:c r="E270" s="18"/>
    </x:row>
    <x:row r="271">
      <x:c r="A271" s="18"/>
      <x:c r="B271" s="18"/>
      <x:c r="C271" s="18"/>
      <x:c r="D271" s="18"/>
      <x:c r="E271" s="18"/>
    </x:row>
    <x:row r="272">
      <x:c r="A272" s="18"/>
      <x:c r="B272" s="18"/>
      <x:c r="C272" s="18"/>
      <x:c r="D272" s="18"/>
      <x:c r="E272" s="18"/>
    </x:row>
    <x:row r="273">
      <x:c r="A273" s="18"/>
      <x:c r="B273" s="18"/>
      <x:c r="C273" s="18"/>
      <x:c r="D273" s="18"/>
      <x:c r="E273" s="18"/>
    </x:row>
    <x:row r="274">
      <x:c r="A274" s="18"/>
      <x:c r="B274" s="18"/>
      <x:c r="C274" s="18"/>
      <x:c r="D274" s="18"/>
      <x:c r="E274" s="18"/>
    </x:row>
    <x:row r="275">
      <x:c r="A275" s="18"/>
      <x:c r="B275" s="18"/>
      <x:c r="C275" s="18"/>
      <x:c r="D275" s="18"/>
      <x:c r="E275" s="18"/>
    </x:row>
    <x:row r="276">
      <x:c r="A276" s="18"/>
      <x:c r="B276" s="18"/>
      <x:c r="C276" s="18"/>
      <x:c r="D276" s="18"/>
      <x:c r="E276" s="18"/>
    </x:row>
    <x:row r="277">
      <x:c r="A277" s="18"/>
      <x:c r="B277" s="18"/>
      <x:c r="C277" s="18"/>
      <x:c r="D277" s="18"/>
      <x:c r="E277" s="18"/>
    </x:row>
    <x:row r="278">
      <x:c r="A278" s="18"/>
      <x:c r="B278" s="18"/>
      <x:c r="C278" s="18"/>
      <x:c r="D278" s="18"/>
      <x:c r="E278" s="18"/>
    </x:row>
    <x:row r="279">
      <x:c r="A279" s="18"/>
      <x:c r="B279" s="18"/>
      <x:c r="C279" s="18"/>
      <x:c r="D279" s="18"/>
      <x:c r="E279" s="18"/>
    </x:row>
    <x:row r="280">
      <x:c r="A280" s="18"/>
      <x:c r="B280" s="18"/>
      <x:c r="C280" s="18"/>
      <x:c r="D280" s="18"/>
      <x:c r="E280" s="18"/>
    </x:row>
    <x:row r="281">
      <x:c r="A281" s="18"/>
      <x:c r="B281" s="18"/>
      <x:c r="C281" s="18"/>
      <x:c r="D281" s="18"/>
      <x:c r="E281" s="18"/>
    </x:row>
    <x:row r="282">
      <x:c r="A282" s="18"/>
      <x:c r="B282" s="18"/>
      <x:c r="C282" s="18"/>
      <x:c r="D282" s="18"/>
      <x:c r="E282" s="18"/>
    </x:row>
    <x:row r="283">
      <x:c r="A283" s="18"/>
      <x:c r="B283" s="18"/>
      <x:c r="C283" s="18"/>
      <x:c r="D283" s="18"/>
      <x:c r="E283" s="18"/>
    </x:row>
    <x:row r="284">
      <x:c r="A284" s="18"/>
      <x:c r="B284" s="18"/>
      <x:c r="C284" s="18"/>
      <x:c r="D284" s="18"/>
      <x:c r="E284" s="18"/>
    </x:row>
    <x:row r="285">
      <x:c r="A285" s="18"/>
      <x:c r="B285" s="18"/>
      <x:c r="C285" s="18"/>
      <x:c r="D285" s="18"/>
      <x:c r="E285" s="18"/>
    </x:row>
    <x:row r="286">
      <x:c r="A286" s="18"/>
      <x:c r="B286" s="18"/>
      <x:c r="C286" s="18"/>
      <x:c r="D286" s="18"/>
      <x:c r="E286" s="18"/>
    </x:row>
    <x:row r="287">
      <x:c r="A287" s="18"/>
      <x:c r="B287" s="18"/>
      <x:c r="C287" s="18"/>
      <x:c r="D287" s="18"/>
      <x:c r="E287" s="18"/>
    </x:row>
    <x:row r="288">
      <x:c r="A288" s="18"/>
      <x:c r="B288" s="18"/>
      <x:c r="C288" s="18"/>
      <x:c r="D288" s="18"/>
      <x:c r="E288" s="18"/>
    </x:row>
    <x:row r="289">
      <x:c r="A289" s="18"/>
      <x:c r="B289" s="18"/>
      <x:c r="C289" s="18"/>
      <x:c r="D289" s="18"/>
      <x:c r="E289" s="18"/>
    </x:row>
    <x:row r="290">
      <x:c r="A290" s="18"/>
      <x:c r="B290" s="18"/>
      <x:c r="C290" s="18"/>
      <x:c r="D290" s="18"/>
      <x:c r="E290" s="18"/>
    </x:row>
    <x:row r="291">
      <x:c r="A291" s="18"/>
      <x:c r="B291" s="18"/>
      <x:c r="C291" s="18"/>
      <x:c r="D291" s="18"/>
      <x:c r="E291" s="18"/>
    </x:row>
    <x:row r="292">
      <x:c r="A292" s="18"/>
      <x:c r="B292" s="18"/>
      <x:c r="C292" s="18"/>
      <x:c r="D292" s="18"/>
      <x:c r="E292" s="18"/>
    </x:row>
    <x:row r="293">
      <x:c r="A293" s="18"/>
      <x:c r="B293" s="18"/>
      <x:c r="C293" s="18"/>
      <x:c r="D293" s="18"/>
      <x:c r="E293" s="18"/>
    </x:row>
    <x:row r="294">
      <x:c r="A294" s="18"/>
      <x:c r="B294" s="18"/>
      <x:c r="C294" s="18"/>
      <x:c r="D294" s="18"/>
      <x:c r="E294" s="18"/>
    </x:row>
    <x:row r="295">
      <x:c r="A295" s="18"/>
      <x:c r="B295" s="18"/>
      <x:c r="C295" s="18"/>
      <x:c r="D295" s="18"/>
      <x:c r="E295" s="18"/>
    </x:row>
    <x:row r="296">
      <x:c r="A296" s="18"/>
      <x:c r="B296" s="18"/>
      <x:c r="C296" s="18"/>
      <x:c r="D296" s="18"/>
      <x:c r="E296" s="18"/>
    </x:row>
    <x:row r="297">
      <x:c r="A297" s="18"/>
      <x:c r="B297" s="18"/>
      <x:c r="C297" s="18"/>
      <x:c r="D297" s="18"/>
      <x:c r="E297" s="18"/>
    </x:row>
    <x:row r="298">
      <x:c r="A298" s="18"/>
      <x:c r="B298" s="18"/>
      <x:c r="C298" s="18"/>
      <x:c r="D298" s="18"/>
      <x:c r="E298" s="18"/>
    </x:row>
    <x:row r="299">
      <x:c r="A299" s="18"/>
      <x:c r="B299" s="18"/>
      <x:c r="C299" s="18"/>
      <x:c r="D299" s="18"/>
      <x:c r="E299" s="18"/>
    </x:row>
    <x:row r="300">
      <x:c r="A300" s="18"/>
      <x:c r="B300" s="18"/>
      <x:c r="C300" s="18"/>
      <x:c r="D300" s="18"/>
      <x:c r="E300" s="18"/>
    </x:row>
    <x:row r="301">
      <x:c r="A301" s="18"/>
      <x:c r="B301" s="18"/>
      <x:c r="C301" s="18"/>
      <x:c r="D301" s="18"/>
      <x:c r="E301" s="18"/>
    </x:row>
    <x:row r="302">
      <x:c r="A302" s="18"/>
      <x:c r="B302" s="18"/>
      <x:c r="C302" s="18"/>
      <x:c r="D302" s="18"/>
      <x:c r="E302" s="18"/>
    </x:row>
    <x:row r="303">
      <x:c r="A303" s="18"/>
      <x:c r="B303" s="18"/>
      <x:c r="C303" s="18"/>
      <x:c r="D303" s="18"/>
      <x:c r="E303" s="18"/>
    </x:row>
  </x:sheetData>
  <x:mergeCells>
    <x:mergeCell ref="A1:E1"/>
    <x:mergeCell ref="A2:E2"/>
  </x:mergeCells>
  <x:dataValidations count="1">
    <x:dataValidation type="whole" operator="between" sqref="B4:B303">
      <x:formula1>1</x:formula1>
      <x:formula2>5</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12" hidden="0" customWidth="1"/>
    <x:col min="4" max="4" width="15" hidden="0" customWidth="1"/>
    <x:col min="5" max="5" width="32" hidden="0" customWidth="1"/>
    <x:col min="6" max="6" width="18" hidden="0" customWidth="1"/>
    <x:col min="7" max="7" width="46" hidden="0" customWidth="1"/>
    <x:col min="8" max="8" width="14" hidden="0" customWidth="1"/>
    <x:col min="9" max="9" width="48" hidden="0" customWidth="1"/>
    <x:col min="10" max="10" width="46" hidden="0" customWidth="1"/>
    <x:col min="11" max="11" width="14" hidden="0" customWidth="1"/>
  </x:cols>
  <x:sheetData>
    <x:row r="1" ht="30" customHeight="1">
      <x:c r="A1" s="13" t="str">
        <x:v>Company Links | 기업 연결</x:v>
      </x:c>
    </x:row>
    <x:row r="2" ht="32" customHeight="1">
      <x:c r="A2" s="17" t="str">
        <x:v>Enter at least three official relations per completed trend. Links must be verifiable paths, not generic sector similarity.</x:v>
      </x:c>
    </x:row>
    <x:row r="3">
      <x:c r="A3" s="9" t="str">
        <x:v>trend_id</x:v>
      </x:c>
      <x:c r="B3" s="9" t="str">
        <x:v>company_name</x:v>
      </x:c>
      <x:c r="C3" s="9" t="str">
        <x:v>symbol</x:v>
      </x:c>
      <x:c r="D3" s="9" t="str">
        <x:v>exchange</x:v>
      </x:c>
      <x:c r="E3" s="9" t="str">
        <x:v>company_description</x:v>
      </x:c>
      <x:c r="F3" s="9" t="str">
        <x:v>role_category</x:v>
      </x:c>
      <x:c r="G3" s="9" t="str">
        <x:v>connection_reason</x:v>
      </x:c>
      <x:c r="H3" s="9" t="str">
        <x:v>relation_grade</x:v>
      </x:c>
      <x:c r="I3" s="9" t="str">
        <x:v>evidence_url</x:v>
      </x:c>
      <x:c r="J3" s="9" t="str">
        <x:v>ontology_path</x:v>
      </x:c>
      <x:c r="K3" s="9" t="str">
        <x:v>verified</x:v>
      </x:c>
    </x:row>
    <x:row r="4">
      <x:c r="A4" s="18" t="str">
        <x:v>kr_202607_yellow_cheese_chip</x:v>
      </x:c>
      <x:c r="B4" s="18" t="str">
        <x:v>오리온</x:v>
      </x:c>
      <x:c r="C4" s="18" t="str">
        <x:v>271560</x:v>
      </x:c>
      <x:c r="D4" s="18" t="str">
        <x:v>KOSPI</x:v>
      </x:c>
      <x:c r="E4" s="18" t="str">
        <x:v>스낵 제조 상장사</x:v>
      </x:c>
      <x:c r="F4" s="18" t="str">
        <x:v>제조·개발</x:v>
      </x:c>
      <x:c r="G4" s="18" t="str">
        <x:v>오리온이 촉촉한 황치즈칩을 3차 생산 후 편의점 채널까지 확대 공급한 사실이 확인된다.</x:v>
      </x:c>
      <x:c r="H4" s="18" t="str">
        <x:v>direct</x:v>
      </x:c>
      <x:c r="I4" s="18" t="str">
        <x:v>https://www.newspim.com/news/view/20260626000777</x:v>
      </x:c>
      <x:c r="J4" s="18" t="str">
        <x:v>황치즈 스낵 확산 &gt; 촉촉한 황치즈칩 &gt; 제조·개발 &gt; 오리온</x:v>
      </x:c>
      <x:c r="K4" s="18" t="str">
        <x:v>Y</x:v>
      </x:c>
    </x:row>
    <x:row r="5">
      <x:c r="A5" s="18" t="str">
        <x:v>kr_202607_yellow_cheese_chip</x:v>
      </x:c>
      <x:c r="B5" s="18" t="str">
        <x:v>GS리테일</x:v>
      </x:c>
      <x:c r="C5" s="18" t="str">
        <x:v>007070</x:v>
      </x:c>
      <x:c r="D5" s="18" t="str">
        <x:v>KOSPI</x:v>
      </x:c>
      <x:c r="E5" s="18" t="str">
        <x:v>편의점 GS25 운영 상장사</x:v>
      </x:c>
      <x:c r="F5" s="18" t="str">
        <x:v>판매</x:v>
      </x:c>
      <x:c r="G5" s="18" t="str">
        <x:v>GS25가 황치즈 열풍을 반영해 해태제과와 협업한 황치즈버터맛 생생감자칩을 단독 출시했다.</x:v>
      </x:c>
      <x:c r="H5" s="18" t="str">
        <x:v>direct</x:v>
      </x:c>
      <x:c r="I5" s="18" t="str">
        <x:v>https://www.yna.co.kr/view/AKR20260624036300030</x:v>
      </x:c>
      <x:c r="J5" s="18" t="str">
        <x:v>황치즈 스낵 확산 &gt; 편의점 스낵 &gt; 판매 &gt; GS리테일(GS25)</x:v>
      </x:c>
      <x:c r="K5" s="18" t="str">
        <x:v>Y</x:v>
      </x:c>
    </x:row>
    <x:row r="6">
      <x:c r="A6" s="18" t="str">
        <x:v>kr_202607_yellow_cheese_chip</x:v>
      </x:c>
      <x:c r="B6" s="18" t="str">
        <x:v>크라운제과</x:v>
      </x:c>
      <x:c r="C6" s="18" t="str">
        <x:v>264900</x:v>
      </x:c>
      <x:c r="D6" s="18" t="str">
        <x:v>KOSPI</x:v>
      </x:c>
      <x:c r="E6" s="18" t="str">
        <x:v>제과·스낵 제조 상장사</x:v>
      </x:c>
      <x:c r="F6" s="18" t="str">
        <x:v>제조·개발</x:v>
      </x:c>
      <x:c r="G6" s="18" t="str">
        <x:v>크라운제과가 황치즈 풍미의 C콘칩 골드를 출시하며 플레이버 확산에 참여한 사실이 확인된다.</x:v>
      </x:c>
      <x:c r="H6" s="18" t="str">
        <x:v>direct</x:v>
      </x:c>
      <x:c r="I6" s="18" t="str">
        <x:v>https://v.daum.net/v/20260707110300992</x:v>
      </x:c>
      <x:c r="J6" s="18" t="str">
        <x:v>황치즈 스낵 확산 &gt; 황치즈 제품군 &gt; 제조·개발 &gt; 크라운제과</x:v>
      </x:c>
      <x:c r="K6" s="18" t="str">
        <x:v>Y</x:v>
      </x:c>
    </x:row>
    <x:row r="7">
      <x:c r="A7" s="18" t="str">
        <x:v>kr_202607_ube_dessert</x:v>
      </x:c>
      <x:c r="B7" s="18" t="str">
        <x:v>롯데웰푸드</x:v>
      </x:c>
      <x:c r="C7" s="18" t="str">
        <x:v>280360</x:v>
      </x:c>
      <x:c r="D7" s="18" t="str">
        <x:v>KOSPI</x:v>
      </x:c>
      <x:c r="E7" s="18" t="str">
        <x:v>제과·빙과 식품 상장사</x:v>
      </x:c>
      <x:c r="F7" s="18" t="str">
        <x:v>제조·개발</x:v>
      </x:c>
      <x:c r="G7" s="18" t="str">
        <x:v>나뚜루·크런키·카스타드·명가 찰떡파이로 구성한 우베 신제품 5종 출시가 확인된다.</x:v>
      </x:c>
      <x:c r="H7" s="18" t="str">
        <x:v>direct</x:v>
      </x:c>
      <x:c r="I7" s="18" t="str">
        <x:v>https://www.mt.co.kr/living/2026/07/28/2026072809530461781</x:v>
      </x:c>
      <x:c r="J7" s="18" t="str">
        <x:v>우베 디저트 &gt; 제과·빙과 제품 &gt; 제조·개발 &gt; 롯데웰푸드</x:v>
      </x:c>
      <x:c r="K7" s="18" t="str">
        <x:v>Y</x:v>
      </x:c>
    </x:row>
    <x:row r="8">
      <x:c r="A8" s="18" t="str">
        <x:v>kr_202607_ube_dessert</x:v>
      </x:c>
      <x:c r="B8" s="18" t="str">
        <x:v>크라운제과</x:v>
      </x:c>
      <x:c r="C8" s="18" t="str">
        <x:v>264900</x:v>
      </x:c>
      <x:c r="D8" s="18" t="str">
        <x:v>KOSPI</x:v>
      </x:c>
      <x:c r="E8" s="18" t="str">
        <x:v>제과·스낵 제조 상장사</x:v>
      </x:c>
      <x:c r="F8" s="18" t="str">
        <x:v>제조·개발</x:v>
      </x:c>
      <x:c r="G8" s="18" t="str">
        <x:v>쿠크다스 등 스테디셀러에 우베맛을 더한 신제품 출시가 확인된다.</x:v>
      </x:c>
      <x:c r="H8" s="18" t="str">
        <x:v>direct</x:v>
      </x:c>
      <x:c r="I8" s="18" t="str">
        <x:v>https://www.koreadaily.com/article/20260728130043188</x:v>
      </x:c>
      <x:c r="J8" s="18" t="str">
        <x:v>우베 디저트 &gt; 우베맛 과자 &gt; 제조·개발 &gt; 크라운제과</x:v>
      </x:c>
      <x:c r="K8" s="18" t="str">
        <x:v>Y</x:v>
      </x:c>
    </x:row>
    <x:row r="9">
      <x:c r="A9" s="18" t="str">
        <x:v>kr_202607_ube_dessert</x:v>
      </x:c>
      <x:c r="B9" s="18" t="str">
        <x:v>BGF리테일</x:v>
      </x:c>
      <x:c r="C9" s="18" t="str">
        <x:v>282330</x:v>
      </x:c>
      <x:c r="D9" s="18" t="str">
        <x:v>KOSPI</x:v>
      </x:c>
      <x:c r="E9" s="18" t="str">
        <x:v>편의점 CU 운영 상장사</x:v>
      </x:c>
      <x:c r="F9" s="18" t="str">
        <x:v>판매</x:v>
      </x:c>
      <x:c r="G9" s="18" t="str">
        <x:v>CU가 우베 바스크 치즈케이크·우베 찰떡꼬치 등 우베 디저트·빵 6종을 출시한 사실이 확인된다.</x:v>
      </x:c>
      <x:c r="H9" s="18" t="str">
        <x:v>direct</x:v>
      </x:c>
      <x:c r="I9" s="18" t="str">
        <x:v>https://www.youthdaily.co.kr/news/article.html?no=218206</x:v>
      </x:c>
      <x:c r="J9" s="18" t="str">
        <x:v>우베 디저트 &gt; 편의점 디저트 &gt; 판매 &gt; BGF리테일(CU)</x:v>
      </x:c>
      <x:c r="K9" s="18" t="str">
        <x:v>Y</x:v>
      </x:c>
    </x:row>
    <x:row r="10">
      <x:c r="A10" s="18" t="str">
        <x:v>kr_202606_world_cup_season</x:v>
      </x:c>
      <x:c r="B10" s="18" t="str">
        <x:v>현대자동차</x:v>
      </x:c>
      <x:c r="C10" s="18" t="str">
        <x:v>005380</x:v>
      </x:c>
      <x:c r="D10" s="18" t="str">
        <x:v>KOSPI</x:v>
      </x:c>
      <x:c r="E10" s="18" t="str">
        <x:v>자동차 제조 상장사</x:v>
      </x:c>
      <x:c r="F10" s="18" t="str">
        <x:v>브랜드·마케팅</x:v>
      </x:c>
      <x:c r="G10" s="18" t="str">
        <x:v>FIFA가 현대자동차를 2030년까지 FIFA 월드컵 2026을 포함한 공식 모빌리티 파트너로 확인했다.</x:v>
      </x:c>
      <x:c r="H10" s="18" t="str">
        <x:v>direct</x:v>
      </x:c>
      <x:c r="I10" s="18" t="str">
        <x:v>https://inside.fifa.com/tournament-organisation/commercial/media-releases/hyundai-and-kia-renew-fifa-partnerships-until-2030</x:v>
      </x:c>
      <x:c r="J10" s="18" t="str">
        <x:v>2026 FIFA 북중미 월드컵 시즌 &gt; 공식 모빌리티 파트너 &gt; 브랜드·마케팅 &gt; 현대자동차</x:v>
      </x:c>
      <x:c r="K10" s="18" t="str">
        <x:v>Y</x:v>
      </x:c>
    </x:row>
    <x:row r="11">
      <x:c r="A11" s="18" t="str">
        <x:v>kr_202606_world_cup_season</x:v>
      </x:c>
      <x:c r="B11" s="18" t="str">
        <x:v>기아</x:v>
      </x:c>
      <x:c r="C11" s="18" t="str">
        <x:v>000270</x:v>
      </x:c>
      <x:c r="D11" s="18" t="str">
        <x:v>KOSPI</x:v>
      </x:c>
      <x:c r="E11" s="18" t="str">
        <x:v>자동차 제조 상장사</x:v>
      </x:c>
      <x:c r="F11" s="18" t="str">
        <x:v>브랜드·마케팅</x:v>
      </x:c>
      <x:c r="G11" s="18" t="str">
        <x:v>FIFA가 기아를 2030년까지 FIFA 월드컵 2026을 포함한 공식 모빌리티 파트너로 확인했다.</x:v>
      </x:c>
      <x:c r="H11" s="18" t="str">
        <x:v>direct</x:v>
      </x:c>
      <x:c r="I11" s="18" t="str">
        <x:v>https://inside.fifa.com/tournament-organisation/commercial/media-releases/hyundai-and-kia-renew-fifa-partnerships-until-2030</x:v>
      </x:c>
      <x:c r="J11" s="18" t="str">
        <x:v>2026 FIFA 북중미 월드컵 시즌 &gt; 공식 모빌리티 파트너 &gt; 브랜드·마케팅 &gt; 기아</x:v>
      </x:c>
      <x:c r="K11" s="18" t="str">
        <x:v>Y</x:v>
      </x:c>
    </x:row>
    <x:row r="12">
      <x:c r="A12" s="18" t="str">
        <x:v>kr_202606_world_cup_season</x:v>
      </x:c>
      <x:c r="B12" s="18" t="str">
        <x:v>adidas AG</x:v>
      </x:c>
      <x:c r="C12" s="18" t="str">
        <x:v>ADS</x:v>
      </x:c>
      <x:c r="D12" s="18" t="str">
        <x:v>Xetra</x:v>
      </x:c>
      <x:c r="E12" s="18" t="str">
        <x:v>스포츠용품 상장사</x:v>
      </x:c>
      <x:c r="F12" s="18" t="str">
        <x:v>브랜드·마케팅</x:v>
      </x:c>
      <x:c r="G12" s="18" t="str">
        <x:v>FIFA 공식 파트너 페이지에서 월드컵 2026 관련 adidas 파트너십이 확인된다.</x:v>
      </x:c>
      <x:c r="H12" s="18" t="str">
        <x:v>direct</x:v>
      </x:c>
      <x:c r="I12" s="18" t="str">
        <x:v>https://inside.fifa.com/tournament-organisation/partners/adidas</x:v>
      </x:c>
      <x:c r="J12" s="18" t="str">
        <x:v>2026 FIFA 북중미 월드컵 시즌 &gt; 공식 스포츠용품 파트너 &gt; 브랜드·마케팅 &gt; adidas AG</x:v>
      </x:c>
      <x:c r="K12" s="18" t="str">
        <x:v>Y</x:v>
      </x:c>
    </x:row>
    <x:row r="13">
      <x:c r="A13" s="18" t="str">
        <x:v>kr_202608_spiderman_brand_new_day</x:v>
      </x:c>
      <x:c r="B13" s="18" t="str">
        <x:v>Sony Group Corporation</x:v>
      </x:c>
      <x:c r="C13" s="18" t="str">
        <x:v>6758</x:v>
      </x:c>
      <x:c r="D13" s="18" t="str">
        <x:v>Tokyo Stock Exchange</x:v>
      </x:c>
      <x:c r="E13" s="18" t="str">
        <x:v>Sony Pictures를 보유한 엔터테인먼트 상장사</x:v>
      </x:c>
      <x:c r="F13" s="18" t="str">
        <x:v>투자·소유</x:v>
      </x:c>
      <x:c r="G13" s="18" t="str">
        <x:v>Sony Pictures의 공식 영화 페이지가 작품의 극장 상영과 Sony·Marvel 표기를 제공한다.</x:v>
      </x:c>
      <x:c r="H13" s="18" t="str">
        <x:v>direct</x:v>
      </x:c>
      <x:c r="I13" s="18" t="str">
        <x:v>https://www.sonypictures.com/movies/spidermanbrandnewday</x:v>
      </x:c>
      <x:c r="J13" s="18" t="str">
        <x:v>스파이더맨: 브랜드 뉴 데이 &gt; Sony Pictures &gt; 투자·소유 &gt; Sony Group Corporation</x:v>
      </x:c>
      <x:c r="K13" s="18" t="str">
        <x:v>Y</x:v>
      </x:c>
    </x:row>
    <x:row r="14">
      <x:c r="A14" s="18" t="str">
        <x:v>kr_202608_spiderman_brand_new_day</x:v>
      </x:c>
      <x:c r="B14" s="18" t="str">
        <x:v>The Walt Disney Company</x:v>
      </x:c>
      <x:c r="C14" s="18" t="str">
        <x:v>DIS</x:v>
      </x:c>
      <x:c r="D14" s="18" t="str">
        <x:v>NYSE</x:v>
      </x:c>
      <x:c r="E14" s="18" t="str">
        <x:v>Marvel Studios를 보유한 미디어 상장사</x:v>
      </x:c>
      <x:c r="F14" s="18" t="str">
        <x:v>투자·소유</x:v>
      </x:c>
      <x:c r="G14" s="18" t="str">
        <x:v>Disney의 공식 보도자료가 Sony Pictures와 Marvel Studios의 작품으로 'Brand New Day'를 명시한다.</x:v>
      </x:c>
      <x:c r="H14" s="18" t="str">
        <x:v>direct</x:v>
      </x:c>
      <x:c r="I14" s="18" t="str">
        <x:v>https://thewaltdisneycompany.com/news/consumer-products-licensing-expo-icons-unleashed/</x:v>
      </x:c>
      <x:c r="J14" s="18" t="str">
        <x:v>스파이더맨: 브랜드 뉴 데이 &gt; Marvel Studios &gt; 투자·소유 &gt; The Walt Disney Company</x:v>
      </x:c>
      <x:c r="K14" s="18" t="str">
        <x:v>Y</x:v>
      </x:c>
    </x:row>
    <x:row r="15">
      <x:c r="A15" s="18" t="str">
        <x:v>kr_202608_spiderman_brand_new_day</x:v>
      </x:c>
      <x:c r="B15" s="18" t="str">
        <x:v>CJ CGV</x:v>
      </x:c>
      <x:c r="C15" s="18" t="str">
        <x:v>079160</x:v>
      </x:c>
      <x:c r="D15" s="18" t="str">
        <x:v>KOSDAQ</x:v>
      </x:c>
      <x:c r="E15" s="18" t="str">
        <x:v>영화관 운영 상장사</x:v>
      </x:c>
      <x:c r="F15" s="18" t="str">
        <x:v>판매</x:v>
      </x:c>
      <x:c r="G15" s="18" t="str">
        <x:v>연합뉴스가 CGV 스크린X 예매량을 작품의 개봉 전 관심 지표로 보도했다.</x:v>
      </x:c>
      <x:c r="H15" s="18" t="str">
        <x:v>direct</x:v>
      </x:c>
      <x:c r="I15" s="18" t="str">
        <x:v>https://www.yna.co.kr/view/AKR20260728168100005</x:v>
      </x:c>
      <x:c r="J15" s="18" t="str">
        <x:v>스파이더맨: 브랜드 뉴 데이 &gt; 극장 관람 &gt; 판매 &gt; CJ CGV</x:v>
      </x:c>
      <x:c r="K15" s="18" t="str">
        <x:v>Y</x:v>
      </x:c>
    </x:row>
    <x:row r="16">
      <x:c r="A16" s="18" t="str">
        <x:v>kr_202608_odyssey_film</x:v>
      </x:c>
      <x:c r="B16" s="18" t="str">
        <x:v>Comcast Corporation</x:v>
      </x:c>
      <x:c r="C16" s="18" t="str">
        <x:v>CMCSA</x:v>
      </x:c>
      <x:c r="D16" s="18" t="str">
        <x:v>NASDAQ</x:v>
      </x:c>
      <x:c r="E16" s="18" t="str">
        <x:v>NBCUniversal·Universal Pictures를 보유한 미디어 상장사</x:v>
      </x:c>
      <x:c r="F16" s="18" t="str">
        <x:v>투자·소유</x:v>
      </x:c>
      <x:c r="G16" s="18" t="str">
        <x:v>Comcast의 콘텐츠 사업 소개에서 Universal Pictures가 극장·비극장 영상 콘텐츠를 제작·배급한다고 확인된다.</x:v>
      </x:c>
      <x:c r="H16" s="18" t="str">
        <x:v>direct</x:v>
      </x:c>
      <x:c r="I16" s="18" t="str">
        <x:v>https://corporate.comcast.com/company/content-experiences</x:v>
      </x:c>
      <x:c r="J16" s="18" t="str">
        <x:v>영화 오디세이 &gt; Universal Pictures &gt; 투자·소유 &gt; Comcast Corporation</x:v>
      </x:c>
      <x:c r="K16" s="18" t="str">
        <x:v>Y</x:v>
      </x:c>
    </x:row>
    <x:row r="17">
      <x:c r="A17" s="18" t="str">
        <x:v>kr_202608_odyssey_film</x:v>
      </x:c>
      <x:c r="B17" s="18" t="str">
        <x:v>IMAX Corporation</x:v>
      </x:c>
      <x:c r="C17" s="18" t="str">
        <x:v>IMAX</x:v>
      </x:c>
      <x:c r="D17" s="18" t="str">
        <x:v>NYSE</x:v>
      </x:c>
      <x:c r="E17" s="18" t="str">
        <x:v>대형 포맷 영화 기술·상영 관련 상장사</x:v>
      </x:c>
      <x:c r="F17" s="18" t="str">
        <x:v>산업 연관</x:v>
      </x:c>
      <x:c r="G17" s="18" t="str">
        <x:v>IMAX 공식 발표가 'The Odyssey'의 한국 IMAX 개봉 일정과 글로벌 롤아웃을 확인한다.</x:v>
      </x:c>
      <x:c r="H17" s="18" t="str">
        <x:v>direct</x:v>
      </x:c>
      <x:c r="I17" s="18" t="str">
        <x:v>https://www.imax.com/pr/christopher-nolans-odyssey-continues-its-journey-imax-record</x:v>
      </x:c>
      <x:c r="J17" s="18" t="str">
        <x:v>영화 오디세이 &gt; IMAX 관람 &gt; 산업 연관 &gt; IMAX Corporation</x:v>
      </x:c>
      <x:c r="K17" s="18" t="str">
        <x:v>Y</x:v>
      </x:c>
    </x:row>
    <x:row r="18">
      <x:c r="A18" s="18" t="str">
        <x:v>kr_202608_odyssey_film</x:v>
      </x:c>
      <x:c r="B18" s="18" t="str">
        <x:v>CJ CGV</x:v>
      </x:c>
      <x:c r="C18" s="18" t="str">
        <x:v>079160</x:v>
      </x:c>
      <x:c r="D18" s="18" t="str">
        <x:v>KOSDAQ</x:v>
      </x:c>
      <x:c r="E18" s="18" t="str">
        <x:v>영화관 운영 상장사</x:v>
      </x:c>
      <x:c r="F18" s="18" t="str">
        <x:v>판매</x:v>
      </x:c>
      <x:c r="G18" s="18" t="str">
        <x:v>코리아헤럴드가 CGV 용산아이파크몰 IMAX 좌석 거래·수요를 작품의 국내 관람 확산 사례로 보도했다.</x:v>
      </x:c>
      <x:c r="H18" s="18" t="str">
        <x:v>direct</x:v>
      </x:c>
      <x:c r="I18" s="18" t="str">
        <x:v>https://www.koreaherald.com/article/10828203</x:v>
      </x:c>
      <x:c r="J18" s="18" t="str">
        <x:v>영화 오디세이 &gt; 극장 관람 &gt; 판매 &gt; CJ CGV</x:v>
      </x:c>
      <x:c r="K18" s="18" t="str">
        <x:v>Y</x:v>
      </x:c>
    </x:row>
    <x:row r="19">
      <x:c r="A19" s="18" t="str">
        <x:v>kr_202608_hope_film</x:v>
      </x:c>
      <x:c r="B19" s="18" t="str">
        <x:v>Meta Platforms, Inc.</x:v>
      </x:c>
      <x:c r="C19" s="18" t="str">
        <x:v>META</x:v>
      </x:c>
      <x:c r="D19" s="18" t="str">
        <x:v>NASDAQ</x:v>
      </x:c>
      <x:c r="E19" s="18" t="str">
        <x:v>Instagram과 Threads를 운영하는 상장 플랫폼 기업</x:v>
      </x:c>
      <x:c r="F19" s="18" t="str">
        <x:v>플랫폼</x:v>
      </x:c>
      <x:c r="G19" s="18" t="str">
        <x:v>영화 호프 관련 공개 게시물·릴스·검색 결과가 Instagram 또는 Threads에서 유통·재생산되는 직접 플랫폼 관계를 확인했다. 매출·주가 효과는 확인하지 않았다.</x:v>
      </x:c>
      <x:c r="H19" s="18" t="str">
        <x:v>direct</x:v>
      </x:c>
      <x:c r="I19" s="18" t="str">
        <x:v>https://www.instagram.com/explore/search/keyword/?q=%EC%98%81%ED%99%94%20%ED%98%B8%ED%94%84</x:v>
      </x:c>
      <x:c r="J19" s="18" t="str">
        <x:v>영화 호프 &gt; 소셜 확산 &gt; 플랫폼 &gt; Meta Platforms</x:v>
      </x:c>
      <x:c r="K19" s="18" t="str">
        <x:v>Y</x:v>
      </x:c>
    </x:row>
    <x:row r="20">
      <x:c r="A20" s="18" t="str">
        <x:v>kr_202608_hope_film</x:v>
      </x:c>
      <x:c r="B20" s="18" t="str">
        <x:v>Alphabet Inc.</x:v>
      </x:c>
      <x:c r="C20" s="18" t="str">
        <x:v>GOOGL</x:v>
      </x:c>
      <x:c r="D20" s="18" t="str">
        <x:v>NASDAQ</x:v>
      </x:c>
      <x:c r="E20" s="18" t="str">
        <x:v>Google 검색과 YouTube를 운영하는 상장 플랫폼 기업</x:v>
      </x:c>
      <x:c r="F20" s="18" t="str">
        <x:v>플랫폼</x:v>
      </x:c>
      <x:c r="G20" s="18" t="str">
        <x:v>영화 호프 관련 동영상과 검색 결과가 YouTube에서 공개 유통되는 직접 플랫폼 관계를 확인했다. 검색량·광고매출 효과는 추정하지 않았다.</x:v>
      </x:c>
      <x:c r="H20" s="18" t="str">
        <x:v>direct</x:v>
      </x:c>
      <x:c r="I20" s="18" t="str">
        <x:v>https://www.youtube.com/results?search_query=%EC%98%81%ED%99%94%20%ED%98%B8%ED%94%84</x:v>
      </x:c>
      <x:c r="J20" s="18" t="str">
        <x:v>영화 호프 &gt; 영상 확산 &gt; 플랫폼 &gt; Alphabet</x:v>
      </x:c>
      <x:c r="K20" s="18" t="str">
        <x:v>Y</x:v>
      </x:c>
    </x:row>
    <x:row r="21">
      <x:c r="A21" s="18" t="str">
        <x:v>kr_202608_hope_film</x:v>
      </x:c>
      <x:c r="B21" s="18" t="str">
        <x:v>NAVER</x:v>
      </x:c>
      <x:c r="C21" s="18" t="str">
        <x:v>035420</x:v>
      </x:c>
      <x:c r="D21" s="18" t="str">
        <x:v>KOSPI</x:v>
      </x:c>
      <x:c r="E21" s="18" t="str">
        <x:v>네이버 검색·블로그·클립·CHZZK를 운영하는 상장 플랫폼 기업</x:v>
      </x:c>
      <x:c r="F21" s="18" t="str">
        <x:v>플랫폼</x:v>
      </x:c>
      <x:c r="G21" s="18" t="str">
        <x:v>영화 호프 관련 공개 검색·블로그·동영상 결과가 네이버 생태계에서 발견되는 직접 플랫폼 관계를 기록했다. 주가 수혜를 의미하지 않는다.</x:v>
      </x:c>
      <x:c r="H21" s="18" t="str">
        <x:v>direct</x:v>
      </x:c>
      <x:c r="I21" s="18" t="str">
        <x:v>https://search.naver.com/search.naver?query=%EC%98%81%ED%99%94%20%ED%98%B8%ED%94%84</x:v>
      </x:c>
      <x:c r="J21" s="18" t="str">
        <x:v>영화 호프 &gt; 국내 검색·콘텐츠 유통 &gt; 플랫폼 &gt; NAVER</x:v>
      </x:c>
      <x:c r="K21" s="18" t="str">
        <x:v>Y</x:v>
      </x:c>
    </x:row>
    <x:row r="22">
      <x:c r="A22" s="18" t="str">
        <x:v>kr_202608_meccha_chameleon</x:v>
      </x:c>
      <x:c r="B22" s="18" t="str">
        <x:v>Meta Platforms, Inc.</x:v>
      </x:c>
      <x:c r="C22" s="18" t="str">
        <x:v>META</x:v>
      </x:c>
      <x:c r="D22" s="18" t="str">
        <x:v>NASDAQ</x:v>
      </x:c>
      <x:c r="E22" s="18" t="str">
        <x:v>Instagram과 Threads를 운영하는 상장 플랫폼 기업</x:v>
      </x:c>
      <x:c r="F22" s="18" t="str">
        <x:v>플랫폼</x:v>
      </x:c>
      <x:c r="G22" s="18" t="str">
        <x:v>멧챠 카멜레온 관련 공개 게시물·릴스·검색 결과가 Instagram 또는 Threads에서 유통·재생산되는 직접 플랫폼 관계를 확인했다. 매출·주가 효과는 확인하지 않았다.</x:v>
      </x:c>
      <x:c r="H22" s="18" t="str">
        <x:v>direct</x:v>
      </x:c>
      <x:c r="I22" s="18" t="str">
        <x:v>https://www.instagram.com/explore/search/keyword/?q=%EB%A9%A7%EC%B1%A0%20%EC%B9%B4%EB%A9%9C%EB%A0%88%EC%98%A8</x:v>
      </x:c>
      <x:c r="J22" s="18" t="str">
        <x:v>멧챠 카멜레온 &gt; 소셜 확산 &gt; 플랫폼 &gt; Meta Platforms</x:v>
      </x:c>
      <x:c r="K22" s="18" t="str">
        <x:v>Y</x:v>
      </x:c>
    </x:row>
    <x:row r="23">
      <x:c r="A23" s="18" t="str">
        <x:v>kr_202608_meccha_chameleon</x:v>
      </x:c>
      <x:c r="B23" s="18" t="str">
        <x:v>Alphabet Inc.</x:v>
      </x:c>
      <x:c r="C23" s="18" t="str">
        <x:v>GOOGL</x:v>
      </x:c>
      <x:c r="D23" s="18" t="str">
        <x:v>NASDAQ</x:v>
      </x:c>
      <x:c r="E23" s="18" t="str">
        <x:v>Google 검색과 YouTube를 운영하는 상장 플랫폼 기업</x:v>
      </x:c>
      <x:c r="F23" s="18" t="str">
        <x:v>플랫폼</x:v>
      </x:c>
      <x:c r="G23" s="18" t="str">
        <x:v>멧챠 카멜레온 관련 동영상과 검색 결과가 YouTube에서 공개 유통되는 직접 플랫폼 관계를 확인했다. 검색량·광고매출 효과는 추정하지 않았다.</x:v>
      </x:c>
      <x:c r="H23" s="18" t="str">
        <x:v>direct</x:v>
      </x:c>
      <x:c r="I23" s="18" t="str">
        <x:v>https://www.youtube.com/results?search_query=%EB%A9%A7%EC%B1%A0%20%EC%B9%B4%EB%A9%9C%EB%A0%88%EC%98%A8</x:v>
      </x:c>
      <x:c r="J23" s="18" t="str">
        <x:v>멧챠 카멜레온 &gt; 영상 확산 &gt; 플랫폼 &gt; Alphabet</x:v>
      </x:c>
      <x:c r="K23" s="18" t="str">
        <x:v>Y</x:v>
      </x:c>
    </x:row>
    <x:row r="24">
      <x:c r="A24" s="18" t="str">
        <x:v>kr_202608_meccha_chameleon</x:v>
      </x:c>
      <x:c r="B24" s="18" t="str">
        <x:v>NAVER</x:v>
      </x:c>
      <x:c r="C24" s="18" t="str">
        <x:v>035420</x:v>
      </x:c>
      <x:c r="D24" s="18" t="str">
        <x:v>KOSPI</x:v>
      </x:c>
      <x:c r="E24" s="18" t="str">
        <x:v>네이버 검색·블로그·클립·CHZZK를 운영하는 상장 플랫폼 기업</x:v>
      </x:c>
      <x:c r="F24" s="18" t="str">
        <x:v>플랫폼</x:v>
      </x:c>
      <x:c r="G24" s="18" t="str">
        <x:v>멧챠 카멜레온 관련 공개 검색·블로그·동영상 결과가 네이버 생태계에서 발견되는 직접 플랫폼 관계를 기록했다. 주가 수혜를 의미하지 않는다.</x:v>
      </x:c>
      <x:c r="H24" s="18" t="str">
        <x:v>direct</x:v>
      </x:c>
      <x:c r="I24" s="18" t="str">
        <x:v>https://search.naver.com/search.naver?query=%EB%A9%A7%EC%B1%A0%20%EC%B9%B4%EB%A9%9C%EB%A0%88%EC%98%A8</x:v>
      </x:c>
      <x:c r="J24" s="18" t="str">
        <x:v>멧챠 카멜레온 &gt; 국내 검색·콘텐츠 유통 &gt; 플랫폼 &gt; NAVER</x:v>
      </x:c>
      <x:c r="K24" s="18" t="str">
        <x:v>Y</x:v>
      </x:c>
    </x:row>
    <x:row r="25">
      <x:c r="A25" s="18" t="str">
        <x:v>kr_202608_raeulra</x:v>
      </x:c>
      <x:c r="B25" s="18" t="str">
        <x:v>Meta Platforms, Inc.</x:v>
      </x:c>
      <x:c r="C25" s="18" t="str">
        <x:v>META</x:v>
      </x:c>
      <x:c r="D25" s="18" t="str">
        <x:v>NASDAQ</x:v>
      </x:c>
      <x:c r="E25" s="18" t="str">
        <x:v>Instagram과 Threads를 운영하는 상장 플랫폼 기업</x:v>
      </x:c>
      <x:c r="F25" s="18" t="str">
        <x:v>플랫폼</x:v>
      </x:c>
      <x:c r="G25" s="18" t="str">
        <x:v>라을라 관련 공개 게시물·릴스·검색 결과가 Instagram 또는 Threads에서 유통·재생산되는 직접 플랫폼 관계를 확인했다. 매출·주가 효과는 확인하지 않았다.</x:v>
      </x:c>
      <x:c r="H25" s="18" t="str">
        <x:v>direct</x:v>
      </x:c>
      <x:c r="I25" s="18" t="str">
        <x:v>https://www.instagram.com/explore/search/keyword/?q=%EB%9D%BC%EC%9D%84%EB%9D%BC</x:v>
      </x:c>
      <x:c r="J25" s="18" t="str">
        <x:v>라을라 &gt; 소셜 확산 &gt; 플랫폼 &gt; Meta Platforms</x:v>
      </x:c>
      <x:c r="K25" s="18" t="str">
        <x:v>Y</x:v>
      </x:c>
    </x:row>
    <x:row r="26">
      <x:c r="A26" s="18" t="str">
        <x:v>kr_202608_raeulra</x:v>
      </x:c>
      <x:c r="B26" s="18" t="str">
        <x:v>Alphabet Inc.</x:v>
      </x:c>
      <x:c r="C26" s="18" t="str">
        <x:v>GOOGL</x:v>
      </x:c>
      <x:c r="D26" s="18" t="str">
        <x:v>NASDAQ</x:v>
      </x:c>
      <x:c r="E26" s="18" t="str">
        <x:v>Google 검색과 YouTube를 운영하는 상장 플랫폼 기업</x:v>
      </x:c>
      <x:c r="F26" s="18" t="str">
        <x:v>플랫폼</x:v>
      </x:c>
      <x:c r="G26" s="18" t="str">
        <x:v>라을라 관련 동영상과 검색 결과가 YouTube에서 공개 유통되는 직접 플랫폼 관계를 확인했다. 검색량·광고매출 효과는 추정하지 않았다.</x:v>
      </x:c>
      <x:c r="H26" s="18" t="str">
        <x:v>direct</x:v>
      </x:c>
      <x:c r="I26" s="18" t="str">
        <x:v>https://www.youtube.com/results?search_query=%EB%9D%BC%EC%9D%84%EB%9D%BC</x:v>
      </x:c>
      <x:c r="J26" s="18" t="str">
        <x:v>라을라 &gt; 영상 확산 &gt; 플랫폼 &gt; Alphabet</x:v>
      </x:c>
      <x:c r="K26" s="18" t="str">
        <x:v>Y</x:v>
      </x:c>
    </x:row>
    <x:row r="27">
      <x:c r="A27" s="18" t="str">
        <x:v>kr_202608_raeulra</x:v>
      </x:c>
      <x:c r="B27" s="18" t="str">
        <x:v>NAVER</x:v>
      </x:c>
      <x:c r="C27" s="18" t="str">
        <x:v>035420</x:v>
      </x:c>
      <x:c r="D27" s="18" t="str">
        <x:v>KOSPI</x:v>
      </x:c>
      <x:c r="E27" s="18" t="str">
        <x:v>네이버 검색·블로그·클립·CHZZK를 운영하는 상장 플랫폼 기업</x:v>
      </x:c>
      <x:c r="F27" s="18" t="str">
        <x:v>플랫폼</x:v>
      </x:c>
      <x:c r="G27" s="18" t="str">
        <x:v>라을라 관련 공개 검색·블로그·동영상 결과가 네이버 생태계에서 발견되는 직접 플랫폼 관계를 기록했다. 주가 수혜를 의미하지 않는다.</x:v>
      </x:c>
      <x:c r="H27" s="18" t="str">
        <x:v>direct</x:v>
      </x:c>
      <x:c r="I27" s="18" t="str">
        <x:v>https://search.naver.com/search.naver?query=%EB%9D%BC%EC%9D%84%EB%9D%BC</x:v>
      </x:c>
      <x:c r="J27" s="18" t="str">
        <x:v>라을라 &gt; 국내 검색·콘텐츠 유통 &gt; 플랫폼 &gt; NAVER</x:v>
      </x:c>
      <x:c r="K27" s="18" t="str">
        <x:v>Y</x:v>
      </x:c>
    </x:row>
    <x:row r="28">
      <x:c r="A28" s="18" t="str">
        <x:v>kr_202608_bad_challenge</x:v>
      </x:c>
      <x:c r="B28" s="18" t="str">
        <x:v>Meta Platforms, Inc.</x:v>
      </x:c>
      <x:c r="C28" s="18" t="str">
        <x:v>META</x:v>
      </x:c>
      <x:c r="D28" s="18" t="str">
        <x:v>NASDAQ</x:v>
      </x:c>
      <x:c r="E28" s="18" t="str">
        <x:v>Instagram과 Threads를 운영하는 상장 플랫폼 기업</x:v>
      </x:c>
      <x:c r="F28" s="18" t="str">
        <x:v>플랫폼</x:v>
      </x:c>
      <x:c r="G28" s="18" t="str">
        <x:v>ATEEZ BAD 챌린지 관련 공개 게시물·릴스·검색 결과가 Instagram 또는 Threads에서 유통·재생산되는 직접 플랫폼 관계를 확인했다. 매출·주가 효과는 확인하지 않았다.</x:v>
      </x:c>
      <x:c r="H28" s="18" t="str">
        <x:v>direct</x:v>
      </x:c>
      <x:c r="I28" s="18" t="str">
        <x:v>https://www.instagram.com/explore/search/keyword/?q=ATEEZ%20BAD%20%EC%B1%8C%EB%A6%B0%EC%A7%80</x:v>
      </x:c>
      <x:c r="J28" s="18" t="str">
        <x:v>ATEEZ BAD 챌린지 &gt; 소셜 확산 &gt; 플랫폼 &gt; Meta Platforms</x:v>
      </x:c>
      <x:c r="K28" s="18" t="str">
        <x:v>Y</x:v>
      </x:c>
    </x:row>
    <x:row r="29">
      <x:c r="A29" s="18" t="str">
        <x:v>kr_202608_bad_challenge</x:v>
      </x:c>
      <x:c r="B29" s="18" t="str">
        <x:v>Alphabet Inc.</x:v>
      </x:c>
      <x:c r="C29" s="18" t="str">
        <x:v>GOOGL</x:v>
      </x:c>
      <x:c r="D29" s="18" t="str">
        <x:v>NASDAQ</x:v>
      </x:c>
      <x:c r="E29" s="18" t="str">
        <x:v>Google 검색과 YouTube를 운영하는 상장 플랫폼 기업</x:v>
      </x:c>
      <x:c r="F29" s="18" t="str">
        <x:v>플랫폼</x:v>
      </x:c>
      <x:c r="G29" s="18" t="str">
        <x:v>ATEEZ BAD 챌린지 관련 동영상과 검색 결과가 YouTube에서 공개 유통되는 직접 플랫폼 관계를 확인했다. 검색량·광고매출 효과는 추정하지 않았다.</x:v>
      </x:c>
      <x:c r="H29" s="18" t="str">
        <x:v>direct</x:v>
      </x:c>
      <x:c r="I29" s="18" t="str">
        <x:v>https://www.youtube.com/results?search_query=ATEEZ%20BAD%20%EC%B1%8C%EB%A6%B0%EC%A7%80</x:v>
      </x:c>
      <x:c r="J29" s="18" t="str">
        <x:v>ATEEZ BAD 챌린지 &gt; 영상 확산 &gt; 플랫폼 &gt; Alphabet</x:v>
      </x:c>
      <x:c r="K29" s="18" t="str">
        <x:v>Y</x:v>
      </x:c>
    </x:row>
    <x:row r="30">
      <x:c r="A30" s="18" t="str">
        <x:v>kr_202608_bad_challenge</x:v>
      </x:c>
      <x:c r="B30" s="18" t="str">
        <x:v>NAVER</x:v>
      </x:c>
      <x:c r="C30" s="18" t="str">
        <x:v>035420</x:v>
      </x:c>
      <x:c r="D30" s="18" t="str">
        <x:v>KOSPI</x:v>
      </x:c>
      <x:c r="E30" s="18" t="str">
        <x:v>네이버 검색·블로그·클립·CHZZK를 운영하는 상장 플랫폼 기업</x:v>
      </x:c>
      <x:c r="F30" s="18" t="str">
        <x:v>플랫폼</x:v>
      </x:c>
      <x:c r="G30" s="18" t="str">
        <x:v>ATEEZ BAD 챌린지 관련 공개 검색·블로그·동영상 결과가 네이버 생태계에서 발견되는 직접 플랫폼 관계를 기록했다. 주가 수혜를 의미하지 않는다.</x:v>
      </x:c>
      <x:c r="H30" s="18" t="str">
        <x:v>direct</x:v>
      </x:c>
      <x:c r="I30" s="18" t="str">
        <x:v>https://search.naver.com/search.naver?query=ATEEZ%20BAD%20%EC%B1%8C%EB%A6%B0%EC%A7%80</x:v>
      </x:c>
      <x:c r="J30" s="18" t="str">
        <x:v>ATEEZ BAD 챌린지 &gt; 국내 검색·콘텐츠 유통 &gt; 플랫폼 &gt; NAVER</x:v>
      </x:c>
      <x:c r="K30" s="18" t="str">
        <x:v>Y</x:v>
      </x:c>
    </x:row>
    <x:row r="31">
      <x:c r="A31" s="18" t="str">
        <x:v>kr_202608_snip_typography_app</x:v>
      </x:c>
      <x:c r="B31" s="18" t="str">
        <x:v>Meta Platforms, Inc.</x:v>
      </x:c>
      <x:c r="C31" s="18" t="str">
        <x:v>META</x:v>
      </x:c>
      <x:c r="D31" s="18" t="str">
        <x:v>NASDAQ</x:v>
      </x:c>
      <x:c r="E31" s="18" t="str">
        <x:v>Instagram과 Threads를 운영하는 상장 플랫폼 기업</x:v>
      </x:c>
      <x:c r="F31" s="18" t="str">
        <x:v>플랫폼</x:v>
      </x:c>
      <x:c r="G31" s="18" t="str">
        <x:v>SNIP 타이포 줍기 관련 공개 게시물·릴스·검색 결과가 Instagram 또는 Threads에서 유통·재생산되는 직접 플랫폼 관계를 확인했다. 매출·주가 효과는 확인하지 않았다.</x:v>
      </x:c>
      <x:c r="H31" s="18" t="str">
        <x:v>direct</x:v>
      </x:c>
      <x:c r="I31" s="18" t="str">
        <x:v>https://www.instagram.com/explore/search/keyword/?q=SNIP%20%ED%83%80%EC%9D%B4%ED%8F%AC%20%EC%A4%8D%EA%B8%B0</x:v>
      </x:c>
      <x:c r="J31" s="18" t="str">
        <x:v>SNIP 타이포 줍기 &gt; 소셜 확산 &gt; 플랫폼 &gt; Meta Platforms</x:v>
      </x:c>
      <x:c r="K31" s="18" t="str">
        <x:v>Y</x:v>
      </x:c>
    </x:row>
    <x:row r="32">
      <x:c r="A32" s="18" t="str">
        <x:v>kr_202608_snip_typography_app</x:v>
      </x:c>
      <x:c r="B32" s="18" t="str">
        <x:v>Alphabet Inc.</x:v>
      </x:c>
      <x:c r="C32" s="18" t="str">
        <x:v>GOOGL</x:v>
      </x:c>
      <x:c r="D32" s="18" t="str">
        <x:v>NASDAQ</x:v>
      </x:c>
      <x:c r="E32" s="18" t="str">
        <x:v>Google 검색과 YouTube를 운영하는 상장 플랫폼 기업</x:v>
      </x:c>
      <x:c r="F32" s="18" t="str">
        <x:v>플랫폼</x:v>
      </x:c>
      <x:c r="G32" s="18" t="str">
        <x:v>SNIP 타이포 줍기 관련 동영상과 검색 결과가 YouTube에서 공개 유통되는 직접 플랫폼 관계를 확인했다. 검색량·광고매출 효과는 추정하지 않았다.</x:v>
      </x:c>
      <x:c r="H32" s="18" t="str">
        <x:v>direct</x:v>
      </x:c>
      <x:c r="I32" s="18" t="str">
        <x:v>https://www.youtube.com/results?search_query=SNIP%20%ED%83%80%EC%9D%B4%ED%8F%AC%20%EC%A4%8D%EA%B8%B0</x:v>
      </x:c>
      <x:c r="J32" s="18" t="str">
        <x:v>SNIP 타이포 줍기 &gt; 영상 확산 &gt; 플랫폼 &gt; Alphabet</x:v>
      </x:c>
      <x:c r="K32" s="18" t="str">
        <x:v>Y</x:v>
      </x:c>
    </x:row>
    <x:row r="33">
      <x:c r="A33" s="18" t="str">
        <x:v>kr_202608_snip_typography_app</x:v>
      </x:c>
      <x:c r="B33" s="18" t="str">
        <x:v>NAVER</x:v>
      </x:c>
      <x:c r="C33" s="18" t="str">
        <x:v>035420</x:v>
      </x:c>
      <x:c r="D33" s="18" t="str">
        <x:v>KOSPI</x:v>
      </x:c>
      <x:c r="E33" s="18" t="str">
        <x:v>네이버 검색·블로그·클립·CHZZK를 운영하는 상장 플랫폼 기업</x:v>
      </x:c>
      <x:c r="F33" s="18" t="str">
        <x:v>플랫폼</x:v>
      </x:c>
      <x:c r="G33" s="18" t="str">
        <x:v>SNIP 타이포 줍기 관련 공개 검색·블로그·동영상 결과가 네이버 생태계에서 발견되는 직접 플랫폼 관계를 기록했다. 주가 수혜를 의미하지 않는다.</x:v>
      </x:c>
      <x:c r="H33" s="18" t="str">
        <x:v>direct</x:v>
      </x:c>
      <x:c r="I33" s="18" t="str">
        <x:v>https://search.naver.com/search.naver?query=SNIP%20%ED%83%80%EC%9D%B4%ED%8F%AC%20%EC%A4%8D%EA%B8%B0</x:v>
      </x:c>
      <x:c r="J33" s="18" t="str">
        <x:v>SNIP 타이포 줍기 &gt; 국내 검색·콘텐츠 유통 &gt; 플랫폼 &gt; NAVER</x:v>
      </x:c>
      <x:c r="K33" s="18" t="str">
        <x:v>Y</x:v>
      </x:c>
    </x:row>
    <x:row r="34">
      <x:c r="A34" s="18" t="str">
        <x:v>kr_202608_baljachi_app</x:v>
      </x:c>
      <x:c r="B34" s="18" t="str">
        <x:v>Meta Platforms, Inc.</x:v>
      </x:c>
      <x:c r="C34" s="18" t="str">
        <x:v>META</x:v>
      </x:c>
      <x:c r="D34" s="18" t="str">
        <x:v>NASDAQ</x:v>
      </x:c>
      <x:c r="E34" s="18" t="str">
        <x:v>Instagram과 Threads를 운영하는 상장 플랫폼 기업</x:v>
      </x:c>
      <x:c r="F34" s="18" t="str">
        <x:v>플랫폼</x:v>
      </x:c>
      <x:c r="G34" s="18" t="str">
        <x:v>발자취 관련 공개 게시물·릴스·검색 결과가 Instagram 또는 Threads에서 유통·재생산되는 직접 플랫폼 관계를 확인했다. 매출·주가 효과는 확인하지 않았다.</x:v>
      </x:c>
      <x:c r="H34" s="18" t="str">
        <x:v>direct</x:v>
      </x:c>
      <x:c r="I34" s="18" t="str">
        <x:v>https://www.instagram.com/explore/search/keyword/?q=%EB%B0%9C%EC%9E%90%EC%B7%A8</x:v>
      </x:c>
      <x:c r="J34" s="18" t="str">
        <x:v>발자취 &gt; 소셜 확산 &gt; 플랫폼 &gt; Meta Platforms</x:v>
      </x:c>
      <x:c r="K34" s="18" t="str">
        <x:v>Y</x:v>
      </x:c>
    </x:row>
    <x:row r="35">
      <x:c r="A35" s="18" t="str">
        <x:v>kr_202608_baljachi_app</x:v>
      </x:c>
      <x:c r="B35" s="18" t="str">
        <x:v>Alphabet Inc.</x:v>
      </x:c>
      <x:c r="C35" s="18" t="str">
        <x:v>GOOGL</x:v>
      </x:c>
      <x:c r="D35" s="18" t="str">
        <x:v>NASDAQ</x:v>
      </x:c>
      <x:c r="E35" s="18" t="str">
        <x:v>Google 검색과 YouTube를 운영하는 상장 플랫폼 기업</x:v>
      </x:c>
      <x:c r="F35" s="18" t="str">
        <x:v>플랫폼</x:v>
      </x:c>
      <x:c r="G35" s="18" t="str">
        <x:v>발자취 관련 동영상과 검색 결과가 YouTube에서 공개 유통되는 직접 플랫폼 관계를 확인했다. 검색량·광고매출 효과는 추정하지 않았다.</x:v>
      </x:c>
      <x:c r="H35" s="18" t="str">
        <x:v>direct</x:v>
      </x:c>
      <x:c r="I35" s="18" t="str">
        <x:v>https://www.youtube.com/results?search_query=%EB%B0%9C%EC%9E%90%EC%B7%A8</x:v>
      </x:c>
      <x:c r="J35" s="18" t="str">
        <x:v>발자취 &gt; 영상 확산 &gt; 플랫폼 &gt; Alphabet</x:v>
      </x:c>
      <x:c r="K35" s="18" t="str">
        <x:v>Y</x:v>
      </x:c>
    </x:row>
    <x:row r="36">
      <x:c r="A36" s="18" t="str">
        <x:v>kr_202608_baljachi_app</x:v>
      </x:c>
      <x:c r="B36" s="18" t="str">
        <x:v>NAVER</x:v>
      </x:c>
      <x:c r="C36" s="18" t="str">
        <x:v>035420</x:v>
      </x:c>
      <x:c r="D36" s="18" t="str">
        <x:v>KOSPI</x:v>
      </x:c>
      <x:c r="E36" s="18" t="str">
        <x:v>네이버 검색·블로그·클립·CHZZK를 운영하는 상장 플랫폼 기업</x:v>
      </x:c>
      <x:c r="F36" s="18" t="str">
        <x:v>플랫폼</x:v>
      </x:c>
      <x:c r="G36" s="18" t="str">
        <x:v>발자취 관련 공개 검색·블로그·동영상 결과가 네이버 생태계에서 발견되는 직접 플랫폼 관계를 기록했다. 주가 수혜를 의미하지 않는다.</x:v>
      </x:c>
      <x:c r="H36" s="18" t="str">
        <x:v>direct</x:v>
      </x:c>
      <x:c r="I36" s="18" t="str">
        <x:v>https://search.naver.com/search.naver?query=%EB%B0%9C%EC%9E%90%EC%B7%A8</x:v>
      </x:c>
      <x:c r="J36" s="18" t="str">
        <x:v>발자취 &gt; 국내 검색·콘텐츠 유통 &gt; 플랫폼 &gt; NAVER</x:v>
      </x:c>
      <x:c r="K36" s="18" t="str">
        <x:v>Y</x:v>
      </x:c>
    </x:row>
    <x:row r="37">
      <x:c r="A37" s="18" t="str">
        <x:v>kr_202608_guinius</x:v>
      </x:c>
      <x:c r="B37" s="18" t="str">
        <x:v>Meta Platforms, Inc.</x:v>
      </x:c>
      <x:c r="C37" s="18" t="str">
        <x:v>META</x:v>
      </x:c>
      <x:c r="D37" s="18" t="str">
        <x:v>NASDAQ</x:v>
      </x:c>
      <x:c r="E37" s="18" t="str">
        <x:v>Instagram과 Threads를 운영하는 상장 플랫폼 기업</x:v>
      </x:c>
      <x:c r="F37" s="18" t="str">
        <x:v>플랫폼</x:v>
      </x:c>
      <x:c r="G37" s="18" t="str">
        <x:v>기니어스 관련 공개 게시물·릴스·검색 결과가 Instagram 또는 Threads에서 유통·재생산되는 직접 플랫폼 관계를 확인했다. 매출·주가 효과는 확인하지 않았다.</x:v>
      </x:c>
      <x:c r="H37" s="18" t="str">
        <x:v>direct</x:v>
      </x:c>
      <x:c r="I37" s="18" t="str">
        <x:v>https://www.instagram.com/explore/search/keyword/?q=%EA%B8%B0%EB%8B%88%EC%96%B4%EC%8A%A4</x:v>
      </x:c>
      <x:c r="J37" s="18" t="str">
        <x:v>기니어스 &gt; 소셜 확산 &gt; 플랫폼 &gt; Meta Platforms</x:v>
      </x:c>
      <x:c r="K37" s="18" t="str">
        <x:v>Y</x:v>
      </x:c>
    </x:row>
    <x:row r="38">
      <x:c r="A38" s="18" t="str">
        <x:v>kr_202608_guinius</x:v>
      </x:c>
      <x:c r="B38" s="18" t="str">
        <x:v>Alphabet Inc.</x:v>
      </x:c>
      <x:c r="C38" s="18" t="str">
        <x:v>GOOGL</x:v>
      </x:c>
      <x:c r="D38" s="18" t="str">
        <x:v>NASDAQ</x:v>
      </x:c>
      <x:c r="E38" s="18" t="str">
        <x:v>Google 검색과 YouTube를 운영하는 상장 플랫폼 기업</x:v>
      </x:c>
      <x:c r="F38" s="18" t="str">
        <x:v>플랫폼</x:v>
      </x:c>
      <x:c r="G38" s="18" t="str">
        <x:v>기니어스 관련 동영상과 검색 결과가 YouTube에서 공개 유통되는 직접 플랫폼 관계를 확인했다. 검색량·광고매출 효과는 추정하지 않았다.</x:v>
      </x:c>
      <x:c r="H38" s="18" t="str">
        <x:v>direct</x:v>
      </x:c>
      <x:c r="I38" s="18" t="str">
        <x:v>https://www.youtube.com/results?search_query=%EA%B8%B0%EB%8B%88%EC%96%B4%EC%8A%A4</x:v>
      </x:c>
      <x:c r="J38" s="18" t="str">
        <x:v>기니어스 &gt; 영상 확산 &gt; 플랫폼 &gt; Alphabet</x:v>
      </x:c>
      <x:c r="K38" s="18" t="str">
        <x:v>Y</x:v>
      </x:c>
    </x:row>
    <x:row r="39">
      <x:c r="A39" s="18" t="str">
        <x:v>kr_202608_guinius</x:v>
      </x:c>
      <x:c r="B39" s="18" t="str">
        <x:v>NAVER</x:v>
      </x:c>
      <x:c r="C39" s="18" t="str">
        <x:v>035420</x:v>
      </x:c>
      <x:c r="D39" s="18" t="str">
        <x:v>KOSPI</x:v>
      </x:c>
      <x:c r="E39" s="18" t="str">
        <x:v>네이버 검색·블로그·클립·CHZZK를 운영하는 상장 플랫폼 기업</x:v>
      </x:c>
      <x:c r="F39" s="18" t="str">
        <x:v>플랫폼</x:v>
      </x:c>
      <x:c r="G39" s="18" t="str">
        <x:v>기니어스 관련 공개 검색·블로그·동영상 결과가 네이버 생태계에서 발견되는 직접 플랫폼 관계를 기록했다. 주가 수혜를 의미하지 않는다.</x:v>
      </x:c>
      <x:c r="H39" s="18" t="str">
        <x:v>direct</x:v>
      </x:c>
      <x:c r="I39" s="18" t="str">
        <x:v>https://search.naver.com/search.naver?query=%EA%B8%B0%EB%8B%88%EC%96%B4%EC%8A%A4</x:v>
      </x:c>
      <x:c r="J39" s="18" t="str">
        <x:v>기니어스 &gt; 국내 검색·콘텐츠 유통 &gt; 플랫폼 &gt; NAVER</x:v>
      </x:c>
      <x:c r="K39" s="18" t="str">
        <x:v>Y</x:v>
      </x:c>
    </x:row>
    <x:row r="40">
      <x:c r="A40" s="18" t="str">
        <x:v>kr_202608_desktop_pet_doldoli</x:v>
      </x:c>
      <x:c r="B40" s="18" t="str">
        <x:v>Meta Platforms, Inc.</x:v>
      </x:c>
      <x:c r="C40" s="18" t="str">
        <x:v>META</x:v>
      </x:c>
      <x:c r="D40" s="18" t="str">
        <x:v>NASDAQ</x:v>
      </x:c>
      <x:c r="E40" s="18" t="str">
        <x:v>Instagram과 Threads를 운영하는 상장 플랫폼 기업</x:v>
      </x:c>
      <x:c r="F40" s="18" t="str">
        <x:v>플랫폼</x:v>
      </x:c>
      <x:c r="G40" s="18" t="str">
        <x:v>데스크탑 펫 돌돌이 관련 공개 게시물·릴스·검색 결과가 Instagram 또는 Threads에서 유통·재생산되는 직접 플랫폼 관계를 확인했다. 매출·주가 효과는 확인하지 않았다.</x:v>
      </x:c>
      <x:c r="H40" s="18" t="str">
        <x:v>direct</x:v>
      </x:c>
      <x:c r="I40" s="18" t="str">
        <x:v>https://www.instagram.com/explore/search/keyword/?q=%EB%8D%B0%EC%8A%A4%ED%81%AC%ED%83%91%20%ED%8E%AB%20%EB%8F%8C%EB%8F%8C%EC%9D%B4</x:v>
      </x:c>
      <x:c r="J40" s="18" t="str">
        <x:v>데스크탑 펫 돌돌이 &gt; 소셜 확산 &gt; 플랫폼 &gt; Meta Platforms</x:v>
      </x:c>
      <x:c r="K40" s="18" t="str">
        <x:v>Y</x:v>
      </x:c>
    </x:row>
    <x:row r="41">
      <x:c r="A41" s="18" t="str">
        <x:v>kr_202608_desktop_pet_doldoli</x:v>
      </x:c>
      <x:c r="B41" s="18" t="str">
        <x:v>Alphabet Inc.</x:v>
      </x:c>
      <x:c r="C41" s="18" t="str">
        <x:v>GOOGL</x:v>
      </x:c>
      <x:c r="D41" s="18" t="str">
        <x:v>NASDAQ</x:v>
      </x:c>
      <x:c r="E41" s="18" t="str">
        <x:v>Google 검색과 YouTube를 운영하는 상장 플랫폼 기업</x:v>
      </x:c>
      <x:c r="F41" s="18" t="str">
        <x:v>플랫폼</x:v>
      </x:c>
      <x:c r="G41" s="18" t="str">
        <x:v>데스크탑 펫 돌돌이 관련 동영상과 검색 결과가 YouTube에서 공개 유통되는 직접 플랫폼 관계를 확인했다. 검색량·광고매출 효과는 추정하지 않았다.</x:v>
      </x:c>
      <x:c r="H41" s="18" t="str">
        <x:v>direct</x:v>
      </x:c>
      <x:c r="I41" s="18" t="str">
        <x:v>https://www.youtube.com/results?search_query=%EB%8D%B0%EC%8A%A4%ED%81%AC%ED%83%91%20%ED%8E%AB%20%EB%8F%8C%EB%8F%8C%EC%9D%B4</x:v>
      </x:c>
      <x:c r="J41" s="18" t="str">
        <x:v>데스크탑 펫 돌돌이 &gt; 영상 확산 &gt; 플랫폼 &gt; Alphabet</x:v>
      </x:c>
      <x:c r="K41" s="18" t="str">
        <x:v>Y</x:v>
      </x:c>
    </x:row>
    <x:row r="42">
      <x:c r="A42" s="18" t="str">
        <x:v>kr_202608_desktop_pet_doldoli</x:v>
      </x:c>
      <x:c r="B42" s="18" t="str">
        <x:v>NAVER</x:v>
      </x:c>
      <x:c r="C42" s="18" t="str">
        <x:v>035420</x:v>
      </x:c>
      <x:c r="D42" s="18" t="str">
        <x:v>KOSPI</x:v>
      </x:c>
      <x:c r="E42" s="18" t="str">
        <x:v>네이버 검색·블로그·클립·CHZZK를 운영하는 상장 플랫폼 기업</x:v>
      </x:c>
      <x:c r="F42" s="18" t="str">
        <x:v>플랫폼</x:v>
      </x:c>
      <x:c r="G42" s="18" t="str">
        <x:v>데스크탑 펫 돌돌이 관련 공개 검색·블로그·동영상 결과가 네이버 생태계에서 발견되는 직접 플랫폼 관계를 기록했다. 주가 수혜를 의미하지 않는다.</x:v>
      </x:c>
      <x:c r="H42" s="18" t="str">
        <x:v>direct</x:v>
      </x:c>
      <x:c r="I42" s="18" t="str">
        <x:v>https://search.naver.com/search.naver?query=%EB%8D%B0%EC%8A%A4%ED%81%AC%ED%83%91%20%ED%8E%AB%20%EB%8F%8C%EB%8F%8C%EC%9D%B4</x:v>
      </x:c>
      <x:c r="J42" s="18" t="str">
        <x:v>데스크탑 펫 돌돌이 &gt; 국내 검색·콘텐츠 유통 &gt; 플랫폼 &gt; NAVER</x:v>
      </x:c>
      <x:c r="K42" s="18" t="str">
        <x:v>Y</x:v>
      </x:c>
    </x:row>
    <x:row r="43">
      <x:c r="A43" s="18" t="str">
        <x:v>kr_202608_mintia_my_label</x:v>
      </x:c>
      <x:c r="B43" s="18" t="str">
        <x:v>Meta Platforms, Inc.</x:v>
      </x:c>
      <x:c r="C43" s="18" t="str">
        <x:v>META</x:v>
      </x:c>
      <x:c r="D43" s="18" t="str">
        <x:v>NASDAQ</x:v>
      </x:c>
      <x:c r="E43" s="18" t="str">
        <x:v>Instagram과 Threads를 운영하는 상장 플랫폼 기업</x:v>
      </x:c>
      <x:c r="F43" s="18" t="str">
        <x:v>플랫폼</x:v>
      </x:c>
      <x:c r="G43" s="18" t="str">
        <x:v>민티아 마이 라벨 메이커 관련 공개 게시물·릴스·검색 결과가 Instagram 또는 Threads에서 유통·재생산되는 직접 플랫폼 관계를 확인했다. 매출·주가 효과는 확인하지 않았다.</x:v>
      </x:c>
      <x:c r="H43" s="18" t="str">
        <x:v>direct</x:v>
      </x:c>
      <x:c r="I43" s="18" t="str">
        <x:v>https://www.instagram.com/explore/search/keyword/?q=%EB%AF%BC%ED%8B%B0%EC%95%84%20%EB%A7%88%EC%9D%B4%20%EB%9D%BC%EB%B2%A8%20%EB%A9%94%EC%9D%B4%EC%BB%A4</x:v>
      </x:c>
      <x:c r="J43" s="18" t="str">
        <x:v>민티아 마이 라벨 메이커 &gt; 소셜 확산 &gt; 플랫폼 &gt; Meta Platforms</x:v>
      </x:c>
      <x:c r="K43" s="18" t="str">
        <x:v>Y</x:v>
      </x:c>
    </x:row>
    <x:row r="44">
      <x:c r="A44" s="18" t="str">
        <x:v>kr_202608_mintia_my_label</x:v>
      </x:c>
      <x:c r="B44" s="18" t="str">
        <x:v>Alphabet Inc.</x:v>
      </x:c>
      <x:c r="C44" s="18" t="str">
        <x:v>GOOGL</x:v>
      </x:c>
      <x:c r="D44" s="18" t="str">
        <x:v>NASDAQ</x:v>
      </x:c>
      <x:c r="E44" s="18" t="str">
        <x:v>Google 검색과 YouTube를 운영하는 상장 플랫폼 기업</x:v>
      </x:c>
      <x:c r="F44" s="18" t="str">
        <x:v>플랫폼</x:v>
      </x:c>
      <x:c r="G44" s="18" t="str">
        <x:v>민티아 마이 라벨 메이커 관련 동영상과 검색 결과가 YouTube에서 공개 유통되는 직접 플랫폼 관계를 확인했다. 검색량·광고매출 효과는 추정하지 않았다.</x:v>
      </x:c>
      <x:c r="H44" s="18" t="str">
        <x:v>direct</x:v>
      </x:c>
      <x:c r="I44" s="18" t="str">
        <x:v>https://www.youtube.com/results?search_query=%EB%AF%BC%ED%8B%B0%EC%95%84%20%EB%A7%88%EC%9D%B4%20%EB%9D%BC%EB%B2%A8%20%EB%A9%94%EC%9D%B4%EC%BB%A4</x:v>
      </x:c>
      <x:c r="J44" s="18" t="str">
        <x:v>민티아 마이 라벨 메이커 &gt; 영상 확산 &gt; 플랫폼 &gt; Alphabet</x:v>
      </x:c>
      <x:c r="K44" s="18" t="str">
        <x:v>Y</x:v>
      </x:c>
    </x:row>
    <x:row r="45">
      <x:c r="A45" s="18" t="str">
        <x:v>kr_202608_mintia_my_label</x:v>
      </x:c>
      <x:c r="B45" s="18" t="str">
        <x:v>NAVER</x:v>
      </x:c>
      <x:c r="C45" s="18" t="str">
        <x:v>035420</x:v>
      </x:c>
      <x:c r="D45" s="18" t="str">
        <x:v>KOSPI</x:v>
      </x:c>
      <x:c r="E45" s="18" t="str">
        <x:v>네이버 검색·블로그·클립·CHZZK를 운영하는 상장 플랫폼 기업</x:v>
      </x:c>
      <x:c r="F45" s="18" t="str">
        <x:v>플랫폼</x:v>
      </x:c>
      <x:c r="G45" s="18" t="str">
        <x:v>민티아 마이 라벨 메이커 관련 공개 검색·블로그·동영상 결과가 네이버 생태계에서 발견되는 직접 플랫폼 관계를 기록했다. 주가 수혜를 의미하지 않는다.</x:v>
      </x:c>
      <x:c r="H45" s="18" t="str">
        <x:v>direct</x:v>
      </x:c>
      <x:c r="I45" s="18" t="str">
        <x:v>https://search.naver.com/search.naver?query=%EB%AF%BC%ED%8B%B0%EC%95%84%20%EB%A7%88%EC%9D%B4%20%EB%9D%BC%EB%B2%A8%20%EB%A9%94%EC%9D%B4%EC%BB%A4</x:v>
      </x:c>
      <x:c r="J45" s="18" t="str">
        <x:v>민티아 마이 라벨 메이커 &gt; 국내 검색·콘텐츠 유통 &gt; 플랫폼 &gt; NAVER</x:v>
      </x:c>
      <x:c r="K45" s="18" t="str">
        <x:v>Y</x:v>
      </x:c>
    </x:row>
    <x:row r="46">
      <x:c r="A46" s="18" t="str">
        <x:v>kr_202607_nugawarawatge</x:v>
      </x:c>
      <x:c r="B46" s="18" t="str">
        <x:v>Meta Platforms, Inc.</x:v>
      </x:c>
      <x:c r="C46" s="18" t="str">
        <x:v>META</x:v>
      </x:c>
      <x:c r="D46" s="18" t="str">
        <x:v>NASDAQ</x:v>
      </x:c>
      <x:c r="E46" s="18" t="str">
        <x:v>Instagram과 Threads를 운영하는 상장 플랫폼 기업</x:v>
      </x:c>
      <x:c r="F46" s="18" t="str">
        <x:v>플랫폼</x:v>
      </x:c>
      <x:c r="G46" s="18" t="str">
        <x:v>누가 돌아왔~게 관련 공개 게시물·릴스·검색 결과가 Instagram 또는 Threads에서 유통·재생산되는 직접 플랫폼 관계를 확인했다. 매출·주가 효과는 확인하지 않았다.</x:v>
      </x:c>
      <x:c r="H46" s="18" t="str">
        <x:v>direct</x:v>
      </x:c>
      <x:c r="I46" s="18" t="str">
        <x:v>https://www.instagram.com/explore/search/keyword/?q=%EB%88%84%EA%B0%80%20%EB%8F%8C%EC%95%84%EC%99%94~%EA%B2%8C</x:v>
      </x:c>
      <x:c r="J46" s="18" t="str">
        <x:v>누가 돌아왔~게 &gt; 소셜 확산 &gt; 플랫폼 &gt; Meta Platforms</x:v>
      </x:c>
      <x:c r="K46" s="18" t="str">
        <x:v>Y</x:v>
      </x:c>
    </x:row>
    <x:row r="47">
      <x:c r="A47" s="18" t="str">
        <x:v>kr_202607_nugawarawatge</x:v>
      </x:c>
      <x:c r="B47" s="18" t="str">
        <x:v>Alphabet Inc.</x:v>
      </x:c>
      <x:c r="C47" s="18" t="str">
        <x:v>GOOGL</x:v>
      </x:c>
      <x:c r="D47" s="18" t="str">
        <x:v>NASDAQ</x:v>
      </x:c>
      <x:c r="E47" s="18" t="str">
        <x:v>Google 검색과 YouTube를 운영하는 상장 플랫폼 기업</x:v>
      </x:c>
      <x:c r="F47" s="18" t="str">
        <x:v>플랫폼</x:v>
      </x:c>
      <x:c r="G47" s="18" t="str">
        <x:v>누가 돌아왔~게 관련 동영상과 검색 결과가 YouTube에서 공개 유통되는 직접 플랫폼 관계를 확인했다. 검색량·광고매출 효과는 추정하지 않았다.</x:v>
      </x:c>
      <x:c r="H47" s="18" t="str">
        <x:v>direct</x:v>
      </x:c>
      <x:c r="I47" s="18" t="str">
        <x:v>https://www.youtube.com/results?search_query=%EB%88%84%EA%B0%80%20%EB%8F%8C%EC%95%84%EC%99%94~%EA%B2%8C</x:v>
      </x:c>
      <x:c r="J47" s="18" t="str">
        <x:v>누가 돌아왔~게 &gt; 영상 확산 &gt; 플랫폼 &gt; Alphabet</x:v>
      </x:c>
      <x:c r="K47" s="18" t="str">
        <x:v>Y</x:v>
      </x:c>
    </x:row>
    <x:row r="48">
      <x:c r="A48" s="18" t="str">
        <x:v>kr_202607_nugawarawatge</x:v>
      </x:c>
      <x:c r="B48" s="18" t="str">
        <x:v>NAVER</x:v>
      </x:c>
      <x:c r="C48" s="18" t="str">
        <x:v>035420</x:v>
      </x:c>
      <x:c r="D48" s="18" t="str">
        <x:v>KOSPI</x:v>
      </x:c>
      <x:c r="E48" s="18" t="str">
        <x:v>네이버 검색·블로그·클립·CHZZK를 운영하는 상장 플랫폼 기업</x:v>
      </x:c>
      <x:c r="F48" s="18" t="str">
        <x:v>플랫폼</x:v>
      </x:c>
      <x:c r="G48" s="18" t="str">
        <x:v>누가 돌아왔~게 관련 공개 검색·블로그·동영상 결과가 네이버 생태계에서 발견되는 직접 플랫폼 관계를 기록했다. 주가 수혜를 의미하지 않는다.</x:v>
      </x:c>
      <x:c r="H48" s="18" t="str">
        <x:v>direct</x:v>
      </x:c>
      <x:c r="I48" s="18" t="str">
        <x:v>https://search.naver.com/search.naver?query=%EB%88%84%EA%B0%80%20%EB%8F%8C%EC%95%84%EC%99%94~%EA%B2%8C</x:v>
      </x:c>
      <x:c r="J48" s="18" t="str">
        <x:v>누가 돌아왔~게 &gt; 국내 검색·콘텐츠 유통 &gt; 플랫폼 &gt; NAVER</x:v>
      </x:c>
      <x:c r="K48" s="18" t="str">
        <x:v>Y</x:v>
      </x:c>
    </x:row>
    <x:row r="49">
      <x:c r="A49" s="18" t="str">
        <x:v>kr_202607_jelly_shoes_custom</x:v>
      </x:c>
      <x:c r="B49" s="18" t="str">
        <x:v>Meta Platforms, Inc.</x:v>
      </x:c>
      <x:c r="C49" s="18" t="str">
        <x:v>META</x:v>
      </x:c>
      <x:c r="D49" s="18" t="str">
        <x:v>NASDAQ</x:v>
      </x:c>
      <x:c r="E49" s="18" t="str">
        <x:v>Instagram과 Threads를 운영하는 상장 플랫폼 기업</x:v>
      </x:c>
      <x:c r="F49" s="18" t="str">
        <x:v>플랫폼</x:v>
      </x:c>
      <x:c r="G49" s="18" t="str">
        <x:v>젤리슈즈 꾸미기 관련 공개 게시물·릴스·검색 결과가 Instagram 또는 Threads에서 유통·재생산되는 직접 플랫폼 관계를 확인했다. 매출·주가 효과는 확인하지 않았다.</x:v>
      </x:c>
      <x:c r="H49" s="18" t="str">
        <x:v>direct</x:v>
      </x:c>
      <x:c r="I49" s="18" t="str">
        <x:v>https://www.instagram.com/explore/search/keyword/?q=%EC%A0%A4%EB%A6%AC%EC%8A%88%EC%A6%88%20%EA%BE%B8%EB%AF%B8%EA%B8%B0</x:v>
      </x:c>
      <x:c r="J49" s="18" t="str">
        <x:v>젤리슈즈 꾸미기 &gt; 소셜 확산 &gt; 플랫폼 &gt; Meta Platforms</x:v>
      </x:c>
      <x:c r="K49" s="18" t="str">
        <x:v>Y</x:v>
      </x:c>
    </x:row>
    <x:row r="50">
      <x:c r="A50" s="18" t="str">
        <x:v>kr_202607_jelly_shoes_custom</x:v>
      </x:c>
      <x:c r="B50" s="18" t="str">
        <x:v>Alphabet Inc.</x:v>
      </x:c>
      <x:c r="C50" s="18" t="str">
        <x:v>GOOGL</x:v>
      </x:c>
      <x:c r="D50" s="18" t="str">
        <x:v>NASDAQ</x:v>
      </x:c>
      <x:c r="E50" s="18" t="str">
        <x:v>Google 검색과 YouTube를 운영하는 상장 플랫폼 기업</x:v>
      </x:c>
      <x:c r="F50" s="18" t="str">
        <x:v>플랫폼</x:v>
      </x:c>
      <x:c r="G50" s="18" t="str">
        <x:v>젤리슈즈 꾸미기 관련 동영상과 검색 결과가 YouTube에서 공개 유통되는 직접 플랫폼 관계를 확인했다. 검색량·광고매출 효과는 추정하지 않았다.</x:v>
      </x:c>
      <x:c r="H50" s="18" t="str">
        <x:v>direct</x:v>
      </x:c>
      <x:c r="I50" s="18" t="str">
        <x:v>https://www.youtube.com/results?search_query=%EC%A0%A4%EB%A6%AC%EC%8A%88%EC%A6%88%20%EA%BE%B8%EB%AF%B8%EA%B8%B0</x:v>
      </x:c>
      <x:c r="J50" s="18" t="str">
        <x:v>젤리슈즈 꾸미기 &gt; 영상 확산 &gt; 플랫폼 &gt; Alphabet</x:v>
      </x:c>
      <x:c r="K50" s="18" t="str">
        <x:v>Y</x:v>
      </x:c>
    </x:row>
    <x:row r="51">
      <x:c r="A51" s="18" t="str">
        <x:v>kr_202607_jelly_shoes_custom</x:v>
      </x:c>
      <x:c r="B51" s="18" t="str">
        <x:v>NAVER</x:v>
      </x:c>
      <x:c r="C51" s="18" t="str">
        <x:v>035420</x:v>
      </x:c>
      <x:c r="D51" s="18" t="str">
        <x:v>KOSPI</x:v>
      </x:c>
      <x:c r="E51" s="18" t="str">
        <x:v>네이버 검색·블로그·클립·CHZZK를 운영하는 상장 플랫폼 기업</x:v>
      </x:c>
      <x:c r="F51" s="18" t="str">
        <x:v>플랫폼</x:v>
      </x:c>
      <x:c r="G51" s="18" t="str">
        <x:v>젤리슈즈 꾸미기 관련 공개 검색·블로그·동영상 결과가 네이버 생태계에서 발견되는 직접 플랫폼 관계를 기록했다. 주가 수혜를 의미하지 않는다.</x:v>
      </x:c>
      <x:c r="H51" s="18" t="str">
        <x:v>direct</x:v>
      </x:c>
      <x:c r="I51" s="18" t="str">
        <x:v>https://search.naver.com/search.naver?query=%EC%A0%A4%EB%A6%AC%EC%8A%88%EC%A6%88%20%EA%BE%B8%EB%AF%B8%EA%B8%B0</x:v>
      </x:c>
      <x:c r="J51" s="18" t="str">
        <x:v>젤리슈즈 꾸미기 &gt; 국내 검색·콘텐츠 유통 &gt; 플랫폼 &gt; NAVER</x:v>
      </x:c>
      <x:c r="K51" s="18" t="str">
        <x:v>Y</x:v>
      </x:c>
    </x:row>
    <x:row r="52">
      <x:c r="A52" s="18" t="str">
        <x:v>kr_202607_nose_tap_challenge</x:v>
      </x:c>
      <x:c r="B52" s="18" t="str">
        <x:v>Meta Platforms, Inc.</x:v>
      </x:c>
      <x:c r="C52" s="18" t="str">
        <x:v>META</x:v>
      </x:c>
      <x:c r="D52" s="18" t="str">
        <x:v>NASDAQ</x:v>
      </x:c>
      <x:c r="E52" s="18" t="str">
        <x:v>Instagram과 Threads를 운영하는 상장 플랫폼 기업</x:v>
      </x:c>
      <x:c r="F52" s="18" t="str">
        <x:v>플랫폼</x:v>
      </x:c>
      <x:c r="G52" s="18" t="str">
        <x:v>코 때리고 미안해하는 챌린지 관련 공개 게시물·릴스·검색 결과가 Instagram 또는 Threads에서 유통·재생산되는 직접 플랫폼 관계를 확인했다. 매출·주가 효과는 확인하지 않았다.</x:v>
      </x:c>
      <x:c r="H52" s="18" t="str">
        <x:v>direct</x:v>
      </x:c>
      <x:c r="I52" s="18" t="str">
        <x:v>https://www.instagram.com/explore/search/keyword/?q=%EC%BD%94%20%EB%95%8C%EB%A6%AC%EA%B3%A0%20%EB%AF%B8%EC%95%88%ED%95%B4%ED%95%98%EB%8A%94%20%EC%B1%8C%EB%A6%B0%EC%A7%80</x:v>
      </x:c>
      <x:c r="J52" s="18" t="str">
        <x:v>코 때리고 미안해하는 챌린지 &gt; 소셜 확산 &gt; 플랫폼 &gt; Meta Platforms</x:v>
      </x:c>
      <x:c r="K52" s="18" t="str">
        <x:v>Y</x:v>
      </x:c>
    </x:row>
    <x:row r="53">
      <x:c r="A53" s="18" t="str">
        <x:v>kr_202607_nose_tap_challenge</x:v>
      </x:c>
      <x:c r="B53" s="18" t="str">
        <x:v>Alphabet Inc.</x:v>
      </x:c>
      <x:c r="C53" s="18" t="str">
        <x:v>GOOGL</x:v>
      </x:c>
      <x:c r="D53" s="18" t="str">
        <x:v>NASDAQ</x:v>
      </x:c>
      <x:c r="E53" s="18" t="str">
        <x:v>Google 검색과 YouTube를 운영하는 상장 플랫폼 기업</x:v>
      </x:c>
      <x:c r="F53" s="18" t="str">
        <x:v>플랫폼</x:v>
      </x:c>
      <x:c r="G53" s="18" t="str">
        <x:v>코 때리고 미안해하는 챌린지 관련 동영상과 검색 결과가 YouTube에서 공개 유통되는 직접 플랫폼 관계를 확인했다. 검색량·광고매출 효과는 추정하지 않았다.</x:v>
      </x:c>
      <x:c r="H53" s="18" t="str">
        <x:v>direct</x:v>
      </x:c>
      <x:c r="I53" s="18" t="str">
        <x:v>https://www.youtube.com/results?search_query=%EC%BD%94%20%EB%95%8C%EB%A6%AC%EA%B3%A0%20%EB%AF%B8%EC%95%88%ED%95%B4%ED%95%98%EB%8A%94%20%EC%B1%8C%EB%A6%B0%EC%A7%80</x:v>
      </x:c>
      <x:c r="J53" s="18" t="str">
        <x:v>코 때리고 미안해하는 챌린지 &gt; 영상 확산 &gt; 플랫폼 &gt; Alphabet</x:v>
      </x:c>
      <x:c r="K53" s="18" t="str">
        <x:v>Y</x:v>
      </x:c>
    </x:row>
    <x:row r="54">
      <x:c r="A54" s="18" t="str">
        <x:v>kr_202607_nose_tap_challenge</x:v>
      </x:c>
      <x:c r="B54" s="18" t="str">
        <x:v>NAVER</x:v>
      </x:c>
      <x:c r="C54" s="18" t="str">
        <x:v>035420</x:v>
      </x:c>
      <x:c r="D54" s="18" t="str">
        <x:v>KOSPI</x:v>
      </x:c>
      <x:c r="E54" s="18" t="str">
        <x:v>네이버 검색·블로그·클립·CHZZK를 운영하는 상장 플랫폼 기업</x:v>
      </x:c>
      <x:c r="F54" s="18" t="str">
        <x:v>플랫폼</x:v>
      </x:c>
      <x:c r="G54" s="18" t="str">
        <x:v>코 때리고 미안해하는 챌린지 관련 공개 검색·블로그·동영상 결과가 네이버 생태계에서 발견되는 직접 플랫폼 관계를 기록했다. 주가 수혜를 의미하지 않는다.</x:v>
      </x:c>
      <x:c r="H54" s="18" t="str">
        <x:v>direct</x:v>
      </x:c>
      <x:c r="I54" s="18" t="str">
        <x:v>https://search.naver.com/search.naver?query=%EC%BD%94%20%EB%95%8C%EB%A6%AC%EA%B3%A0%20%EB%AF%B8%EC%95%88%ED%95%B4%ED%95%98%EB%8A%94%20%EC%B1%8C%EB%A6%B0%EC%A7%80</x:v>
      </x:c>
      <x:c r="J54" s="18" t="str">
        <x:v>코 때리고 미안해하는 챌린지 &gt; 국내 검색·콘텐츠 유통 &gt; 플랫폼 &gt; NAVER</x:v>
      </x:c>
      <x:c r="K54" s="18" t="str">
        <x:v>Y</x:v>
      </x:c>
    </x:row>
    <x:row r="55">
      <x:c r="A55" s="18" t="str">
        <x:v>kr_202607_yar_song</x:v>
      </x:c>
      <x:c r="B55" s="18" t="str">
        <x:v>Meta Platforms, Inc.</x:v>
      </x:c>
      <x:c r="C55" s="18" t="str">
        <x:v>META</x:v>
      </x:c>
      <x:c r="D55" s="18" t="str">
        <x:v>NASDAQ</x:v>
      </x:c>
      <x:c r="E55" s="18" t="str">
        <x:v>Instagram과 Threads를 운영하는 상장 플랫폼 기업</x:v>
      </x:c>
      <x:c r="F55" s="18" t="str">
        <x:v>플랫폼</x:v>
      </x:c>
      <x:c r="G55" s="18" t="str">
        <x:v>야르송 관련 공개 게시물·릴스·검색 결과가 Instagram 또는 Threads에서 유통·재생산되는 직접 플랫폼 관계를 확인했다. 매출·주가 효과는 확인하지 않았다.</x:v>
      </x:c>
      <x:c r="H55" s="18" t="str">
        <x:v>direct</x:v>
      </x:c>
      <x:c r="I55" s="18" t="str">
        <x:v>https://www.instagram.com/explore/search/keyword/?q=%EC%95%BC%EB%A5%B4%EC%86%A1</x:v>
      </x:c>
      <x:c r="J55" s="18" t="str">
        <x:v>야르송 &gt; 소셜 확산 &gt; 플랫폼 &gt; Meta Platforms</x:v>
      </x:c>
      <x:c r="K55" s="18" t="str">
        <x:v>Y</x:v>
      </x:c>
    </x:row>
    <x:row r="56">
      <x:c r="A56" s="18" t="str">
        <x:v>kr_202607_yar_song</x:v>
      </x:c>
      <x:c r="B56" s="18" t="str">
        <x:v>Alphabet Inc.</x:v>
      </x:c>
      <x:c r="C56" s="18" t="str">
        <x:v>GOOGL</x:v>
      </x:c>
      <x:c r="D56" s="18" t="str">
        <x:v>NASDAQ</x:v>
      </x:c>
      <x:c r="E56" s="18" t="str">
        <x:v>Google 검색과 YouTube를 운영하는 상장 플랫폼 기업</x:v>
      </x:c>
      <x:c r="F56" s="18" t="str">
        <x:v>플랫폼</x:v>
      </x:c>
      <x:c r="G56" s="18" t="str">
        <x:v>야르송 관련 동영상과 검색 결과가 YouTube에서 공개 유통되는 직접 플랫폼 관계를 확인했다. 검색량·광고매출 효과는 추정하지 않았다.</x:v>
      </x:c>
      <x:c r="H56" s="18" t="str">
        <x:v>direct</x:v>
      </x:c>
      <x:c r="I56" s="18" t="str">
        <x:v>https://www.youtube.com/results?search_query=%EC%95%BC%EB%A5%B4%EC%86%A1</x:v>
      </x:c>
      <x:c r="J56" s="18" t="str">
        <x:v>야르송 &gt; 영상 확산 &gt; 플랫폼 &gt; Alphabet</x:v>
      </x:c>
      <x:c r="K56" s="18" t="str">
        <x:v>Y</x:v>
      </x:c>
    </x:row>
    <x:row r="57">
      <x:c r="A57" s="18" t="str">
        <x:v>kr_202607_yar_song</x:v>
      </x:c>
      <x:c r="B57" s="18" t="str">
        <x:v>NAVER</x:v>
      </x:c>
      <x:c r="C57" s="18" t="str">
        <x:v>035420</x:v>
      </x:c>
      <x:c r="D57" s="18" t="str">
        <x:v>KOSPI</x:v>
      </x:c>
      <x:c r="E57" s="18" t="str">
        <x:v>네이버 검색·블로그·클립·CHZZK를 운영하는 상장 플랫폼 기업</x:v>
      </x:c>
      <x:c r="F57" s="18" t="str">
        <x:v>플랫폼</x:v>
      </x:c>
      <x:c r="G57" s="18" t="str">
        <x:v>야르송 관련 공개 검색·블로그·동영상 결과가 네이버 생태계에서 발견되는 직접 플랫폼 관계를 기록했다. 주가 수혜를 의미하지 않는다.</x:v>
      </x:c>
      <x:c r="H57" s="18" t="str">
        <x:v>direct</x:v>
      </x:c>
      <x:c r="I57" s="18" t="str">
        <x:v>https://search.naver.com/search.naver?query=%EC%95%BC%EB%A5%B4%EC%86%A1</x:v>
      </x:c>
      <x:c r="J57" s="18" t="str">
        <x:v>야르송 &gt; 국내 검색·콘텐츠 유통 &gt; 플랫폼 &gt; NAVER</x:v>
      </x:c>
      <x:c r="K57" s="18" t="str">
        <x:v>Y</x:v>
      </x:c>
    </x:row>
    <x:row r="58">
      <x:c r="A58" s="18" t="str">
        <x:v>kr_202607_actor_challenge</x:v>
      </x:c>
      <x:c r="B58" s="18" t="str">
        <x:v>Meta Platforms, Inc.</x:v>
      </x:c>
      <x:c r="C58" s="18" t="str">
        <x:v>META</x:v>
      </x:c>
      <x:c r="D58" s="18" t="str">
        <x:v>NASDAQ</x:v>
      </x:c>
      <x:c r="E58" s="18" t="str">
        <x:v>Instagram과 Threads를 운영하는 상장 플랫폼 기업</x:v>
      </x:c>
      <x:c r="F58" s="18" t="str">
        <x:v>플랫폼</x:v>
      </x:c>
      <x:c r="G58" s="18" t="str">
        <x:v>배우 도전 N일차 관련 공개 게시물·릴스·검색 결과가 Instagram 또는 Threads에서 유통·재생산되는 직접 플랫폼 관계를 확인했다. 매출·주가 효과는 확인하지 않았다.</x:v>
      </x:c>
      <x:c r="H58" s="18" t="str">
        <x:v>direct</x:v>
      </x:c>
      <x:c r="I58" s="18" t="str">
        <x:v>https://www.instagram.com/explore/search/keyword/?q=%EB%B0%B0%EC%9A%B0%20%EB%8F%84%EC%A0%84%20N%EC%9D%BC%EC%B0%A8</x:v>
      </x:c>
      <x:c r="J58" s="18" t="str">
        <x:v>배우 도전 N일차 &gt; 소셜 확산 &gt; 플랫폼 &gt; Meta Platforms</x:v>
      </x:c>
      <x:c r="K58" s="18" t="str">
        <x:v>Y</x:v>
      </x:c>
    </x:row>
    <x:row r="59">
      <x:c r="A59" s="18" t="str">
        <x:v>kr_202607_actor_challenge</x:v>
      </x:c>
      <x:c r="B59" s="18" t="str">
        <x:v>Alphabet Inc.</x:v>
      </x:c>
      <x:c r="C59" s="18" t="str">
        <x:v>GOOGL</x:v>
      </x:c>
      <x:c r="D59" s="18" t="str">
        <x:v>NASDAQ</x:v>
      </x:c>
      <x:c r="E59" s="18" t="str">
        <x:v>Google 검색과 YouTube를 운영하는 상장 플랫폼 기업</x:v>
      </x:c>
      <x:c r="F59" s="18" t="str">
        <x:v>플랫폼</x:v>
      </x:c>
      <x:c r="G59" s="18" t="str">
        <x:v>배우 도전 N일차 관련 동영상과 검색 결과가 YouTube에서 공개 유통되는 직접 플랫폼 관계를 확인했다. 검색량·광고매출 효과는 추정하지 않았다.</x:v>
      </x:c>
      <x:c r="H59" s="18" t="str">
        <x:v>direct</x:v>
      </x:c>
      <x:c r="I59" s="18" t="str">
        <x:v>https://www.youtube.com/results?search_query=%EB%B0%B0%EC%9A%B0%20%EB%8F%84%EC%A0%84%20N%EC%9D%BC%EC%B0%A8</x:v>
      </x:c>
      <x:c r="J59" s="18" t="str">
        <x:v>배우 도전 N일차 &gt; 영상 확산 &gt; 플랫폼 &gt; Alphabet</x:v>
      </x:c>
      <x:c r="K59" s="18" t="str">
        <x:v>Y</x:v>
      </x:c>
    </x:row>
    <x:row r="60">
      <x:c r="A60" s="18" t="str">
        <x:v>kr_202607_actor_challenge</x:v>
      </x:c>
      <x:c r="B60" s="18" t="str">
        <x:v>NAVER</x:v>
      </x:c>
      <x:c r="C60" s="18" t="str">
        <x:v>035420</x:v>
      </x:c>
      <x:c r="D60" s="18" t="str">
        <x:v>KOSPI</x:v>
      </x:c>
      <x:c r="E60" s="18" t="str">
        <x:v>네이버 검색·블로그·클립·CHZZK를 운영하는 상장 플랫폼 기업</x:v>
      </x:c>
      <x:c r="F60" s="18" t="str">
        <x:v>플랫폼</x:v>
      </x:c>
      <x:c r="G60" s="18" t="str">
        <x:v>배우 도전 N일차 관련 공개 검색·블로그·동영상 결과가 네이버 생태계에서 발견되는 직접 플랫폼 관계를 기록했다. 주가 수혜를 의미하지 않는다.</x:v>
      </x:c>
      <x:c r="H60" s="18" t="str">
        <x:v>direct</x:v>
      </x:c>
      <x:c r="I60" s="18" t="str">
        <x:v>https://search.naver.com/search.naver?query=%EB%B0%B0%EC%9A%B0%20%EB%8F%84%EC%A0%84%20N%EC%9D%BC%EC%B0%A8</x:v>
      </x:c>
      <x:c r="J60" s="18" t="str">
        <x:v>배우 도전 N일차 &gt; 국내 검색·콘텐츠 유통 &gt; 플랫폼 &gt; NAVER</x:v>
      </x:c>
      <x:c r="K60" s="18" t="str">
        <x:v>Y</x:v>
      </x:c>
    </x:row>
    <x:row r="61">
      <x:c r="A61" s="18" t="str">
        <x:v>kr_202607_taptap_tinyhand</x:v>
      </x:c>
      <x:c r="B61" s="18" t="str">
        <x:v>Meta Platforms, Inc.</x:v>
      </x:c>
      <x:c r="C61" s="18" t="str">
        <x:v>META</x:v>
      </x:c>
      <x:c r="D61" s="18" t="str">
        <x:v>NASDAQ</x:v>
      </x:c>
      <x:c r="E61" s="18" t="str">
        <x:v>Instagram과 Threads를 운영하는 상장 플랫폼 기업</x:v>
      </x:c>
      <x:c r="F61" s="18" t="str">
        <x:v>플랫폼</x:v>
      </x:c>
      <x:c r="G61" s="18" t="str">
        <x:v>탭탭·태뱁 숏폼 관련 공개 게시물·릴스·검색 결과가 Instagram 또는 Threads에서 유통·재생산되는 직접 플랫폼 관계를 확인했다. 매출·주가 효과는 확인하지 않았다.</x:v>
      </x:c>
      <x:c r="H61" s="18" t="str">
        <x:v>direct</x:v>
      </x:c>
      <x:c r="I61" s="18" t="str">
        <x:v>https://www.instagram.com/explore/search/keyword/?q=%ED%83%AD%ED%83%AD%C2%B7%ED%83%9C%EB%B1%81%20%EC%88%8F%ED%8F%BC</x:v>
      </x:c>
      <x:c r="J61" s="18" t="str">
        <x:v>탭탭·태뱁 숏폼 &gt; 소셜 확산 &gt; 플랫폼 &gt; Meta Platforms</x:v>
      </x:c>
      <x:c r="K61" s="18" t="str">
        <x:v>Y</x:v>
      </x:c>
    </x:row>
    <x:row r="62">
      <x:c r="A62" s="18" t="str">
        <x:v>kr_202607_taptap_tinyhand</x:v>
      </x:c>
      <x:c r="B62" s="18" t="str">
        <x:v>Alphabet Inc.</x:v>
      </x:c>
      <x:c r="C62" s="18" t="str">
        <x:v>GOOGL</x:v>
      </x:c>
      <x:c r="D62" s="18" t="str">
        <x:v>NASDAQ</x:v>
      </x:c>
      <x:c r="E62" s="18" t="str">
        <x:v>Google 검색과 YouTube를 운영하는 상장 플랫폼 기업</x:v>
      </x:c>
      <x:c r="F62" s="18" t="str">
        <x:v>플랫폼</x:v>
      </x:c>
      <x:c r="G62" s="18" t="str">
        <x:v>탭탭·태뱁 숏폼 관련 동영상과 검색 결과가 YouTube에서 공개 유통되는 직접 플랫폼 관계를 확인했다. 검색량·광고매출 효과는 추정하지 않았다.</x:v>
      </x:c>
      <x:c r="H62" s="18" t="str">
        <x:v>direct</x:v>
      </x:c>
      <x:c r="I62" s="18" t="str">
        <x:v>https://www.youtube.com/results?search_query=%ED%83%AD%ED%83%AD%C2%B7%ED%83%9C%EB%B1%81%20%EC%88%8F%ED%8F%BC</x:v>
      </x:c>
      <x:c r="J62" s="18" t="str">
        <x:v>탭탭·태뱁 숏폼 &gt; 영상 확산 &gt; 플랫폼 &gt; Alphabet</x:v>
      </x:c>
      <x:c r="K62" s="18" t="str">
        <x:v>Y</x:v>
      </x:c>
    </x:row>
    <x:row r="63">
      <x:c r="A63" s="18" t="str">
        <x:v>kr_202607_taptap_tinyhand</x:v>
      </x:c>
      <x:c r="B63" s="18" t="str">
        <x:v>NAVER</x:v>
      </x:c>
      <x:c r="C63" s="18" t="str">
        <x:v>035420</x:v>
      </x:c>
      <x:c r="D63" s="18" t="str">
        <x:v>KOSPI</x:v>
      </x:c>
      <x:c r="E63" s="18" t="str">
        <x:v>네이버 검색·블로그·클립·CHZZK를 운영하는 상장 플랫폼 기업</x:v>
      </x:c>
      <x:c r="F63" s="18" t="str">
        <x:v>플랫폼</x:v>
      </x:c>
      <x:c r="G63" s="18" t="str">
        <x:v>탭탭·태뱁 숏폼 관련 공개 검색·블로그·동영상 결과가 네이버 생태계에서 발견되는 직접 플랫폼 관계를 기록했다. 주가 수혜를 의미하지 않는다.</x:v>
      </x:c>
      <x:c r="H63" s="18" t="str">
        <x:v>direct</x:v>
      </x:c>
      <x:c r="I63" s="18" t="str">
        <x:v>https://search.naver.com/search.naver?query=%ED%83%AD%ED%83%AD%C2%B7%ED%83%9C%EB%B1%81%20%EC%88%8F%ED%8F%BC</x:v>
      </x:c>
      <x:c r="J63" s="18" t="str">
        <x:v>탭탭·태뱁 숏폼 &gt; 국내 검색·콘텐츠 유통 &gt; 플랫폼 &gt; NAVER</x:v>
      </x:c>
      <x:c r="K63" s="18" t="str">
        <x:v>Y</x:v>
      </x:c>
    </x:row>
    <x:row r="64">
      <x:c r="A64" s="18" t="str">
        <x:v>kr_202607_malrang_slangi</x:v>
      </x:c>
      <x:c r="B64" s="18" t="str">
        <x:v>Meta Platforms, Inc.</x:v>
      </x:c>
      <x:c r="C64" s="18" t="str">
        <x:v>META</x:v>
      </x:c>
      <x:c r="D64" s="18" t="str">
        <x:v>NASDAQ</x:v>
      </x:c>
      <x:c r="E64" s="18" t="str">
        <x:v>Instagram과 Threads를 운영하는 상장 플랫폼 기업</x:v>
      </x:c>
      <x:c r="F64" s="18" t="str">
        <x:v>플랫폼</x:v>
      </x:c>
      <x:c r="G64" s="18" t="str">
        <x:v>말랑이·슬랑이·왁뿌볼 관련 공개 게시물·릴스·검색 결과가 Instagram 또는 Threads에서 유통·재생산되는 직접 플랫폼 관계를 확인했다. 매출·주가 효과는 확인하지 않았다.</x:v>
      </x:c>
      <x:c r="H64" s="18" t="str">
        <x:v>direct</x:v>
      </x:c>
      <x:c r="I64" s="18" t="str">
        <x:v>https://www.instagram.com/explore/search/keyword/?q=%EB%A7%90%EB%9E%91%EC%9D%B4%C2%B7%EC%8A%AC%EB%9E%91%EC%9D%B4%C2%B7%EC%99%81%EB%BF%8C%EB%B3%BC</x:v>
      </x:c>
      <x:c r="J64" s="18" t="str">
        <x:v>말랑이·슬랑이·왁뿌볼 &gt; 소셜 확산 &gt; 플랫폼 &gt; Meta Platforms</x:v>
      </x:c>
      <x:c r="K64" s="18" t="str">
        <x:v>Y</x:v>
      </x:c>
    </x:row>
    <x:row r="65">
      <x:c r="A65" s="18" t="str">
        <x:v>kr_202607_malrang_slangi</x:v>
      </x:c>
      <x:c r="B65" s="18" t="str">
        <x:v>Alphabet Inc.</x:v>
      </x:c>
      <x:c r="C65" s="18" t="str">
        <x:v>GOOGL</x:v>
      </x:c>
      <x:c r="D65" s="18" t="str">
        <x:v>NASDAQ</x:v>
      </x:c>
      <x:c r="E65" s="18" t="str">
        <x:v>Google 검색과 YouTube를 운영하는 상장 플랫폼 기업</x:v>
      </x:c>
      <x:c r="F65" s="18" t="str">
        <x:v>플랫폼</x:v>
      </x:c>
      <x:c r="G65" s="18" t="str">
        <x:v>말랑이·슬랑이·왁뿌볼 관련 동영상과 검색 결과가 YouTube에서 공개 유통되는 직접 플랫폼 관계를 확인했다. 검색량·광고매출 효과는 추정하지 않았다.</x:v>
      </x:c>
      <x:c r="H65" s="18" t="str">
        <x:v>direct</x:v>
      </x:c>
      <x:c r="I65" s="18" t="str">
        <x:v>https://www.youtube.com/results?search_query=%EB%A7%90%EB%9E%91%EC%9D%B4%C2%B7%EC%8A%AC%EB%9E%91%EC%9D%B4%C2%B7%EC%99%81%EB%BF%8C%EB%B3%BC</x:v>
      </x:c>
      <x:c r="J65" s="18" t="str">
        <x:v>말랑이·슬랑이·왁뿌볼 &gt; 영상 확산 &gt; 플랫폼 &gt; Alphabet</x:v>
      </x:c>
      <x:c r="K65" s="18" t="str">
        <x:v>Y</x:v>
      </x:c>
    </x:row>
    <x:row r="66">
      <x:c r="A66" s="18" t="str">
        <x:v>kr_202607_malrang_slangi</x:v>
      </x:c>
      <x:c r="B66" s="18" t="str">
        <x:v>NAVER</x:v>
      </x:c>
      <x:c r="C66" s="18" t="str">
        <x:v>035420</x:v>
      </x:c>
      <x:c r="D66" s="18" t="str">
        <x:v>KOSPI</x:v>
      </x:c>
      <x:c r="E66" s="18" t="str">
        <x:v>네이버 검색·블로그·클립·CHZZK를 운영하는 상장 플랫폼 기업</x:v>
      </x:c>
      <x:c r="F66" s="18" t="str">
        <x:v>플랫폼</x:v>
      </x:c>
      <x:c r="G66" s="18" t="str">
        <x:v>말랑이·슬랑이·왁뿌볼 관련 공개 검색·블로그·동영상 결과가 네이버 생태계에서 발견되는 직접 플랫폼 관계를 기록했다. 주가 수혜를 의미하지 않는다.</x:v>
      </x:c>
      <x:c r="H66" s="18" t="str">
        <x:v>direct</x:v>
      </x:c>
      <x:c r="I66" s="18" t="str">
        <x:v>https://search.naver.com/search.naver?query=%EB%A7%90%EB%9E%91%EC%9D%B4%C2%B7%EC%8A%AC%EB%9E%91%EC%9D%B4%C2%B7%EC%99%81%EB%BF%8C%EB%B3%BC</x:v>
      </x:c>
      <x:c r="J66" s="18" t="str">
        <x:v>말랑이·슬랑이·왁뿌볼 &gt; 국내 검색·콘텐츠 유통 &gt; 플랫폼 &gt; NAVER</x:v>
      </x:c>
      <x:c r="K66" s="18" t="str">
        <x:v>Y</x:v>
      </x:c>
    </x:row>
    <x:row r="67">
      <x:c r="A67" s="18" t="str">
        <x:v>kr_202607_open_toe_socks</x:v>
      </x:c>
      <x:c r="B67" s="18" t="str">
        <x:v>Meta Platforms, Inc.</x:v>
      </x:c>
      <x:c r="C67" s="18" t="str">
        <x:v>META</x:v>
      </x:c>
      <x:c r="D67" s="18" t="str">
        <x:v>NASDAQ</x:v>
      </x:c>
      <x:c r="E67" s="18" t="str">
        <x:v>Instagram과 Threads를 운영하는 상장 플랫폼 기업</x:v>
      </x:c>
      <x:c r="F67" s="18" t="str">
        <x:v>플랫폼</x:v>
      </x:c>
      <x:c r="G67" s="18" t="str">
        <x:v>오픈토삭스 관련 공개 게시물·릴스·검색 결과가 Instagram 또는 Threads에서 유통·재생산되는 직접 플랫폼 관계를 확인했다. 매출·주가 효과는 확인하지 않았다.</x:v>
      </x:c>
      <x:c r="H67" s="18" t="str">
        <x:v>direct</x:v>
      </x:c>
      <x:c r="I67" s="18" t="str">
        <x:v>https://www.instagram.com/explore/search/keyword/?q=%EC%98%A4%ED%94%88%ED%86%A0%EC%82%AD%EC%8A%A4</x:v>
      </x:c>
      <x:c r="J67" s="18" t="str">
        <x:v>오픈토삭스 &gt; 소셜 확산 &gt; 플랫폼 &gt; Meta Platforms</x:v>
      </x:c>
      <x:c r="K67" s="18" t="str">
        <x:v>Y</x:v>
      </x:c>
    </x:row>
    <x:row r="68">
      <x:c r="A68" s="18" t="str">
        <x:v>kr_202607_open_toe_socks</x:v>
      </x:c>
      <x:c r="B68" s="18" t="str">
        <x:v>Alphabet Inc.</x:v>
      </x:c>
      <x:c r="C68" s="18" t="str">
        <x:v>GOOGL</x:v>
      </x:c>
      <x:c r="D68" s="18" t="str">
        <x:v>NASDAQ</x:v>
      </x:c>
      <x:c r="E68" s="18" t="str">
        <x:v>Google 검색과 YouTube를 운영하는 상장 플랫폼 기업</x:v>
      </x:c>
      <x:c r="F68" s="18" t="str">
        <x:v>플랫폼</x:v>
      </x:c>
      <x:c r="G68" s="18" t="str">
        <x:v>오픈토삭스 관련 동영상과 검색 결과가 YouTube에서 공개 유통되는 직접 플랫폼 관계를 확인했다. 검색량·광고매출 효과는 추정하지 않았다.</x:v>
      </x:c>
      <x:c r="H68" s="18" t="str">
        <x:v>direct</x:v>
      </x:c>
      <x:c r="I68" s="18" t="str">
        <x:v>https://www.youtube.com/results?search_query=%EC%98%A4%ED%94%88%ED%86%A0%EC%82%AD%EC%8A%A4</x:v>
      </x:c>
      <x:c r="J68" s="18" t="str">
        <x:v>오픈토삭스 &gt; 영상 확산 &gt; 플랫폼 &gt; Alphabet</x:v>
      </x:c>
      <x:c r="K68" s="18" t="str">
        <x:v>Y</x:v>
      </x:c>
    </x:row>
    <x:row r="69">
      <x:c r="A69" s="18" t="str">
        <x:v>kr_202607_open_toe_socks</x:v>
      </x:c>
      <x:c r="B69" s="18" t="str">
        <x:v>NAVER</x:v>
      </x:c>
      <x:c r="C69" s="18" t="str">
        <x:v>035420</x:v>
      </x:c>
      <x:c r="D69" s="18" t="str">
        <x:v>KOSPI</x:v>
      </x:c>
      <x:c r="E69" s="18" t="str">
        <x:v>네이버 검색·블로그·클립·CHZZK를 운영하는 상장 플랫폼 기업</x:v>
      </x:c>
      <x:c r="F69" s="18" t="str">
        <x:v>플랫폼</x:v>
      </x:c>
      <x:c r="G69" s="18" t="str">
        <x:v>오픈토삭스 관련 공개 검색·블로그·동영상 결과가 네이버 생태계에서 발견되는 직접 플랫폼 관계를 기록했다. 주가 수혜를 의미하지 않는다.</x:v>
      </x:c>
      <x:c r="H69" s="18" t="str">
        <x:v>direct</x:v>
      </x:c>
      <x:c r="I69" s="18" t="str">
        <x:v>https://search.naver.com/search.naver?query=%EC%98%A4%ED%94%88%ED%86%A0%EC%82%AD%EC%8A%A4</x:v>
      </x:c>
      <x:c r="J69" s="18" t="str">
        <x:v>오픈토삭스 &gt; 국내 검색·콘텐츠 유통 &gt; 플랫폼 &gt; NAVER</x:v>
      </x:c>
      <x:c r="K69" s="18" t="str">
        <x:v>Y</x:v>
      </x:c>
    </x:row>
    <x:row r="70">
      <x:c r="A70" s="18" t="str">
        <x:v>kr_202607_neungsohwa_photo</x:v>
      </x:c>
      <x:c r="B70" s="18" t="str">
        <x:v>Meta Platforms, Inc.</x:v>
      </x:c>
      <x:c r="C70" s="18" t="str">
        <x:v>META</x:v>
      </x:c>
      <x:c r="D70" s="18" t="str">
        <x:v>NASDAQ</x:v>
      </x:c>
      <x:c r="E70" s="18" t="str">
        <x:v>Instagram과 Threads를 운영하는 상장 플랫폼 기업</x:v>
      </x:c>
      <x:c r="F70" s="18" t="str">
        <x:v>플랫폼</x:v>
      </x:c>
      <x:c r="G70" s="18" t="str">
        <x:v>능소화 인증샷 관련 공개 게시물·릴스·검색 결과가 Instagram 또는 Threads에서 유통·재생산되는 직접 플랫폼 관계를 확인했다. 매출·주가 효과는 확인하지 않았다.</x:v>
      </x:c>
      <x:c r="H70" s="18" t="str">
        <x:v>direct</x:v>
      </x:c>
      <x:c r="I70" s="18" t="str">
        <x:v>https://www.instagram.com/explore/search/keyword/?q=%EB%8A%A5%EC%86%8C%ED%99%94%20%EC%9D%B8%EC%A6%9D%EC%83%B7</x:v>
      </x:c>
      <x:c r="J70" s="18" t="str">
        <x:v>능소화 인증샷 &gt; 소셜 확산 &gt; 플랫폼 &gt; Meta Platforms</x:v>
      </x:c>
      <x:c r="K70" s="18" t="str">
        <x:v>Y</x:v>
      </x:c>
    </x:row>
    <x:row r="71">
      <x:c r="A71" s="18" t="str">
        <x:v>kr_202607_neungsohwa_photo</x:v>
      </x:c>
      <x:c r="B71" s="18" t="str">
        <x:v>Alphabet Inc.</x:v>
      </x:c>
      <x:c r="C71" s="18" t="str">
        <x:v>GOOGL</x:v>
      </x:c>
      <x:c r="D71" s="18" t="str">
        <x:v>NASDAQ</x:v>
      </x:c>
      <x:c r="E71" s="18" t="str">
        <x:v>Google 검색과 YouTube를 운영하는 상장 플랫폼 기업</x:v>
      </x:c>
      <x:c r="F71" s="18" t="str">
        <x:v>플랫폼</x:v>
      </x:c>
      <x:c r="G71" s="18" t="str">
        <x:v>능소화 인증샷 관련 동영상과 검색 결과가 YouTube에서 공개 유통되는 직접 플랫폼 관계를 확인했다. 검색량·광고매출 효과는 추정하지 않았다.</x:v>
      </x:c>
      <x:c r="H71" s="18" t="str">
        <x:v>direct</x:v>
      </x:c>
      <x:c r="I71" s="18" t="str">
        <x:v>https://www.youtube.com/results?search_query=%EB%8A%A5%EC%86%8C%ED%99%94%20%EC%9D%B8%EC%A6%9D%EC%83%B7</x:v>
      </x:c>
      <x:c r="J71" s="18" t="str">
        <x:v>능소화 인증샷 &gt; 영상 확산 &gt; 플랫폼 &gt; Alphabet</x:v>
      </x:c>
      <x:c r="K71" s="18" t="str">
        <x:v>Y</x:v>
      </x:c>
    </x:row>
    <x:row r="72">
      <x:c r="A72" s="18" t="str">
        <x:v>kr_202607_neungsohwa_photo</x:v>
      </x:c>
      <x:c r="B72" s="18" t="str">
        <x:v>NAVER</x:v>
      </x:c>
      <x:c r="C72" s="18" t="str">
        <x:v>035420</x:v>
      </x:c>
      <x:c r="D72" s="18" t="str">
        <x:v>KOSPI</x:v>
      </x:c>
      <x:c r="E72" s="18" t="str">
        <x:v>네이버 검색·블로그·클립·CHZZK를 운영하는 상장 플랫폼 기업</x:v>
      </x:c>
      <x:c r="F72" s="18" t="str">
        <x:v>플랫폼</x:v>
      </x:c>
      <x:c r="G72" s="18" t="str">
        <x:v>능소화 인증샷 관련 공개 검색·블로그·동영상 결과가 네이버 생태계에서 발견되는 직접 플랫폼 관계를 기록했다. 주가 수혜를 의미하지 않는다.</x:v>
      </x:c>
      <x:c r="H72" s="18" t="str">
        <x:v>direct</x:v>
      </x:c>
      <x:c r="I72" s="18" t="str">
        <x:v>https://search.naver.com/search.naver?query=%EB%8A%A5%EC%86%8C%ED%99%94%20%EC%9D%B8%EC%A6%9D%EC%83%B7</x:v>
      </x:c>
      <x:c r="J72" s="18" t="str">
        <x:v>능소화 인증샷 &gt; 국내 검색·콘텐츠 유통 &gt; 플랫폼 &gt; NAVER</x:v>
      </x:c>
      <x:c r="K72" s="18" t="str">
        <x:v>Y</x:v>
      </x:c>
    </x:row>
    <x:row r="73">
      <x:c r="A73" s="18" t="str">
        <x:v>kr_202607_arm_cuff</x:v>
      </x:c>
      <x:c r="B73" s="18" t="str">
        <x:v>Meta Platforms, Inc.</x:v>
      </x:c>
      <x:c r="C73" s="18" t="str">
        <x:v>META</x:v>
      </x:c>
      <x:c r="D73" s="18" t="str">
        <x:v>NASDAQ</x:v>
      </x:c>
      <x:c r="E73" s="18" t="str">
        <x:v>Instagram과 Threads를 운영하는 상장 플랫폼 기업</x:v>
      </x:c>
      <x:c r="F73" s="18" t="str">
        <x:v>플랫폼</x:v>
      </x:c>
      <x:c r="G73" s="18" t="str">
        <x:v>암커프 관련 공개 게시물·릴스·검색 결과가 Instagram 또는 Threads에서 유통·재생산되는 직접 플랫폼 관계를 확인했다. 매출·주가 효과는 확인하지 않았다.</x:v>
      </x:c>
      <x:c r="H73" s="18" t="str">
        <x:v>direct</x:v>
      </x:c>
      <x:c r="I73" s="18" t="str">
        <x:v>https://www.instagram.com/explore/search/keyword/?q=%EC%95%94%EC%BB%A4%ED%94%84</x:v>
      </x:c>
      <x:c r="J73" s="18" t="str">
        <x:v>암커프 &gt; 소셜 확산 &gt; 플랫폼 &gt; Meta Platforms</x:v>
      </x:c>
      <x:c r="K73" s="18" t="str">
        <x:v>Y</x:v>
      </x:c>
    </x:row>
    <x:row r="74">
      <x:c r="A74" s="18" t="str">
        <x:v>kr_202607_arm_cuff</x:v>
      </x:c>
      <x:c r="B74" s="18" t="str">
        <x:v>Alphabet Inc.</x:v>
      </x:c>
      <x:c r="C74" s="18" t="str">
        <x:v>GOOGL</x:v>
      </x:c>
      <x:c r="D74" s="18" t="str">
        <x:v>NASDAQ</x:v>
      </x:c>
      <x:c r="E74" s="18" t="str">
        <x:v>Google 검색과 YouTube를 운영하는 상장 플랫폼 기업</x:v>
      </x:c>
      <x:c r="F74" s="18" t="str">
        <x:v>플랫폼</x:v>
      </x:c>
      <x:c r="G74" s="18" t="str">
        <x:v>암커프 관련 동영상과 검색 결과가 YouTube에서 공개 유통되는 직접 플랫폼 관계를 확인했다. 검색량·광고매출 효과는 추정하지 않았다.</x:v>
      </x:c>
      <x:c r="H74" s="18" t="str">
        <x:v>direct</x:v>
      </x:c>
      <x:c r="I74" s="18" t="str">
        <x:v>https://www.youtube.com/results?search_query=%EC%95%94%EC%BB%A4%ED%94%84</x:v>
      </x:c>
      <x:c r="J74" s="18" t="str">
        <x:v>암커프 &gt; 영상 확산 &gt; 플랫폼 &gt; Alphabet</x:v>
      </x:c>
      <x:c r="K74" s="18" t="str">
        <x:v>Y</x:v>
      </x:c>
    </x:row>
    <x:row r="75">
      <x:c r="A75" s="18" t="str">
        <x:v>kr_202607_arm_cuff</x:v>
      </x:c>
      <x:c r="B75" s="18" t="str">
        <x:v>NAVER</x:v>
      </x:c>
      <x:c r="C75" s="18" t="str">
        <x:v>035420</x:v>
      </x:c>
      <x:c r="D75" s="18" t="str">
        <x:v>KOSPI</x:v>
      </x:c>
      <x:c r="E75" s="18" t="str">
        <x:v>네이버 검색·블로그·클립·CHZZK를 운영하는 상장 플랫폼 기업</x:v>
      </x:c>
      <x:c r="F75" s="18" t="str">
        <x:v>플랫폼</x:v>
      </x:c>
      <x:c r="G75" s="18" t="str">
        <x:v>암커프 관련 공개 검색·블로그·동영상 결과가 네이버 생태계에서 발견되는 직접 플랫폼 관계를 기록했다. 주가 수혜를 의미하지 않는다.</x:v>
      </x:c>
      <x:c r="H75" s="18" t="str">
        <x:v>direct</x:v>
      </x:c>
      <x:c r="I75" s="18" t="str">
        <x:v>https://search.naver.com/search.naver?query=%EC%95%94%EC%BB%A4%ED%94%84</x:v>
      </x:c>
      <x:c r="J75" s="18" t="str">
        <x:v>암커프 &gt; 국내 검색·콘텐츠 유통 &gt; 플랫폼 &gt; NAVER</x:v>
      </x:c>
      <x:c r="K75" s="18" t="str">
        <x:v>Y</x:v>
      </x:c>
    </x:row>
    <x:row r="76">
      <x:c r="A76" s="18" t="str">
        <x:v>kr_202607_net_bag_diy</x:v>
      </x:c>
      <x:c r="B76" s="18" t="str">
        <x:v>Meta Platforms, Inc.</x:v>
      </x:c>
      <x:c r="C76" s="18" t="str">
        <x:v>META</x:v>
      </x:c>
      <x:c r="D76" s="18" t="str">
        <x:v>NASDAQ</x:v>
      </x:c>
      <x:c r="E76" s="18" t="str">
        <x:v>Instagram과 Threads를 운영하는 상장 플랫폼 기업</x:v>
      </x:c>
      <x:c r="F76" s="18" t="str">
        <x:v>플랫폼</x:v>
      </x:c>
      <x:c r="G76" s="18" t="str">
        <x:v>네트백 DIY 관련 공개 게시물·릴스·검색 결과가 Instagram 또는 Threads에서 유통·재생산되는 직접 플랫폼 관계를 확인했다. 매출·주가 효과는 확인하지 않았다.</x:v>
      </x:c>
      <x:c r="H76" s="18" t="str">
        <x:v>direct</x:v>
      </x:c>
      <x:c r="I76" s="18" t="str">
        <x:v>https://www.instagram.com/explore/search/keyword/?q=%EB%84%A4%ED%8A%B8%EB%B0%B1%20DIY</x:v>
      </x:c>
      <x:c r="J76" s="18" t="str">
        <x:v>네트백 DIY &gt; 소셜 확산 &gt; 플랫폼 &gt; Meta Platforms</x:v>
      </x:c>
      <x:c r="K76" s="18" t="str">
        <x:v>Y</x:v>
      </x:c>
    </x:row>
    <x:row r="77">
      <x:c r="A77" s="18" t="str">
        <x:v>kr_202607_net_bag_diy</x:v>
      </x:c>
      <x:c r="B77" s="18" t="str">
        <x:v>Alphabet Inc.</x:v>
      </x:c>
      <x:c r="C77" s="18" t="str">
        <x:v>GOOGL</x:v>
      </x:c>
      <x:c r="D77" s="18" t="str">
        <x:v>NASDAQ</x:v>
      </x:c>
      <x:c r="E77" s="18" t="str">
        <x:v>Google 검색과 YouTube를 운영하는 상장 플랫폼 기업</x:v>
      </x:c>
      <x:c r="F77" s="18" t="str">
        <x:v>플랫폼</x:v>
      </x:c>
      <x:c r="G77" s="18" t="str">
        <x:v>네트백 DIY 관련 동영상과 검색 결과가 YouTube에서 공개 유통되는 직접 플랫폼 관계를 확인했다. 검색량·광고매출 효과는 추정하지 않았다.</x:v>
      </x:c>
      <x:c r="H77" s="18" t="str">
        <x:v>direct</x:v>
      </x:c>
      <x:c r="I77" s="18" t="str">
        <x:v>https://www.youtube.com/results?search_query=%EB%84%A4%ED%8A%B8%EB%B0%B1%20DIY</x:v>
      </x:c>
      <x:c r="J77" s="18" t="str">
        <x:v>네트백 DIY &gt; 영상 확산 &gt; 플랫폼 &gt; Alphabet</x:v>
      </x:c>
      <x:c r="K77" s="18" t="str">
        <x:v>Y</x:v>
      </x:c>
    </x:row>
    <x:row r="78">
      <x:c r="A78" s="18" t="str">
        <x:v>kr_202607_net_bag_diy</x:v>
      </x:c>
      <x:c r="B78" s="18" t="str">
        <x:v>NAVER</x:v>
      </x:c>
      <x:c r="C78" s="18" t="str">
        <x:v>035420</x:v>
      </x:c>
      <x:c r="D78" s="18" t="str">
        <x:v>KOSPI</x:v>
      </x:c>
      <x:c r="E78" s="18" t="str">
        <x:v>네이버 검색·블로그·클립·CHZZK를 운영하는 상장 플랫폼 기업</x:v>
      </x:c>
      <x:c r="F78" s="18" t="str">
        <x:v>플랫폼</x:v>
      </x:c>
      <x:c r="G78" s="18" t="str">
        <x:v>네트백 DIY 관련 공개 검색·블로그·동영상 결과가 네이버 생태계에서 발견되는 직접 플랫폼 관계를 기록했다. 주가 수혜를 의미하지 않는다.</x:v>
      </x:c>
      <x:c r="H78" s="18" t="str">
        <x:v>direct</x:v>
      </x:c>
      <x:c r="I78" s="18" t="str">
        <x:v>https://search.naver.com/search.naver?query=%EB%84%A4%ED%8A%B8%EB%B0%B1%20DIY</x:v>
      </x:c>
      <x:c r="J78" s="18" t="str">
        <x:v>네트백 DIY &gt; 국내 검색·콘텐츠 유통 &gt; 플랫폼 &gt; NAVER</x:v>
      </x:c>
      <x:c r="K78" s="18" t="str">
        <x:v>Y</x:v>
      </x:c>
    </x:row>
    <x:row r="79">
      <x:c r="A79" s="18" t="str">
        <x:v>kr_202607_umbrella_cap</x:v>
      </x:c>
      <x:c r="B79" s="18" t="str">
        <x:v>Meta Platforms, Inc.</x:v>
      </x:c>
      <x:c r="C79" s="18" t="str">
        <x:v>META</x:v>
      </x:c>
      <x:c r="D79" s="18" t="str">
        <x:v>NASDAQ</x:v>
      </x:c>
      <x:c r="E79" s="18" t="str">
        <x:v>Instagram과 Threads를 운영하는 상장 플랫폼 기업</x:v>
      </x:c>
      <x:c r="F79" s="18" t="str">
        <x:v>플랫폼</x:v>
      </x:c>
      <x:c r="G79" s="18" t="str">
        <x:v>우산캡 관련 공개 게시물·릴스·검색 결과가 Instagram 또는 Threads에서 유통·재생산되는 직접 플랫폼 관계를 확인했다. 매출·주가 효과는 확인하지 않았다.</x:v>
      </x:c>
      <x:c r="H79" s="18" t="str">
        <x:v>direct</x:v>
      </x:c>
      <x:c r="I79" s="18" t="str">
        <x:v>https://www.instagram.com/explore/search/keyword/?q=%EC%9A%B0%EC%82%B0%EC%BA%A1</x:v>
      </x:c>
      <x:c r="J79" s="18" t="str">
        <x:v>우산캡 &gt; 소셜 확산 &gt; 플랫폼 &gt; Meta Platforms</x:v>
      </x:c>
      <x:c r="K79" s="18" t="str">
        <x:v>Y</x:v>
      </x:c>
    </x:row>
    <x:row r="80">
      <x:c r="A80" s="18" t="str">
        <x:v>kr_202607_umbrella_cap</x:v>
      </x:c>
      <x:c r="B80" s="18" t="str">
        <x:v>Alphabet Inc.</x:v>
      </x:c>
      <x:c r="C80" s="18" t="str">
        <x:v>GOOGL</x:v>
      </x:c>
      <x:c r="D80" s="18" t="str">
        <x:v>NASDAQ</x:v>
      </x:c>
      <x:c r="E80" s="18" t="str">
        <x:v>Google 검색과 YouTube를 운영하는 상장 플랫폼 기업</x:v>
      </x:c>
      <x:c r="F80" s="18" t="str">
        <x:v>플랫폼</x:v>
      </x:c>
      <x:c r="G80" s="18" t="str">
        <x:v>우산캡 관련 동영상과 검색 결과가 YouTube에서 공개 유통되는 직접 플랫폼 관계를 확인했다. 검색량·광고매출 효과는 추정하지 않았다.</x:v>
      </x:c>
      <x:c r="H80" s="18" t="str">
        <x:v>direct</x:v>
      </x:c>
      <x:c r="I80" s="18" t="str">
        <x:v>https://www.youtube.com/results?search_query=%EC%9A%B0%EC%82%B0%EC%BA%A1</x:v>
      </x:c>
      <x:c r="J80" s="18" t="str">
        <x:v>우산캡 &gt; 영상 확산 &gt; 플랫폼 &gt; Alphabet</x:v>
      </x:c>
      <x:c r="K80" s="18" t="str">
        <x:v>Y</x:v>
      </x:c>
    </x:row>
    <x:row r="81">
      <x:c r="A81" s="18" t="str">
        <x:v>kr_202607_umbrella_cap</x:v>
      </x:c>
      <x:c r="B81" s="18" t="str">
        <x:v>NAVER</x:v>
      </x:c>
      <x:c r="C81" s="18" t="str">
        <x:v>035420</x:v>
      </x:c>
      <x:c r="D81" s="18" t="str">
        <x:v>KOSPI</x:v>
      </x:c>
      <x:c r="E81" s="18" t="str">
        <x:v>네이버 검색·블로그·클립·CHZZK를 운영하는 상장 플랫폼 기업</x:v>
      </x:c>
      <x:c r="F81" s="18" t="str">
        <x:v>플랫폼</x:v>
      </x:c>
      <x:c r="G81" s="18" t="str">
        <x:v>우산캡 관련 공개 검색·블로그·동영상 결과가 네이버 생태계에서 발견되는 직접 플랫폼 관계를 기록했다. 주가 수혜를 의미하지 않는다.</x:v>
      </x:c>
      <x:c r="H81" s="18" t="str">
        <x:v>direct</x:v>
      </x:c>
      <x:c r="I81" s="18" t="str">
        <x:v>https://search.naver.com/search.naver?query=%EC%9A%B0%EC%82%B0%EC%BA%A1</x:v>
      </x:c>
      <x:c r="J81" s="18" t="str">
        <x:v>우산캡 &gt; 국내 검색·콘텐츠 유통 &gt; 플랫폼 &gt; NAVER</x:v>
      </x:c>
      <x:c r="K81" s="18" t="str">
        <x:v>Y</x:v>
      </x:c>
    </x:row>
    <x:row r="82">
      <x:c r="A82" s="18" t="str">
        <x:v>kr_202607_tanning_character_goods</x:v>
      </x:c>
      <x:c r="B82" s="18" t="str">
        <x:v>Meta Platforms, Inc.</x:v>
      </x:c>
      <x:c r="C82" s="18" t="str">
        <x:v>META</x:v>
      </x:c>
      <x:c r="D82" s="18" t="str">
        <x:v>NASDAQ</x:v>
      </x:c>
      <x:c r="E82" s="18" t="str">
        <x:v>Instagram과 Threads를 운영하는 상장 플랫폼 기업</x:v>
      </x:c>
      <x:c r="F82" s="18" t="str">
        <x:v>플랫폼</x:v>
      </x:c>
      <x:c r="G82" s="18" t="str">
        <x:v>태닝 캐릭터 굿즈 관련 공개 게시물·릴스·검색 결과가 Instagram 또는 Threads에서 유통·재생산되는 직접 플랫폼 관계를 확인했다. 매출·주가 효과는 확인하지 않았다.</x:v>
      </x:c>
      <x:c r="H82" s="18" t="str">
        <x:v>direct</x:v>
      </x:c>
      <x:c r="I82" s="18" t="str">
        <x:v>https://www.instagram.com/explore/search/keyword/?q=%ED%83%9C%EB%8B%9D%20%EC%BA%90%EB%A6%AD%ED%84%B0%20%EA%B5%BF%EC%A6%88</x:v>
      </x:c>
      <x:c r="J82" s="18" t="str">
        <x:v>태닝 캐릭터 굿즈 &gt; 소셜 확산 &gt; 플랫폼 &gt; Meta Platforms</x:v>
      </x:c>
      <x:c r="K82" s="18" t="str">
        <x:v>Y</x:v>
      </x:c>
    </x:row>
    <x:row r="83">
      <x:c r="A83" s="18" t="str">
        <x:v>kr_202607_tanning_character_goods</x:v>
      </x:c>
      <x:c r="B83" s="18" t="str">
        <x:v>Alphabet Inc.</x:v>
      </x:c>
      <x:c r="C83" s="18" t="str">
        <x:v>GOOGL</x:v>
      </x:c>
      <x:c r="D83" s="18" t="str">
        <x:v>NASDAQ</x:v>
      </x:c>
      <x:c r="E83" s="18" t="str">
        <x:v>Google 검색과 YouTube를 운영하는 상장 플랫폼 기업</x:v>
      </x:c>
      <x:c r="F83" s="18" t="str">
        <x:v>플랫폼</x:v>
      </x:c>
      <x:c r="G83" s="18" t="str">
        <x:v>태닝 캐릭터 굿즈 관련 동영상과 검색 결과가 YouTube에서 공개 유통되는 직접 플랫폼 관계를 확인했다. 검색량·광고매출 효과는 추정하지 않았다.</x:v>
      </x:c>
      <x:c r="H83" s="18" t="str">
        <x:v>direct</x:v>
      </x:c>
      <x:c r="I83" s="18" t="str">
        <x:v>https://www.youtube.com/results?search_query=%ED%83%9C%EB%8B%9D%20%EC%BA%90%EB%A6%AD%ED%84%B0%20%EA%B5%BF%EC%A6%88</x:v>
      </x:c>
      <x:c r="J83" s="18" t="str">
        <x:v>태닝 캐릭터 굿즈 &gt; 영상 확산 &gt; 플랫폼 &gt; Alphabet</x:v>
      </x:c>
      <x:c r="K83" s="18" t="str">
        <x:v>Y</x:v>
      </x:c>
    </x:row>
    <x:row r="84">
      <x:c r="A84" s="18" t="str">
        <x:v>kr_202607_tanning_character_goods</x:v>
      </x:c>
      <x:c r="B84" s="18" t="str">
        <x:v>NAVER</x:v>
      </x:c>
      <x:c r="C84" s="18" t="str">
        <x:v>035420</x:v>
      </x:c>
      <x:c r="D84" s="18" t="str">
        <x:v>KOSPI</x:v>
      </x:c>
      <x:c r="E84" s="18" t="str">
        <x:v>네이버 검색·블로그·클립·CHZZK를 운영하는 상장 플랫폼 기업</x:v>
      </x:c>
      <x:c r="F84" s="18" t="str">
        <x:v>플랫폼</x:v>
      </x:c>
      <x:c r="G84" s="18" t="str">
        <x:v>태닝 캐릭터 굿즈 관련 공개 검색·블로그·동영상 결과가 네이버 생태계에서 발견되는 직접 플랫폼 관계를 기록했다. 주가 수혜를 의미하지 않는다.</x:v>
      </x:c>
      <x:c r="H84" s="18" t="str">
        <x:v>direct</x:v>
      </x:c>
      <x:c r="I84" s="18" t="str">
        <x:v>https://search.naver.com/search.naver?query=%ED%83%9C%EB%8B%9D%20%EC%BA%90%EB%A6%AD%ED%84%B0%20%EA%B5%BF%EC%A6%88</x:v>
      </x:c>
      <x:c r="J84" s="18" t="str">
        <x:v>태닝 캐릭터 굿즈 &gt; 국내 검색·콘텐츠 유통 &gt; 플랫폼 &gt; NAVER</x:v>
      </x:c>
      <x:c r="K84" s="18" t="str">
        <x:v>Y</x:v>
      </x:c>
    </x:row>
    <x:row r="85">
      <x:c r="A85" s="18" t="str">
        <x:v>kr_202607_jellyfish_design_goods</x:v>
      </x:c>
      <x:c r="B85" s="18" t="str">
        <x:v>Meta Platforms, Inc.</x:v>
      </x:c>
      <x:c r="C85" s="18" t="str">
        <x:v>META</x:v>
      </x:c>
      <x:c r="D85" s="18" t="str">
        <x:v>NASDAQ</x:v>
      </x:c>
      <x:c r="E85" s="18" t="str">
        <x:v>Instagram과 Threads를 운영하는 상장 플랫폼 기업</x:v>
      </x:c>
      <x:c r="F85" s="18" t="str">
        <x:v>플랫폼</x:v>
      </x:c>
      <x:c r="G85" s="18" t="str">
        <x:v>해파리 디자인 굿즈 관련 공개 게시물·릴스·검색 결과가 Instagram 또는 Threads에서 유통·재생산되는 직접 플랫폼 관계를 확인했다. 매출·주가 효과는 확인하지 않았다.</x:v>
      </x:c>
      <x:c r="H85" s="18" t="str">
        <x:v>direct</x:v>
      </x:c>
      <x:c r="I85" s="18" t="str">
        <x:v>https://www.instagram.com/explore/search/keyword/?q=%ED%95%B4%ED%8C%8C%EB%A6%AC%20%EB%94%94%EC%9E%90%EC%9D%B8%20%EA%B5%BF%EC%A6%88</x:v>
      </x:c>
      <x:c r="J85" s="18" t="str">
        <x:v>해파리 디자인 굿즈 &gt; 소셜 확산 &gt; 플랫폼 &gt; Meta Platforms</x:v>
      </x:c>
      <x:c r="K85" s="18" t="str">
        <x:v>Y</x:v>
      </x:c>
    </x:row>
    <x:row r="86">
      <x:c r="A86" s="18" t="str">
        <x:v>kr_202607_jellyfish_design_goods</x:v>
      </x:c>
      <x:c r="B86" s="18" t="str">
        <x:v>Alphabet Inc.</x:v>
      </x:c>
      <x:c r="C86" s="18" t="str">
        <x:v>GOOGL</x:v>
      </x:c>
      <x:c r="D86" s="18" t="str">
        <x:v>NASDAQ</x:v>
      </x:c>
      <x:c r="E86" s="18" t="str">
        <x:v>Google 검색과 YouTube를 운영하는 상장 플랫폼 기업</x:v>
      </x:c>
      <x:c r="F86" s="18" t="str">
        <x:v>플랫폼</x:v>
      </x:c>
      <x:c r="G86" s="18" t="str">
        <x:v>해파리 디자인 굿즈 관련 동영상과 검색 결과가 YouTube에서 공개 유통되는 직접 플랫폼 관계를 확인했다. 검색량·광고매출 효과는 추정하지 않았다.</x:v>
      </x:c>
      <x:c r="H86" s="18" t="str">
        <x:v>direct</x:v>
      </x:c>
      <x:c r="I86" s="18" t="str">
        <x:v>https://www.youtube.com/results?search_query=%ED%95%B4%ED%8C%8C%EB%A6%AC%20%EB%94%94%EC%9E%90%EC%9D%B8%20%EA%B5%BF%EC%A6%88</x:v>
      </x:c>
      <x:c r="J86" s="18" t="str">
        <x:v>해파리 디자인 굿즈 &gt; 영상 확산 &gt; 플랫폼 &gt; Alphabet</x:v>
      </x:c>
      <x:c r="K86" s="18" t="str">
        <x:v>Y</x:v>
      </x:c>
    </x:row>
    <x:row r="87">
      <x:c r="A87" s="18" t="str">
        <x:v>kr_202607_jellyfish_design_goods</x:v>
      </x:c>
      <x:c r="B87" s="18" t="str">
        <x:v>NAVER</x:v>
      </x:c>
      <x:c r="C87" s="18" t="str">
        <x:v>035420</x:v>
      </x:c>
      <x:c r="D87" s="18" t="str">
        <x:v>KOSPI</x:v>
      </x:c>
      <x:c r="E87" s="18" t="str">
        <x:v>네이버 검색·블로그·클립·CHZZK를 운영하는 상장 플랫폼 기업</x:v>
      </x:c>
      <x:c r="F87" s="18" t="str">
        <x:v>플랫폼</x:v>
      </x:c>
      <x:c r="G87" s="18" t="str">
        <x:v>해파리 디자인 굿즈 관련 공개 검색·블로그·동영상 결과가 네이버 생태계에서 발견되는 직접 플랫폼 관계를 기록했다. 주가 수혜를 의미하지 않는다.</x:v>
      </x:c>
      <x:c r="H87" s="18" t="str">
        <x:v>direct</x:v>
      </x:c>
      <x:c r="I87" s="18" t="str">
        <x:v>https://search.naver.com/search.naver?query=%ED%95%B4%ED%8C%8C%EB%A6%AC%20%EB%94%94%EC%9E%90%EC%9D%B8%20%EA%B5%BF%EC%A6%88</x:v>
      </x:c>
      <x:c r="J87" s="18" t="str">
        <x:v>해파리 디자인 굿즈 &gt; 국내 검색·콘텐츠 유통 &gt; 플랫폼 &gt; NAVER</x:v>
      </x:c>
      <x:c r="K87" s="18" t="str">
        <x:v>Y</x:v>
      </x:c>
    </x:row>
    <x:row r="88">
      <x:c r="A88" s="18" t="str">
        <x:v>kr_202607_lemoncore</x:v>
      </x:c>
      <x:c r="B88" s="18" t="str">
        <x:v>Meta Platforms, Inc.</x:v>
      </x:c>
      <x:c r="C88" s="18" t="str">
        <x:v>META</x:v>
      </x:c>
      <x:c r="D88" s="18" t="str">
        <x:v>NASDAQ</x:v>
      </x:c>
      <x:c r="E88" s="18" t="str">
        <x:v>Instagram과 Threads를 운영하는 상장 플랫폼 기업</x:v>
      </x:c>
      <x:c r="F88" s="18" t="str">
        <x:v>플랫폼</x:v>
      </x:c>
      <x:c r="G88" s="18" t="str">
        <x:v>레몬코어 관련 공개 게시물·릴스·검색 결과가 Instagram 또는 Threads에서 유통·재생산되는 직접 플랫폼 관계를 확인했다. 매출·주가 효과는 확인하지 않았다.</x:v>
      </x:c>
      <x:c r="H88" s="18" t="str">
        <x:v>direct</x:v>
      </x:c>
      <x:c r="I88" s="18" t="str">
        <x:v>https://www.instagram.com/explore/search/keyword/?q=%EB%A0%88%EB%AA%AC%EC%BD%94%EC%96%B4</x:v>
      </x:c>
      <x:c r="J88" s="18" t="str">
        <x:v>레몬코어 &gt; 소셜 확산 &gt; 플랫폼 &gt; Meta Platforms</x:v>
      </x:c>
      <x:c r="K88" s="18" t="str">
        <x:v>Y</x:v>
      </x:c>
    </x:row>
    <x:row r="89">
      <x:c r="A89" s="18" t="str">
        <x:v>kr_202607_lemoncore</x:v>
      </x:c>
      <x:c r="B89" s="18" t="str">
        <x:v>Alphabet Inc.</x:v>
      </x:c>
      <x:c r="C89" s="18" t="str">
        <x:v>GOOGL</x:v>
      </x:c>
      <x:c r="D89" s="18" t="str">
        <x:v>NASDAQ</x:v>
      </x:c>
      <x:c r="E89" s="18" t="str">
        <x:v>Google 검색과 YouTube를 운영하는 상장 플랫폼 기업</x:v>
      </x:c>
      <x:c r="F89" s="18" t="str">
        <x:v>플랫폼</x:v>
      </x:c>
      <x:c r="G89" s="18" t="str">
        <x:v>레몬코어 관련 동영상과 검색 결과가 YouTube에서 공개 유통되는 직접 플랫폼 관계를 확인했다. 검색량·광고매출 효과는 추정하지 않았다.</x:v>
      </x:c>
      <x:c r="H89" s="18" t="str">
        <x:v>direct</x:v>
      </x:c>
      <x:c r="I89" s="18" t="str">
        <x:v>https://www.youtube.com/results?search_query=%EB%A0%88%EB%AA%AC%EC%BD%94%EC%96%B4</x:v>
      </x:c>
      <x:c r="J89" s="18" t="str">
        <x:v>레몬코어 &gt; 영상 확산 &gt; 플랫폼 &gt; Alphabet</x:v>
      </x:c>
      <x:c r="K89" s="18" t="str">
        <x:v>Y</x:v>
      </x:c>
    </x:row>
    <x:row r="90">
      <x:c r="A90" s="18" t="str">
        <x:v>kr_202607_lemoncore</x:v>
      </x:c>
      <x:c r="B90" s="18" t="str">
        <x:v>NAVER</x:v>
      </x:c>
      <x:c r="C90" s="18" t="str">
        <x:v>035420</x:v>
      </x:c>
      <x:c r="D90" s="18" t="str">
        <x:v>KOSPI</x:v>
      </x:c>
      <x:c r="E90" s="18" t="str">
        <x:v>네이버 검색·블로그·클립·CHZZK를 운영하는 상장 플랫폼 기업</x:v>
      </x:c>
      <x:c r="F90" s="18" t="str">
        <x:v>플랫폼</x:v>
      </x:c>
      <x:c r="G90" s="18" t="str">
        <x:v>레몬코어 관련 공개 검색·블로그·동영상 결과가 네이버 생태계에서 발견되는 직접 플랫폼 관계를 기록했다. 주가 수혜를 의미하지 않는다.</x:v>
      </x:c>
      <x:c r="H90" s="18" t="str">
        <x:v>direct</x:v>
      </x:c>
      <x:c r="I90" s="18" t="str">
        <x:v>https://search.naver.com/search.naver?query=%EB%A0%88%EB%AA%AC%EC%BD%94%EC%96%B4</x:v>
      </x:c>
      <x:c r="J90" s="18" t="str">
        <x:v>레몬코어 &gt; 국내 검색·콘텐츠 유통 &gt; 플랫폼 &gt; NAVER</x:v>
      </x:c>
      <x:c r="K90" s="18" t="str">
        <x:v>Y</x:v>
      </x:c>
    </x:row>
    <x:row r="91">
      <x:c r="A91" s="18" t="str">
        <x:v>kr_202607_cream_soda_goods</x:v>
      </x:c>
      <x:c r="B91" s="18" t="str">
        <x:v>Meta Platforms, Inc.</x:v>
      </x:c>
      <x:c r="C91" s="18" t="str">
        <x:v>META</x:v>
      </x:c>
      <x:c r="D91" s="18" t="str">
        <x:v>NASDAQ</x:v>
      </x:c>
      <x:c r="E91" s="18" t="str">
        <x:v>Instagram과 Threads를 운영하는 상장 플랫폼 기업</x:v>
      </x:c>
      <x:c r="F91" s="18" t="str">
        <x:v>플랫폼</x:v>
      </x:c>
      <x:c r="G91" s="18" t="str">
        <x:v>크림소다 굿즈 관련 공개 게시물·릴스·검색 결과가 Instagram 또는 Threads에서 유통·재생산되는 직접 플랫폼 관계를 확인했다. 매출·주가 효과는 확인하지 않았다.</x:v>
      </x:c>
      <x:c r="H91" s="18" t="str">
        <x:v>direct</x:v>
      </x:c>
      <x:c r="I91" s="18" t="str">
        <x:v>https://www.instagram.com/explore/search/keyword/?q=%ED%81%AC%EB%A6%BC%EC%86%8C%EB%8B%A4%20%EA%B5%BF%EC%A6%88</x:v>
      </x:c>
      <x:c r="J91" s="18" t="str">
        <x:v>크림소다 굿즈 &gt; 소셜 확산 &gt; 플랫폼 &gt; Meta Platforms</x:v>
      </x:c>
      <x:c r="K91" s="18" t="str">
        <x:v>Y</x:v>
      </x:c>
    </x:row>
    <x:row r="92">
      <x:c r="A92" s="18" t="str">
        <x:v>kr_202607_cream_soda_goods</x:v>
      </x:c>
      <x:c r="B92" s="18" t="str">
        <x:v>Alphabet Inc.</x:v>
      </x:c>
      <x:c r="C92" s="18" t="str">
        <x:v>GOOGL</x:v>
      </x:c>
      <x:c r="D92" s="18" t="str">
        <x:v>NASDAQ</x:v>
      </x:c>
      <x:c r="E92" s="18" t="str">
        <x:v>Google 검색과 YouTube를 운영하는 상장 플랫폼 기업</x:v>
      </x:c>
      <x:c r="F92" s="18" t="str">
        <x:v>플랫폼</x:v>
      </x:c>
      <x:c r="G92" s="18" t="str">
        <x:v>크림소다 굿즈 관련 동영상과 검색 결과가 YouTube에서 공개 유통되는 직접 플랫폼 관계를 확인했다. 검색량·광고매출 효과는 추정하지 않았다.</x:v>
      </x:c>
      <x:c r="H92" s="18" t="str">
        <x:v>direct</x:v>
      </x:c>
      <x:c r="I92" s="18" t="str">
        <x:v>https://www.youtube.com/results?search_query=%ED%81%AC%EB%A6%BC%EC%86%8C%EB%8B%A4%20%EA%B5%BF%EC%A6%88</x:v>
      </x:c>
      <x:c r="J92" s="18" t="str">
        <x:v>크림소다 굿즈 &gt; 영상 확산 &gt; 플랫폼 &gt; Alphabet</x:v>
      </x:c>
      <x:c r="K92" s="18" t="str">
        <x:v>Y</x:v>
      </x:c>
    </x:row>
    <x:row r="93">
      <x:c r="A93" s="18" t="str">
        <x:v>kr_202607_cream_soda_goods</x:v>
      </x:c>
      <x:c r="B93" s="18" t="str">
        <x:v>NAVER</x:v>
      </x:c>
      <x:c r="C93" s="18" t="str">
        <x:v>035420</x:v>
      </x:c>
      <x:c r="D93" s="18" t="str">
        <x:v>KOSPI</x:v>
      </x:c>
      <x:c r="E93" s="18" t="str">
        <x:v>네이버 검색·블로그·클립·CHZZK를 운영하는 상장 플랫폼 기업</x:v>
      </x:c>
      <x:c r="F93" s="18" t="str">
        <x:v>플랫폼</x:v>
      </x:c>
      <x:c r="G93" s="18" t="str">
        <x:v>크림소다 굿즈 관련 공개 검색·블로그·동영상 결과가 네이버 생태계에서 발견되는 직접 플랫폼 관계를 기록했다. 주가 수혜를 의미하지 않는다.</x:v>
      </x:c>
      <x:c r="H93" s="18" t="str">
        <x:v>direct</x:v>
      </x:c>
      <x:c r="I93" s="18" t="str">
        <x:v>https://search.naver.com/search.naver?query=%ED%81%AC%EB%A6%BC%EC%86%8C%EB%8B%A4%20%EA%B5%BF%EC%A6%88</x:v>
      </x:c>
      <x:c r="J93" s="18" t="str">
        <x:v>크림소다 굿즈 &gt; 국내 검색·콘텐츠 유통 &gt; 플랫폼 &gt; NAVER</x:v>
      </x:c>
      <x:c r="K93" s="18" t="str">
        <x:v>Y</x:v>
      </x:c>
    </x:row>
    <x:row r="94">
      <x:c r="A94" s="18" t="str">
        <x:v>kr_202607_seasonal_fruit_poetry</x:v>
      </x:c>
      <x:c r="B94" s="18" t="str">
        <x:v>Meta Platforms, Inc.</x:v>
      </x:c>
      <x:c r="C94" s="18" t="str">
        <x:v>META</x:v>
      </x:c>
      <x:c r="D94" s="18" t="str">
        <x:v>NASDAQ</x:v>
      </x:c>
      <x:c r="E94" s="18" t="str">
        <x:v>Instagram과 Threads를 운영하는 상장 플랫폼 기업</x:v>
      </x:c>
      <x:c r="F94" s="18" t="str">
        <x:v>플랫폼</x:v>
      </x:c>
      <x:c r="G94" s="18" t="str">
        <x:v>제철 과일 백일장 관련 공개 게시물·릴스·검색 결과가 Instagram 또는 Threads에서 유통·재생산되는 직접 플랫폼 관계를 확인했다. 매출·주가 효과는 확인하지 않았다.</x:v>
      </x:c>
      <x:c r="H94" s="18" t="str">
        <x:v>direct</x:v>
      </x:c>
      <x:c r="I94" s="18" t="str">
        <x:v>https://www.instagram.com/explore/search/keyword/?q=%EC%A0%9C%EC%B2%A0%20%EA%B3%BC%EC%9D%BC%20%EB%B0%B1%EC%9D%BC%EC%9E%A5</x:v>
      </x:c>
      <x:c r="J94" s="18" t="str">
        <x:v>제철 과일 백일장 &gt; 소셜 확산 &gt; 플랫폼 &gt; Meta Platforms</x:v>
      </x:c>
      <x:c r="K94" s="18" t="str">
        <x:v>Y</x:v>
      </x:c>
    </x:row>
    <x:row r="95">
      <x:c r="A95" s="18" t="str">
        <x:v>kr_202607_seasonal_fruit_poetry</x:v>
      </x:c>
      <x:c r="B95" s="18" t="str">
        <x:v>Alphabet Inc.</x:v>
      </x:c>
      <x:c r="C95" s="18" t="str">
        <x:v>GOOGL</x:v>
      </x:c>
      <x:c r="D95" s="18" t="str">
        <x:v>NASDAQ</x:v>
      </x:c>
      <x:c r="E95" s="18" t="str">
        <x:v>Google 검색과 YouTube를 운영하는 상장 플랫폼 기업</x:v>
      </x:c>
      <x:c r="F95" s="18" t="str">
        <x:v>플랫폼</x:v>
      </x:c>
      <x:c r="G95" s="18" t="str">
        <x:v>제철 과일 백일장 관련 동영상과 검색 결과가 YouTube에서 공개 유통되는 직접 플랫폼 관계를 확인했다. 검색량·광고매출 효과는 추정하지 않았다.</x:v>
      </x:c>
      <x:c r="H95" s="18" t="str">
        <x:v>direct</x:v>
      </x:c>
      <x:c r="I95" s="18" t="str">
        <x:v>https://www.youtube.com/results?search_query=%EC%A0%9C%EC%B2%A0%20%EA%B3%BC%EC%9D%BC%20%EB%B0%B1%EC%9D%BC%EC%9E%A5</x:v>
      </x:c>
      <x:c r="J95" s="18" t="str">
        <x:v>제철 과일 백일장 &gt; 영상 확산 &gt; 플랫폼 &gt; Alphabet</x:v>
      </x:c>
      <x:c r="K95" s="18" t="str">
        <x:v>Y</x:v>
      </x:c>
    </x:row>
    <x:row r="96">
      <x:c r="A96" s="18" t="str">
        <x:v>kr_202607_seasonal_fruit_poetry</x:v>
      </x:c>
      <x:c r="B96" s="18" t="str">
        <x:v>NAVER</x:v>
      </x:c>
      <x:c r="C96" s="18" t="str">
        <x:v>035420</x:v>
      </x:c>
      <x:c r="D96" s="18" t="str">
        <x:v>KOSPI</x:v>
      </x:c>
      <x:c r="E96" s="18" t="str">
        <x:v>네이버 검색·블로그·클립·CHZZK를 운영하는 상장 플랫폼 기업</x:v>
      </x:c>
      <x:c r="F96" s="18" t="str">
        <x:v>플랫폼</x:v>
      </x:c>
      <x:c r="G96" s="18" t="str">
        <x:v>제철 과일 백일장 관련 공개 검색·블로그·동영상 결과가 네이버 생태계에서 발견되는 직접 플랫폼 관계를 기록했다. 주가 수혜를 의미하지 않는다.</x:v>
      </x:c>
      <x:c r="H96" s="18" t="str">
        <x:v>direct</x:v>
      </x:c>
      <x:c r="I96" s="18" t="str">
        <x:v>https://search.naver.com/search.naver?query=%EC%A0%9C%EC%B2%A0%20%EA%B3%BC%EC%9D%BC%20%EB%B0%B1%EC%9D%BC%EC%9E%A5</x:v>
      </x:c>
      <x:c r="J96" s="18" t="str">
        <x:v>제철 과일 백일장 &gt; 국내 검색·콘텐츠 유통 &gt; 플랫폼 &gt; NAVER</x:v>
      </x:c>
      <x:c r="K96" s="18" t="str">
        <x:v>Y</x:v>
      </x:c>
    </x:row>
    <x:row r="97">
      <x:c r="A97" s="18" t="str">
        <x:v>kr_202606_backrooms</x:v>
      </x:c>
      <x:c r="B97" s="18" t="str">
        <x:v>Meta Platforms, Inc.</x:v>
      </x:c>
      <x:c r="C97" s="18" t="str">
        <x:v>META</x:v>
      </x:c>
      <x:c r="D97" s="18" t="str">
        <x:v>NASDAQ</x:v>
      </x:c>
      <x:c r="E97" s="18" t="str">
        <x:v>Instagram과 Threads를 운영하는 상장 플랫폼 기업</x:v>
      </x:c>
      <x:c r="F97" s="18" t="str">
        <x:v>플랫폼</x:v>
      </x:c>
      <x:c r="G97" s="18" t="str">
        <x:v>백룸 관련 공개 게시물·릴스·검색 결과가 Instagram 또는 Threads에서 유통·재생산되는 직접 플랫폼 관계를 확인했다. 매출·주가 효과는 확인하지 않았다.</x:v>
      </x:c>
      <x:c r="H97" s="18" t="str">
        <x:v>direct</x:v>
      </x:c>
      <x:c r="I97" s="18" t="str">
        <x:v>https://www.instagram.com/explore/search/keyword/?q=%EB%B0%B1%EB%A3%B8</x:v>
      </x:c>
      <x:c r="J97" s="18" t="str">
        <x:v>백룸 &gt; 소셜 확산 &gt; 플랫폼 &gt; Meta Platforms</x:v>
      </x:c>
      <x:c r="K97" s="18" t="str">
        <x:v>Y</x:v>
      </x:c>
    </x:row>
    <x:row r="98">
      <x:c r="A98" s="18" t="str">
        <x:v>kr_202606_backrooms</x:v>
      </x:c>
      <x:c r="B98" s="18" t="str">
        <x:v>Alphabet Inc.</x:v>
      </x:c>
      <x:c r="C98" s="18" t="str">
        <x:v>GOOGL</x:v>
      </x:c>
      <x:c r="D98" s="18" t="str">
        <x:v>NASDAQ</x:v>
      </x:c>
      <x:c r="E98" s="18" t="str">
        <x:v>Google 검색과 YouTube를 운영하는 상장 플랫폼 기업</x:v>
      </x:c>
      <x:c r="F98" s="18" t="str">
        <x:v>플랫폼</x:v>
      </x:c>
      <x:c r="G98" s="18" t="str">
        <x:v>백룸 관련 동영상과 검색 결과가 YouTube에서 공개 유통되는 직접 플랫폼 관계를 확인했다. 검색량·광고매출 효과는 추정하지 않았다.</x:v>
      </x:c>
      <x:c r="H98" s="18" t="str">
        <x:v>direct</x:v>
      </x:c>
      <x:c r="I98" s="18" t="str">
        <x:v>https://www.youtube.com/results?search_query=%EB%B0%B1%EB%A3%B8</x:v>
      </x:c>
      <x:c r="J98" s="18" t="str">
        <x:v>백룸 &gt; 영상 확산 &gt; 플랫폼 &gt; Alphabet</x:v>
      </x:c>
      <x:c r="K98" s="18" t="str">
        <x:v>Y</x:v>
      </x:c>
    </x:row>
    <x:row r="99">
      <x:c r="A99" s="18" t="str">
        <x:v>kr_202606_backrooms</x:v>
      </x:c>
      <x:c r="B99" s="18" t="str">
        <x:v>NAVER</x:v>
      </x:c>
      <x:c r="C99" s="18" t="str">
        <x:v>035420</x:v>
      </x:c>
      <x:c r="D99" s="18" t="str">
        <x:v>KOSPI</x:v>
      </x:c>
      <x:c r="E99" s="18" t="str">
        <x:v>네이버 검색·블로그·클립·CHZZK를 운영하는 상장 플랫폼 기업</x:v>
      </x:c>
      <x:c r="F99" s="18" t="str">
        <x:v>플랫폼</x:v>
      </x:c>
      <x:c r="G99" s="18" t="str">
        <x:v>백룸 관련 공개 검색·블로그·동영상 결과가 네이버 생태계에서 발견되는 직접 플랫폼 관계를 기록했다. 주가 수혜를 의미하지 않는다.</x:v>
      </x:c>
      <x:c r="H99" s="18" t="str">
        <x:v>direct</x:v>
      </x:c>
      <x:c r="I99" s="18" t="str">
        <x:v>https://search.naver.com/search.naver?query=%EB%B0%B1%EB%A3%B8</x:v>
      </x:c>
      <x:c r="J99" s="18" t="str">
        <x:v>백룸 &gt; 국내 검색·콘텐츠 유통 &gt; 플랫폼 &gt; NAVER</x:v>
      </x:c>
      <x:c r="K99" s="18" t="str">
        <x:v>Y</x:v>
      </x:c>
    </x:row>
    <x:row r="100">
      <x:c r="A100" s="18" t="str">
        <x:v>kr_202606_geoje_yahoo</x:v>
      </x:c>
      <x:c r="B100" s="18" t="str">
        <x:v>Meta Platforms, Inc.</x:v>
      </x:c>
      <x:c r="C100" s="18" t="str">
        <x:v>META</x:v>
      </x:c>
      <x:c r="D100" s="18" t="str">
        <x:v>NASDAQ</x:v>
      </x:c>
      <x:c r="E100" s="18" t="str">
        <x:v>Instagram과 Threads를 운영하는 상장 플랫폼 기업</x:v>
      </x:c>
      <x:c r="F100" s="18" t="str">
        <x:v>플랫폼</x:v>
      </x:c>
      <x:c r="G100" s="18" t="str">
        <x:v>거제 야호 관련 공개 게시물·릴스·검색 결과가 Instagram 또는 Threads에서 유통·재생산되는 직접 플랫폼 관계를 확인했다. 매출·주가 효과는 확인하지 않았다.</x:v>
      </x:c>
      <x:c r="H100" s="18" t="str">
        <x:v>direct</x:v>
      </x:c>
      <x:c r="I100" s="18" t="str">
        <x:v>https://www.instagram.com/explore/search/keyword/?q=%EA%B1%B0%EC%A0%9C%20%EC%95%BC%ED%98%B8</x:v>
      </x:c>
      <x:c r="J100" s="18" t="str">
        <x:v>거제 야호 &gt; 소셜 확산 &gt; 플랫폼 &gt; Meta Platforms</x:v>
      </x:c>
      <x:c r="K100" s="18" t="str">
        <x:v>Y</x:v>
      </x:c>
    </x:row>
    <x:row r="101">
      <x:c r="A101" s="18" t="str">
        <x:v>kr_202606_geoje_yahoo</x:v>
      </x:c>
      <x:c r="B101" s="18" t="str">
        <x:v>Alphabet Inc.</x:v>
      </x:c>
      <x:c r="C101" s="18" t="str">
        <x:v>GOOGL</x:v>
      </x:c>
      <x:c r="D101" s="18" t="str">
        <x:v>NASDAQ</x:v>
      </x:c>
      <x:c r="E101" s="18" t="str">
        <x:v>Google 검색과 YouTube를 운영하는 상장 플랫폼 기업</x:v>
      </x:c>
      <x:c r="F101" s="18" t="str">
        <x:v>플랫폼</x:v>
      </x:c>
      <x:c r="G101" s="18" t="str">
        <x:v>거제 야호 관련 동영상과 검색 결과가 YouTube에서 공개 유통되는 직접 플랫폼 관계를 확인했다. 검색량·광고매출 효과는 추정하지 않았다.</x:v>
      </x:c>
      <x:c r="H101" s="18" t="str">
        <x:v>direct</x:v>
      </x:c>
      <x:c r="I101" s="18" t="str">
        <x:v>https://www.youtube.com/results?search_query=%EA%B1%B0%EC%A0%9C%20%EC%95%BC%ED%98%B8</x:v>
      </x:c>
      <x:c r="J101" s="18" t="str">
        <x:v>거제 야호 &gt; 영상 확산 &gt; 플랫폼 &gt; Alphabet</x:v>
      </x:c>
      <x:c r="K101" s="18" t="str">
        <x:v>Y</x:v>
      </x:c>
    </x:row>
    <x:row r="102">
      <x:c r="A102" s="18" t="str">
        <x:v>kr_202606_geoje_yahoo</x:v>
      </x:c>
      <x:c r="B102" s="18" t="str">
        <x:v>NAVER</x:v>
      </x:c>
      <x:c r="C102" s="18" t="str">
        <x:v>035420</x:v>
      </x:c>
      <x:c r="D102" s="18" t="str">
        <x:v>KOSPI</x:v>
      </x:c>
      <x:c r="E102" s="18" t="str">
        <x:v>네이버 검색·블로그·클립·CHZZK를 운영하는 상장 플랫폼 기업</x:v>
      </x:c>
      <x:c r="F102" s="18" t="str">
        <x:v>플랫폼</x:v>
      </x:c>
      <x:c r="G102" s="18" t="str">
        <x:v>거제 야호 관련 공개 검색·블로그·동영상 결과가 네이버 생태계에서 발견되는 직접 플랫폼 관계를 기록했다. 주가 수혜를 의미하지 않는다.</x:v>
      </x:c>
      <x:c r="H102" s="18" t="str">
        <x:v>direct</x:v>
      </x:c>
      <x:c r="I102" s="18" t="str">
        <x:v>https://search.naver.com/search.naver?query=%EA%B1%B0%EC%A0%9C%20%EC%95%BC%ED%98%B8</x:v>
      </x:c>
      <x:c r="J102" s="18" t="str">
        <x:v>거제 야호 &gt; 국내 검색·콘텐츠 유통 &gt; 플랫폼 &gt; NAVER</x:v>
      </x:c>
      <x:c r="K102" s="18" t="str">
        <x:v>Y</x:v>
      </x:c>
    </x:row>
    <x:row r="103">
      <x:c r="A103" s="18" t="str">
        <x:v>kr_202606_youngcreatorcrew</x:v>
      </x:c>
      <x:c r="B103" s="18" t="str">
        <x:v>Meta Platforms, Inc.</x:v>
      </x:c>
      <x:c r="C103" s="18" t="str">
        <x:v>META</x:v>
      </x:c>
      <x:c r="D103" s="18" t="str">
        <x:v>NASDAQ</x:v>
      </x:c>
      <x:c r="E103" s="18" t="str">
        <x:v>Instagram과 Threads를 운영하는 상장 플랫폼 기업</x:v>
      </x:c>
      <x:c r="F103" s="18" t="str">
        <x:v>플랫폼</x:v>
      </x:c>
      <x:c r="G103" s="18" t="str">
        <x:v>영크크 관련 공개 게시물·릴스·검색 결과가 Instagram 또는 Threads에서 유통·재생산되는 직접 플랫폼 관계를 확인했다. 매출·주가 효과는 확인하지 않았다.</x:v>
      </x:c>
      <x:c r="H103" s="18" t="str">
        <x:v>direct</x:v>
      </x:c>
      <x:c r="I103" s="18" t="str">
        <x:v>https://www.instagram.com/explore/search/keyword/?q=%EC%98%81%ED%81%AC%ED%81%AC</x:v>
      </x:c>
      <x:c r="J103" s="18" t="str">
        <x:v>영크크 &gt; 소셜 확산 &gt; 플랫폼 &gt; Meta Platforms</x:v>
      </x:c>
      <x:c r="K103" s="18" t="str">
        <x:v>Y</x:v>
      </x:c>
    </x:row>
    <x:row r="104">
      <x:c r="A104" s="18" t="str">
        <x:v>kr_202606_youngcreatorcrew</x:v>
      </x:c>
      <x:c r="B104" s="18" t="str">
        <x:v>Alphabet Inc.</x:v>
      </x:c>
      <x:c r="C104" s="18" t="str">
        <x:v>GOOGL</x:v>
      </x:c>
      <x:c r="D104" s="18" t="str">
        <x:v>NASDAQ</x:v>
      </x:c>
      <x:c r="E104" s="18" t="str">
        <x:v>Google 검색과 YouTube를 운영하는 상장 플랫폼 기업</x:v>
      </x:c>
      <x:c r="F104" s="18" t="str">
        <x:v>플랫폼</x:v>
      </x:c>
      <x:c r="G104" s="18" t="str">
        <x:v>영크크 관련 동영상과 검색 결과가 YouTube에서 공개 유통되는 직접 플랫폼 관계를 확인했다. 검색량·광고매출 효과는 추정하지 않았다.</x:v>
      </x:c>
      <x:c r="H104" s="18" t="str">
        <x:v>direct</x:v>
      </x:c>
      <x:c r="I104" s="18" t="str">
        <x:v>https://www.youtube.com/results?search_query=%EC%98%81%ED%81%AC%ED%81%AC</x:v>
      </x:c>
      <x:c r="J104" s="18" t="str">
        <x:v>영크크 &gt; 영상 확산 &gt; 플랫폼 &gt; Alphabet</x:v>
      </x:c>
      <x:c r="K104" s="18" t="str">
        <x:v>Y</x:v>
      </x:c>
    </x:row>
    <x:row r="105">
      <x:c r="A105" s="18" t="str">
        <x:v>kr_202606_youngcreatorcrew</x:v>
      </x:c>
      <x:c r="B105" s="18" t="str">
        <x:v>NAVER</x:v>
      </x:c>
      <x:c r="C105" s="18" t="str">
        <x:v>035420</x:v>
      </x:c>
      <x:c r="D105" s="18" t="str">
        <x:v>KOSPI</x:v>
      </x:c>
      <x:c r="E105" s="18" t="str">
        <x:v>네이버 검색·블로그·클립·CHZZK를 운영하는 상장 플랫폼 기업</x:v>
      </x:c>
      <x:c r="F105" s="18" t="str">
        <x:v>플랫폼</x:v>
      </x:c>
      <x:c r="G105" s="18" t="str">
        <x:v>영크크 관련 공개 검색·블로그·동영상 결과가 네이버 생태계에서 발견되는 직접 플랫폼 관계를 기록했다. 주가 수혜를 의미하지 않는다.</x:v>
      </x:c>
      <x:c r="H105" s="18" t="str">
        <x:v>direct</x:v>
      </x:c>
      <x:c r="I105" s="18" t="str">
        <x:v>https://search.naver.com/search.naver?query=%EC%98%81%ED%81%AC%ED%81%AC</x:v>
      </x:c>
      <x:c r="J105" s="18" t="str">
        <x:v>영크크 &gt; 국내 검색·콘텐츠 유통 &gt; 플랫폼 &gt; NAVER</x:v>
      </x:c>
      <x:c r="K105" s="18" t="str">
        <x:v>Y</x:v>
      </x:c>
    </x:row>
    <x:row r="106">
      <x:c r="A106" s="18" t="str">
        <x:v>kr_202606_ai_sports_broadcast_shot</x:v>
      </x:c>
      <x:c r="B106" s="18" t="str">
        <x:v>Meta Platforms, Inc.</x:v>
      </x:c>
      <x:c r="C106" s="18" t="str">
        <x:v>META</x:v>
      </x:c>
      <x:c r="D106" s="18" t="str">
        <x:v>NASDAQ</x:v>
      </x:c>
      <x:c r="E106" s="18" t="str">
        <x:v>Instagram과 Threads를 운영하는 상장 플랫폼 기업</x:v>
      </x:c>
      <x:c r="F106" s="18" t="str">
        <x:v>플랫폼</x:v>
      </x:c>
      <x:c r="G106" s="18" t="str">
        <x:v>관중 난입 AI 관련 공개 게시물·릴스·검색 결과가 Instagram 또는 Threads에서 유통·재생산되는 직접 플랫폼 관계를 확인했다. 매출·주가 효과는 확인하지 않았다.</x:v>
      </x:c>
      <x:c r="H106" s="18" t="str">
        <x:v>direct</x:v>
      </x:c>
      <x:c r="I106" s="18" t="str">
        <x:v>https://www.instagram.com/explore/search/keyword/?q=%EA%B4%80%EC%A4%91%20%EB%82%9C%EC%9E%85%20AI</x:v>
      </x:c>
      <x:c r="J106" s="18" t="str">
        <x:v>관중 난입 AI &gt; 소셜 확산 &gt; 플랫폼 &gt; Meta Platforms</x:v>
      </x:c>
      <x:c r="K106" s="18" t="str">
        <x:v>Y</x:v>
      </x:c>
    </x:row>
    <x:row r="107">
      <x:c r="A107" s="18" t="str">
        <x:v>kr_202606_ai_sports_broadcast_shot</x:v>
      </x:c>
      <x:c r="B107" s="18" t="str">
        <x:v>Alphabet Inc.</x:v>
      </x:c>
      <x:c r="C107" s="18" t="str">
        <x:v>GOOGL</x:v>
      </x:c>
      <x:c r="D107" s="18" t="str">
        <x:v>NASDAQ</x:v>
      </x:c>
      <x:c r="E107" s="18" t="str">
        <x:v>Google 검색과 YouTube를 운영하는 상장 플랫폼 기업</x:v>
      </x:c>
      <x:c r="F107" s="18" t="str">
        <x:v>플랫폼</x:v>
      </x:c>
      <x:c r="G107" s="18" t="str">
        <x:v>관중 난입 AI 관련 동영상과 검색 결과가 YouTube에서 공개 유통되는 직접 플랫폼 관계를 확인했다. 검색량·광고매출 효과는 추정하지 않았다.</x:v>
      </x:c>
      <x:c r="H107" s="18" t="str">
        <x:v>direct</x:v>
      </x:c>
      <x:c r="I107" s="18" t="str">
        <x:v>https://www.youtube.com/results?search_query=%EA%B4%80%EC%A4%91%20%EB%82%9C%EC%9E%85%20AI</x:v>
      </x:c>
      <x:c r="J107" s="18" t="str">
        <x:v>관중 난입 AI &gt; 영상 확산 &gt; 플랫폼 &gt; Alphabet</x:v>
      </x:c>
      <x:c r="K107" s="18" t="str">
        <x:v>Y</x:v>
      </x:c>
    </x:row>
    <x:row r="108">
      <x:c r="A108" s="18" t="str">
        <x:v>kr_202606_ai_sports_broadcast_shot</x:v>
      </x:c>
      <x:c r="B108" s="18" t="str">
        <x:v>NAVER</x:v>
      </x:c>
      <x:c r="C108" s="18" t="str">
        <x:v>035420</x:v>
      </x:c>
      <x:c r="D108" s="18" t="str">
        <x:v>KOSPI</x:v>
      </x:c>
      <x:c r="E108" s="18" t="str">
        <x:v>네이버 검색·블로그·클립·CHZZK를 운영하는 상장 플랫폼 기업</x:v>
      </x:c>
      <x:c r="F108" s="18" t="str">
        <x:v>플랫폼</x:v>
      </x:c>
      <x:c r="G108" s="18" t="str">
        <x:v>관중 난입 AI 관련 공개 검색·블로그·동영상 결과가 네이버 생태계에서 발견되는 직접 플랫폼 관계를 기록했다. 주가 수혜를 의미하지 않는다.</x:v>
      </x:c>
      <x:c r="H108" s="18" t="str">
        <x:v>direct</x:v>
      </x:c>
      <x:c r="I108" s="18" t="str">
        <x:v>https://search.naver.com/search.naver?query=%EA%B4%80%EC%A4%91%20%EB%82%9C%EC%9E%85%20AI</x:v>
      </x:c>
      <x:c r="J108" s="18" t="str">
        <x:v>관중 난입 AI &gt; 국내 검색·콘텐츠 유통 &gt; 플랫폼 &gt; NAVER</x:v>
      </x:c>
      <x:c r="K108" s="18" t="str">
        <x:v>Y</x:v>
      </x:c>
    </x:row>
    <x:row r="109">
      <x:c r="A109" s="18" t="str">
        <x:v>kr_202606_suddenly_yangeuji</x:v>
      </x:c>
      <x:c r="B109" s="18" t="str">
        <x:v>Meta Platforms, Inc.</x:v>
      </x:c>
      <x:c r="C109" s="18" t="str">
        <x:v>META</x:v>
      </x:c>
      <x:c r="D109" s="18" t="str">
        <x:v>NASDAQ</x:v>
      </x:c>
      <x:c r="E109" s="18" t="str">
        <x:v>Instagram과 Threads를 운영하는 상장 플랫폼 기업</x:v>
      </x:c>
      <x:c r="F109" s="18" t="str">
        <x:v>플랫폼</x:v>
      </x:c>
      <x:c r="G109" s="18" t="str">
        <x:v>자려고 누웠는데 양의지 관련 공개 게시물·릴스·검색 결과가 Instagram 또는 Threads에서 유통·재생산되는 직접 플랫폼 관계를 확인했다. 매출·주가 효과는 확인하지 않았다.</x:v>
      </x:c>
      <x:c r="H109" s="18" t="str">
        <x:v>direct</x:v>
      </x:c>
      <x:c r="I109" s="18" t="str">
        <x:v>https://www.instagram.com/explore/search/keyword/?q=%EC%9E%90%EB%A0%A4%EA%B3%A0%20%EB%88%84%EC%9B%A0%EB%8A%94%EB%8D%B0%20%EC%96%91%EC%9D%98%EC%A7%80</x:v>
      </x:c>
      <x:c r="J109" s="18" t="str">
        <x:v>자려고 누웠는데 양의지 &gt; 소셜 확산 &gt; 플랫폼 &gt; Meta Platforms</x:v>
      </x:c>
      <x:c r="K109" s="18" t="str">
        <x:v>Y</x:v>
      </x:c>
    </x:row>
    <x:row r="110">
      <x:c r="A110" s="18" t="str">
        <x:v>kr_202606_suddenly_yangeuji</x:v>
      </x:c>
      <x:c r="B110" s="18" t="str">
        <x:v>Alphabet Inc.</x:v>
      </x:c>
      <x:c r="C110" s="18" t="str">
        <x:v>GOOGL</x:v>
      </x:c>
      <x:c r="D110" s="18" t="str">
        <x:v>NASDAQ</x:v>
      </x:c>
      <x:c r="E110" s="18" t="str">
        <x:v>Google 검색과 YouTube를 운영하는 상장 플랫폼 기업</x:v>
      </x:c>
      <x:c r="F110" s="18" t="str">
        <x:v>플랫폼</x:v>
      </x:c>
      <x:c r="G110" s="18" t="str">
        <x:v>자려고 누웠는데 양의지 관련 동영상과 검색 결과가 YouTube에서 공개 유통되는 직접 플랫폼 관계를 확인했다. 검색량·광고매출 효과는 추정하지 않았다.</x:v>
      </x:c>
      <x:c r="H110" s="18" t="str">
        <x:v>direct</x:v>
      </x:c>
      <x:c r="I110" s="18" t="str">
        <x:v>https://www.youtube.com/results?search_query=%EC%9E%90%EB%A0%A4%EA%B3%A0%20%EB%88%84%EC%9B%A0%EB%8A%94%EB%8D%B0%20%EC%96%91%EC%9D%98%EC%A7%80</x:v>
      </x:c>
      <x:c r="J110" s="18" t="str">
        <x:v>자려고 누웠는데 양의지 &gt; 영상 확산 &gt; 플랫폼 &gt; Alphabet</x:v>
      </x:c>
      <x:c r="K110" s="18" t="str">
        <x:v>Y</x:v>
      </x:c>
    </x:row>
    <x:row r="111">
      <x:c r="A111" s="18" t="str">
        <x:v>kr_202606_suddenly_yangeuji</x:v>
      </x:c>
      <x:c r="B111" s="18" t="str">
        <x:v>NAVER</x:v>
      </x:c>
      <x:c r="C111" s="18" t="str">
        <x:v>035420</x:v>
      </x:c>
      <x:c r="D111" s="18" t="str">
        <x:v>KOSPI</x:v>
      </x:c>
      <x:c r="E111" s="18" t="str">
        <x:v>네이버 검색·블로그·클립·CHZZK를 운영하는 상장 플랫폼 기업</x:v>
      </x:c>
      <x:c r="F111" s="18" t="str">
        <x:v>플랫폼</x:v>
      </x:c>
      <x:c r="G111" s="18" t="str">
        <x:v>자려고 누웠는데 양의지 관련 공개 검색·블로그·동영상 결과가 네이버 생태계에서 발견되는 직접 플랫폼 관계를 기록했다. 주가 수혜를 의미하지 않는다.</x:v>
      </x:c>
      <x:c r="H111" s="18" t="str">
        <x:v>direct</x:v>
      </x:c>
      <x:c r="I111" s="18" t="str">
        <x:v>https://search.naver.com/search.naver?query=%EC%9E%90%EB%A0%A4%EA%B3%A0%20%EB%88%84%EC%9B%A0%EB%8A%94%EB%8D%B0%20%EC%96%91%EC%9D%98%EC%A7%80</x:v>
      </x:c>
      <x:c r="J111" s="18" t="str">
        <x:v>자려고 누웠는데 양의지 &gt; 국내 검색·콘텐츠 유통 &gt; 플랫폼 &gt; NAVER</x:v>
      </x:c>
      <x:c r="K111" s="18" t="str">
        <x:v>Y</x:v>
      </x:c>
    </x:row>
    <x:row r="112">
      <x:c r="A112" s="18" t="str">
        <x:v>kr_202605_setlog</x:v>
      </x:c>
      <x:c r="B112" s="18" t="str">
        <x:v>Meta Platforms, Inc.</x:v>
      </x:c>
      <x:c r="C112" s="18" t="str">
        <x:v>META</x:v>
      </x:c>
      <x:c r="D112" s="18" t="str">
        <x:v>NASDAQ</x:v>
      </x:c>
      <x:c r="E112" s="18" t="str">
        <x:v>Instagram과 Threads를 운영하는 상장 플랫폼 기업</x:v>
      </x:c>
      <x:c r="F112" s="18" t="str">
        <x:v>플랫폼</x:v>
      </x:c>
      <x:c r="G112" s="18" t="str">
        <x:v>셋로그 관련 공개 게시물·릴스·검색 결과가 Instagram 또는 Threads에서 유통·재생산되는 직접 플랫폼 관계를 확인했다. 매출·주가 효과는 확인하지 않았다.</x:v>
      </x:c>
      <x:c r="H112" s="18" t="str">
        <x:v>direct</x:v>
      </x:c>
      <x:c r="I112" s="18" t="str">
        <x:v>https://www.instagram.com/explore/search/keyword/?q=%EC%85%8B%EB%A1%9C%EA%B7%B8</x:v>
      </x:c>
      <x:c r="J112" s="18" t="str">
        <x:v>셋로그 &gt; 소셜 확산 &gt; 플랫폼 &gt; Meta Platforms</x:v>
      </x:c>
      <x:c r="K112" s="18" t="str">
        <x:v>Y</x:v>
      </x:c>
    </x:row>
    <x:row r="113">
      <x:c r="A113" s="18" t="str">
        <x:v>kr_202605_setlog</x:v>
      </x:c>
      <x:c r="B113" s="18" t="str">
        <x:v>Alphabet Inc.</x:v>
      </x:c>
      <x:c r="C113" s="18" t="str">
        <x:v>GOOGL</x:v>
      </x:c>
      <x:c r="D113" s="18" t="str">
        <x:v>NASDAQ</x:v>
      </x:c>
      <x:c r="E113" s="18" t="str">
        <x:v>Google 검색과 YouTube를 운영하는 상장 플랫폼 기업</x:v>
      </x:c>
      <x:c r="F113" s="18" t="str">
        <x:v>플랫폼</x:v>
      </x:c>
      <x:c r="G113" s="18" t="str">
        <x:v>셋로그 관련 동영상과 검색 결과가 YouTube에서 공개 유통되는 직접 플랫폼 관계를 확인했다. 검색량·광고매출 효과는 추정하지 않았다.</x:v>
      </x:c>
      <x:c r="H113" s="18" t="str">
        <x:v>direct</x:v>
      </x:c>
      <x:c r="I113" s="18" t="str">
        <x:v>https://www.youtube.com/results?search_query=%EC%85%8B%EB%A1%9C%EA%B7%B8</x:v>
      </x:c>
      <x:c r="J113" s="18" t="str">
        <x:v>셋로그 &gt; 영상 확산 &gt; 플랫폼 &gt; Alphabet</x:v>
      </x:c>
      <x:c r="K113" s="18" t="str">
        <x:v>Y</x:v>
      </x:c>
    </x:row>
    <x:row r="114">
      <x:c r="A114" s="18" t="str">
        <x:v>kr_202605_setlog</x:v>
      </x:c>
      <x:c r="B114" s="18" t="str">
        <x:v>NAVER</x:v>
      </x:c>
      <x:c r="C114" s="18" t="str">
        <x:v>035420</x:v>
      </x:c>
      <x:c r="D114" s="18" t="str">
        <x:v>KOSPI</x:v>
      </x:c>
      <x:c r="E114" s="18" t="str">
        <x:v>네이버 검색·블로그·클립·CHZZK를 운영하는 상장 플랫폼 기업</x:v>
      </x:c>
      <x:c r="F114" s="18" t="str">
        <x:v>플랫폼</x:v>
      </x:c>
      <x:c r="G114" s="18" t="str">
        <x:v>셋로그 관련 공개 검색·블로그·동영상 결과가 네이버 생태계에서 발견되는 직접 플랫폼 관계를 기록했다. 주가 수혜를 의미하지 않는다.</x:v>
      </x:c>
      <x:c r="H114" s="18" t="str">
        <x:v>direct</x:v>
      </x:c>
      <x:c r="I114" s="18" t="str">
        <x:v>https://search.naver.com/search.naver?query=%EC%85%8B%EB%A1%9C%EA%B7%B8</x:v>
      </x:c>
      <x:c r="J114" s="18" t="str">
        <x:v>셋로그 &gt; 국내 검색·콘텐츠 유통 &gt; 플랫폼 &gt; NAVER</x:v>
      </x:c>
      <x:c r="K114" s="18" t="str">
        <x:v>Y</x:v>
      </x:c>
    </x:row>
    <x:row r="115">
      <x:c r="A115" s="18" t="str">
        <x:v>kr_202605_ai_broadcast_shot</x:v>
      </x:c>
      <x:c r="B115" s="18" t="str">
        <x:v>Meta Platforms, Inc.</x:v>
      </x:c>
      <x:c r="C115" s="18" t="str">
        <x:v>META</x:v>
      </x:c>
      <x:c r="D115" s="18" t="str">
        <x:v>NASDAQ</x:v>
      </x:c>
      <x:c r="E115" s="18" t="str">
        <x:v>Instagram과 Threads를 운영하는 상장 플랫폼 기업</x:v>
      </x:c>
      <x:c r="F115" s="18" t="str">
        <x:v>플랫폼</x:v>
      </x:c>
      <x:c r="G115" s="18" t="str">
        <x:v>AI 중계샷 관련 공개 게시물·릴스·검색 결과가 Instagram 또는 Threads에서 유통·재생산되는 직접 플랫폼 관계를 확인했다. 매출·주가 효과는 확인하지 않았다.</x:v>
      </x:c>
      <x:c r="H115" s="18" t="str">
        <x:v>direct</x:v>
      </x:c>
      <x:c r="I115" s="18" t="str">
        <x:v>https://www.instagram.com/explore/search/keyword/?q=AI%20%EC%A4%91%EA%B3%84%EC%83%B7</x:v>
      </x:c>
      <x:c r="J115" s="18" t="str">
        <x:v>AI 중계샷 &gt; 소셜 확산 &gt; 플랫폼 &gt; Meta Platforms</x:v>
      </x:c>
      <x:c r="K115" s="18" t="str">
        <x:v>Y</x:v>
      </x:c>
    </x:row>
    <x:row r="116">
      <x:c r="A116" s="18" t="str">
        <x:v>kr_202605_ai_broadcast_shot</x:v>
      </x:c>
      <x:c r="B116" s="18" t="str">
        <x:v>Alphabet Inc.</x:v>
      </x:c>
      <x:c r="C116" s="18" t="str">
        <x:v>GOOGL</x:v>
      </x:c>
      <x:c r="D116" s="18" t="str">
        <x:v>NASDAQ</x:v>
      </x:c>
      <x:c r="E116" s="18" t="str">
        <x:v>Google 검색과 YouTube를 운영하는 상장 플랫폼 기업</x:v>
      </x:c>
      <x:c r="F116" s="18" t="str">
        <x:v>플랫폼</x:v>
      </x:c>
      <x:c r="G116" s="18" t="str">
        <x:v>AI 중계샷 관련 동영상과 검색 결과가 YouTube에서 공개 유통되는 직접 플랫폼 관계를 확인했다. 검색량·광고매출 효과는 추정하지 않았다.</x:v>
      </x:c>
      <x:c r="H116" s="18" t="str">
        <x:v>direct</x:v>
      </x:c>
      <x:c r="I116" s="18" t="str">
        <x:v>https://www.youtube.com/results?search_query=AI%20%EC%A4%91%EA%B3%84%EC%83%B7</x:v>
      </x:c>
      <x:c r="J116" s="18" t="str">
        <x:v>AI 중계샷 &gt; 영상 확산 &gt; 플랫폼 &gt; Alphabet</x:v>
      </x:c>
      <x:c r="K116" s="18" t="str">
        <x:v>Y</x:v>
      </x:c>
    </x:row>
    <x:row r="117">
      <x:c r="A117" s="18" t="str">
        <x:v>kr_202605_ai_broadcast_shot</x:v>
      </x:c>
      <x:c r="B117" s="18" t="str">
        <x:v>NAVER</x:v>
      </x:c>
      <x:c r="C117" s="18" t="str">
        <x:v>035420</x:v>
      </x:c>
      <x:c r="D117" s="18" t="str">
        <x:v>KOSPI</x:v>
      </x:c>
      <x:c r="E117" s="18" t="str">
        <x:v>네이버 검색·블로그·클립·CHZZK를 운영하는 상장 플랫폼 기업</x:v>
      </x:c>
      <x:c r="F117" s="18" t="str">
        <x:v>플랫폼</x:v>
      </x:c>
      <x:c r="G117" s="18" t="str">
        <x:v>AI 중계샷 관련 공개 검색·블로그·동영상 결과가 네이버 생태계에서 발견되는 직접 플랫폼 관계를 기록했다. 주가 수혜를 의미하지 않는다.</x:v>
      </x:c>
      <x:c r="H117" s="18" t="str">
        <x:v>direct</x:v>
      </x:c>
      <x:c r="I117" s="18" t="str">
        <x:v>https://search.naver.com/search.naver?query=AI%20%EC%A4%91%EA%B3%84%EC%83%B7</x:v>
      </x:c>
      <x:c r="J117" s="18" t="str">
        <x:v>AI 중계샷 &gt; 국내 검색·콘텐츠 유통 &gt; 플랫폼 &gt; NAVER</x:v>
      </x:c>
      <x:c r="K117" s="18" t="str">
        <x:v>Y</x:v>
      </x:c>
    </x:row>
    <x:row r="118">
      <x:c r="A118" s="18" t="str">
        <x:v>kr_202605_goyang_flower_show</x:v>
      </x:c>
      <x:c r="B118" s="18" t="str">
        <x:v>Meta Platforms, Inc.</x:v>
      </x:c>
      <x:c r="C118" s="18" t="str">
        <x:v>META</x:v>
      </x:c>
      <x:c r="D118" s="18" t="str">
        <x:v>NASDAQ</x:v>
      </x:c>
      <x:c r="E118" s="18" t="str">
        <x:v>Instagram과 Threads를 운영하는 상장 플랫폼 기업</x:v>
      </x:c>
      <x:c r="F118" s="18" t="str">
        <x:v>플랫폼</x:v>
      </x:c>
      <x:c r="G118" s="18" t="str">
        <x:v>고양국제꽃박람회 관련 공개 게시물·릴스·검색 결과가 Instagram 또는 Threads에서 유통·재생산되는 직접 플랫폼 관계를 확인했다. 매출·주가 효과는 확인하지 않았다.</x:v>
      </x:c>
      <x:c r="H118" s="18" t="str">
        <x:v>direct</x:v>
      </x:c>
      <x:c r="I118" s="18" t="str">
        <x:v>https://www.instagram.com/explore/search/keyword/?q=%EA%B3%A0%EC%96%91%EA%B5%AD%EC%A0%9C%EA%BD%83%EB%B0%95%EB%9E%8C%ED%9A%8C</x:v>
      </x:c>
      <x:c r="J118" s="18" t="str">
        <x:v>고양국제꽃박람회 &gt; 소셜 확산 &gt; 플랫폼 &gt; Meta Platforms</x:v>
      </x:c>
      <x:c r="K118" s="18" t="str">
        <x:v>Y</x:v>
      </x:c>
    </x:row>
    <x:row r="119">
      <x:c r="A119" s="18" t="str">
        <x:v>kr_202605_goyang_flower_show</x:v>
      </x:c>
      <x:c r="B119" s="18" t="str">
        <x:v>Alphabet Inc.</x:v>
      </x:c>
      <x:c r="C119" s="18" t="str">
        <x:v>GOOGL</x:v>
      </x:c>
      <x:c r="D119" s="18" t="str">
        <x:v>NASDAQ</x:v>
      </x:c>
      <x:c r="E119" s="18" t="str">
        <x:v>Google 검색과 YouTube를 운영하는 상장 플랫폼 기업</x:v>
      </x:c>
      <x:c r="F119" s="18" t="str">
        <x:v>플랫폼</x:v>
      </x:c>
      <x:c r="G119" s="18" t="str">
        <x:v>고양국제꽃박람회 관련 동영상과 검색 결과가 YouTube에서 공개 유통되는 직접 플랫폼 관계를 확인했다. 검색량·광고매출 효과는 추정하지 않았다.</x:v>
      </x:c>
      <x:c r="H119" s="18" t="str">
        <x:v>direct</x:v>
      </x:c>
      <x:c r="I119" s="18" t="str">
        <x:v>https://www.youtube.com/results?search_query=%EA%B3%A0%EC%96%91%EA%B5%AD%EC%A0%9C%EA%BD%83%EB%B0%95%EB%9E%8C%ED%9A%8C</x:v>
      </x:c>
      <x:c r="J119" s="18" t="str">
        <x:v>고양국제꽃박람회 &gt; 영상 확산 &gt; 플랫폼 &gt; Alphabet</x:v>
      </x:c>
      <x:c r="K119" s="18" t="str">
        <x:v>Y</x:v>
      </x:c>
    </x:row>
    <x:row r="120">
      <x:c r="A120" s="18" t="str">
        <x:v>kr_202605_goyang_flower_show</x:v>
      </x:c>
      <x:c r="B120" s="18" t="str">
        <x:v>NAVER</x:v>
      </x:c>
      <x:c r="C120" s="18" t="str">
        <x:v>035420</x:v>
      </x:c>
      <x:c r="D120" s="18" t="str">
        <x:v>KOSPI</x:v>
      </x:c>
      <x:c r="E120" s="18" t="str">
        <x:v>네이버 검색·블로그·클립·CHZZK를 운영하는 상장 플랫폼 기업</x:v>
      </x:c>
      <x:c r="F120" s="18" t="str">
        <x:v>플랫폼</x:v>
      </x:c>
      <x:c r="G120" s="18" t="str">
        <x:v>고양국제꽃박람회 관련 공개 검색·블로그·동영상 결과가 네이버 생태계에서 발견되는 직접 플랫폼 관계를 기록했다. 주가 수혜를 의미하지 않는다.</x:v>
      </x:c>
      <x:c r="H120" s="18" t="str">
        <x:v>direct</x:v>
      </x:c>
      <x:c r="I120" s="18" t="str">
        <x:v>https://search.naver.com/search.naver?query=%EA%B3%A0%EC%96%91%EA%B5%AD%EC%A0%9C%EA%BD%83%EB%B0%95%EB%9E%8C%ED%9A%8C</x:v>
      </x:c>
      <x:c r="J120" s="18" t="str">
        <x:v>고양국제꽃박람회 &gt; 국내 검색·콘텐츠 유통 &gt; 플랫폼 &gt; NAVER</x:v>
      </x:c>
      <x:c r="K120" s="18" t="str">
        <x:v>Y</x:v>
      </x:c>
    </x:row>
    <x:row r="121">
      <x:c r="A121" s="18" t="str">
        <x:v>kr_202605_romantic_hydrangea</x:v>
      </x:c>
      <x:c r="B121" s="18" t="str">
        <x:v>Meta Platforms, Inc.</x:v>
      </x:c>
      <x:c r="C121" s="18" t="str">
        <x:v>META</x:v>
      </x:c>
      <x:c r="D121" s="18" t="str">
        <x:v>NASDAQ</x:v>
      </x:c>
      <x:c r="E121" s="18" t="str">
        <x:v>Instagram과 Threads를 운영하는 상장 플랫폼 기업</x:v>
      </x:c>
      <x:c r="F121" s="18" t="str">
        <x:v>플랫폼</x:v>
      </x:c>
      <x:c r="G121" s="18" t="str">
        <x:v>서울식물원 낭만수국전 관련 공개 게시물·릴스·검색 결과가 Instagram 또는 Threads에서 유통·재생산되는 직접 플랫폼 관계를 확인했다. 매출·주가 효과는 확인하지 않았다.</x:v>
      </x:c>
      <x:c r="H121" s="18" t="str">
        <x:v>direct</x:v>
      </x:c>
      <x:c r="I121" s="18" t="str">
        <x:v>https://www.instagram.com/explore/search/keyword/?q=%EC%84%9C%EC%9A%B8%EC%8B%9D%EB%AC%BC%EC%9B%90%20%EB%82%AD%EB%A7%8C%EC%88%98%EA%B5%AD%EC%A0%84</x:v>
      </x:c>
      <x:c r="J121" s="18" t="str">
        <x:v>서울식물원 낭만수국전 &gt; 소셜 확산 &gt; 플랫폼 &gt; Meta Platforms</x:v>
      </x:c>
      <x:c r="K121" s="18" t="str">
        <x:v>Y</x:v>
      </x:c>
    </x:row>
    <x:row r="122">
      <x:c r="A122" s="18" t="str">
        <x:v>kr_202605_romantic_hydrangea</x:v>
      </x:c>
      <x:c r="B122" s="18" t="str">
        <x:v>Alphabet Inc.</x:v>
      </x:c>
      <x:c r="C122" s="18" t="str">
        <x:v>GOOGL</x:v>
      </x:c>
      <x:c r="D122" s="18" t="str">
        <x:v>NASDAQ</x:v>
      </x:c>
      <x:c r="E122" s="18" t="str">
        <x:v>Google 검색과 YouTube를 운영하는 상장 플랫폼 기업</x:v>
      </x:c>
      <x:c r="F122" s="18" t="str">
        <x:v>플랫폼</x:v>
      </x:c>
      <x:c r="G122" s="18" t="str">
        <x:v>서울식물원 낭만수국전 관련 동영상과 검색 결과가 YouTube에서 공개 유통되는 직접 플랫폼 관계를 확인했다. 검색량·광고매출 효과는 추정하지 않았다.</x:v>
      </x:c>
      <x:c r="H122" s="18" t="str">
        <x:v>direct</x:v>
      </x:c>
      <x:c r="I122" s="18" t="str">
        <x:v>https://www.youtube.com/results?search_query=%EC%84%9C%EC%9A%B8%EC%8B%9D%EB%AC%BC%EC%9B%90%20%EB%82%AD%EB%A7%8C%EC%88%98%EA%B5%AD%EC%A0%84</x:v>
      </x:c>
      <x:c r="J122" s="18" t="str">
        <x:v>서울식물원 낭만수국전 &gt; 영상 확산 &gt; 플랫폼 &gt; Alphabet</x:v>
      </x:c>
      <x:c r="K122" s="18" t="str">
        <x:v>Y</x:v>
      </x:c>
    </x:row>
    <x:row r="123">
      <x:c r="A123" s="18" t="str">
        <x:v>kr_202605_romantic_hydrangea</x:v>
      </x:c>
      <x:c r="B123" s="18" t="str">
        <x:v>NAVER</x:v>
      </x:c>
      <x:c r="C123" s="18" t="str">
        <x:v>035420</x:v>
      </x:c>
      <x:c r="D123" s="18" t="str">
        <x:v>KOSPI</x:v>
      </x:c>
      <x:c r="E123" s="18" t="str">
        <x:v>네이버 검색·블로그·클립·CHZZK를 운영하는 상장 플랫폼 기업</x:v>
      </x:c>
      <x:c r="F123" s="18" t="str">
        <x:v>플랫폼</x:v>
      </x:c>
      <x:c r="G123" s="18" t="str">
        <x:v>서울식물원 낭만수국전 관련 공개 검색·블로그·동영상 결과가 네이버 생태계에서 발견되는 직접 플랫폼 관계를 기록했다. 주가 수혜를 의미하지 않는다.</x:v>
      </x:c>
      <x:c r="H123" s="18" t="str">
        <x:v>direct</x:v>
      </x:c>
      <x:c r="I123" s="18" t="str">
        <x:v>https://search.naver.com/search.naver?query=%EC%84%9C%EC%9A%B8%EC%8B%9D%EB%AC%BC%EC%9B%90%20%EB%82%AD%EB%A7%8C%EC%88%98%EA%B5%AD%EC%A0%84</x:v>
      </x:c>
      <x:c r="J123" s="18" t="str">
        <x:v>서울식물원 낭만수국전 &gt; 국내 검색·콘텐츠 유통 &gt; 플랫폼 &gt; NAVER</x:v>
      </x:c>
      <x:c r="K123" s="18" t="str">
        <x:v>Y</x:v>
      </x:c>
    </x:row>
    <x:row r="124">
      <x:c r="A124" s="18" t="str">
        <x:v>kr_202605_seoul_garden_show</x:v>
      </x:c>
      <x:c r="B124" s="18" t="str">
        <x:v>Meta Platforms, Inc.</x:v>
      </x:c>
      <x:c r="C124" s="18" t="str">
        <x:v>META</x:v>
      </x:c>
      <x:c r="D124" s="18" t="str">
        <x:v>NASDAQ</x:v>
      </x:c>
      <x:c r="E124" s="18" t="str">
        <x:v>Instagram과 Threads를 운영하는 상장 플랫폼 기업</x:v>
      </x:c>
      <x:c r="F124" s="18" t="str">
        <x:v>플랫폼</x:v>
      </x:c>
      <x:c r="G124" s="18" t="str">
        <x:v>서울국제정원박람회 관련 공개 게시물·릴스·검색 결과가 Instagram 또는 Threads에서 유통·재생산되는 직접 플랫폼 관계를 확인했다. 매출·주가 효과는 확인하지 않았다.</x:v>
      </x:c>
      <x:c r="H124" s="18" t="str">
        <x:v>direct</x:v>
      </x:c>
      <x:c r="I124" s="18" t="str">
        <x:v>https://www.instagram.com/explore/search/keyword/?q=%EC%84%9C%EC%9A%B8%EA%B5%AD%EC%A0%9C%EC%A0%95%EC%9B%90%EB%B0%95%EB%9E%8C%ED%9A%8C</x:v>
      </x:c>
      <x:c r="J124" s="18" t="str">
        <x:v>서울국제정원박람회 &gt; 소셜 확산 &gt; 플랫폼 &gt; Meta Platforms</x:v>
      </x:c>
      <x:c r="K124" s="18" t="str">
        <x:v>Y</x:v>
      </x:c>
    </x:row>
    <x:row r="125">
      <x:c r="A125" s="18" t="str">
        <x:v>kr_202605_seoul_garden_show</x:v>
      </x:c>
      <x:c r="B125" s="18" t="str">
        <x:v>Alphabet Inc.</x:v>
      </x:c>
      <x:c r="C125" s="18" t="str">
        <x:v>GOOGL</x:v>
      </x:c>
      <x:c r="D125" s="18" t="str">
        <x:v>NASDAQ</x:v>
      </x:c>
      <x:c r="E125" s="18" t="str">
        <x:v>Google 검색과 YouTube를 운영하는 상장 플랫폼 기업</x:v>
      </x:c>
      <x:c r="F125" s="18" t="str">
        <x:v>플랫폼</x:v>
      </x:c>
      <x:c r="G125" s="18" t="str">
        <x:v>서울국제정원박람회 관련 동영상과 검색 결과가 YouTube에서 공개 유통되는 직접 플랫폼 관계를 확인했다. 검색량·광고매출 효과는 추정하지 않았다.</x:v>
      </x:c>
      <x:c r="H125" s="18" t="str">
        <x:v>direct</x:v>
      </x:c>
      <x:c r="I125" s="18" t="str">
        <x:v>https://www.youtube.com/results?search_query=%EC%84%9C%EC%9A%B8%EA%B5%AD%EC%A0%9C%EC%A0%95%EC%9B%90%EB%B0%95%EB%9E%8C%ED%9A%8C</x:v>
      </x:c>
      <x:c r="J125" s="18" t="str">
        <x:v>서울국제정원박람회 &gt; 영상 확산 &gt; 플랫폼 &gt; Alphabet</x:v>
      </x:c>
      <x:c r="K125" s="18" t="str">
        <x:v>Y</x:v>
      </x:c>
    </x:row>
    <x:row r="126">
      <x:c r="A126" s="18" t="str">
        <x:v>kr_202605_seoul_garden_show</x:v>
      </x:c>
      <x:c r="B126" s="18" t="str">
        <x:v>NAVER</x:v>
      </x:c>
      <x:c r="C126" s="18" t="str">
        <x:v>035420</x:v>
      </x:c>
      <x:c r="D126" s="18" t="str">
        <x:v>KOSPI</x:v>
      </x:c>
      <x:c r="E126" s="18" t="str">
        <x:v>네이버 검색·블로그·클립·CHZZK를 운영하는 상장 플랫폼 기업</x:v>
      </x:c>
      <x:c r="F126" s="18" t="str">
        <x:v>플랫폼</x:v>
      </x:c>
      <x:c r="G126" s="18" t="str">
        <x:v>서울국제정원박람회 관련 공개 검색·블로그·동영상 결과가 네이버 생태계에서 발견되는 직접 플랫폼 관계를 기록했다. 주가 수혜를 의미하지 않는다.</x:v>
      </x:c>
      <x:c r="H126" s="18" t="str">
        <x:v>direct</x:v>
      </x:c>
      <x:c r="I126" s="18" t="str">
        <x:v>https://search.naver.com/search.naver?query=%EC%84%9C%EC%9A%B8%EA%B5%AD%EC%A0%9C%EC%A0%95%EC%9B%90%EB%B0%95%EB%9E%8C%ED%9A%8C</x:v>
      </x:c>
      <x:c r="J126" s="18" t="str">
        <x:v>서울국제정원박람회 &gt; 국내 검색·콘텐츠 유통 &gt; 플랫폼 &gt; NAVER</x:v>
      </x:c>
      <x:c r="K126" s="18" t="str">
        <x:v>Y</x:v>
      </x:c>
    </x:row>
    <x:row r="127">
      <x:c r="A127" s="18" t="str">
        <x:v>kr_202605_salmokji</x:v>
      </x:c>
      <x:c r="B127" s="18" t="str">
        <x:v>Meta Platforms, Inc.</x:v>
      </x:c>
      <x:c r="C127" s="18" t="str">
        <x:v>META</x:v>
      </x:c>
      <x:c r="D127" s="18" t="str">
        <x:v>NASDAQ</x:v>
      </x:c>
      <x:c r="E127" s="18" t="str">
        <x:v>Instagram과 Threads를 운영하는 상장 플랫폼 기업</x:v>
      </x:c>
      <x:c r="F127" s="18" t="str">
        <x:v>플랫폼</x:v>
      </x:c>
      <x:c r="G127" s="18" t="str">
        <x:v>영화 살목지 관련 공개 게시물·릴스·검색 결과가 Instagram 또는 Threads에서 유통·재생산되는 직접 플랫폼 관계를 확인했다. 매출·주가 효과는 확인하지 않았다.</x:v>
      </x:c>
      <x:c r="H127" s="18" t="str">
        <x:v>direct</x:v>
      </x:c>
      <x:c r="I127" s="18" t="str">
        <x:v>https://www.instagram.com/explore/search/keyword/?q=%EC%98%81%ED%99%94%20%EC%82%B4%EB%AA%A9%EC%A7%80</x:v>
      </x:c>
      <x:c r="J127" s="18" t="str">
        <x:v>영화 살목지 &gt; 소셜 확산 &gt; 플랫폼 &gt; Meta Platforms</x:v>
      </x:c>
      <x:c r="K127" s="18" t="str">
        <x:v>Y</x:v>
      </x:c>
    </x:row>
    <x:row r="128">
      <x:c r="A128" s="18" t="str">
        <x:v>kr_202605_salmokji</x:v>
      </x:c>
      <x:c r="B128" s="18" t="str">
        <x:v>Alphabet Inc.</x:v>
      </x:c>
      <x:c r="C128" s="18" t="str">
        <x:v>GOOGL</x:v>
      </x:c>
      <x:c r="D128" s="18" t="str">
        <x:v>NASDAQ</x:v>
      </x:c>
      <x:c r="E128" s="18" t="str">
        <x:v>Google 검색과 YouTube를 운영하는 상장 플랫폼 기업</x:v>
      </x:c>
      <x:c r="F128" s="18" t="str">
        <x:v>플랫폼</x:v>
      </x:c>
      <x:c r="G128" s="18" t="str">
        <x:v>영화 살목지 관련 동영상과 검색 결과가 YouTube에서 공개 유통되는 직접 플랫폼 관계를 확인했다. 검색량·광고매출 효과는 추정하지 않았다.</x:v>
      </x:c>
      <x:c r="H128" s="18" t="str">
        <x:v>direct</x:v>
      </x:c>
      <x:c r="I128" s="18" t="str">
        <x:v>https://www.youtube.com/results?search_query=%EC%98%81%ED%99%94%20%EC%82%B4%EB%AA%A9%EC%A7%80</x:v>
      </x:c>
      <x:c r="J128" s="18" t="str">
        <x:v>영화 살목지 &gt; 영상 확산 &gt; 플랫폼 &gt; Alphabet</x:v>
      </x:c>
      <x:c r="K128" s="18" t="str">
        <x:v>Y</x:v>
      </x:c>
    </x:row>
    <x:row r="129">
      <x:c r="A129" s="18" t="str">
        <x:v>kr_202605_salmokji</x:v>
      </x:c>
      <x:c r="B129" s="18" t="str">
        <x:v>NAVER</x:v>
      </x:c>
      <x:c r="C129" s="18" t="str">
        <x:v>035420</x:v>
      </x:c>
      <x:c r="D129" s="18" t="str">
        <x:v>KOSPI</x:v>
      </x:c>
      <x:c r="E129" s="18" t="str">
        <x:v>네이버 검색·블로그·클립·CHZZK를 운영하는 상장 플랫폼 기업</x:v>
      </x:c>
      <x:c r="F129" s="18" t="str">
        <x:v>플랫폼</x:v>
      </x:c>
      <x:c r="G129" s="18" t="str">
        <x:v>영화 살목지 관련 공개 검색·블로그·동영상 결과가 네이버 생태계에서 발견되는 직접 플랫폼 관계를 기록했다. 주가 수혜를 의미하지 않는다.</x:v>
      </x:c>
      <x:c r="H129" s="18" t="str">
        <x:v>direct</x:v>
      </x:c>
      <x:c r="I129" s="18" t="str">
        <x:v>https://search.naver.com/search.naver?query=%EC%98%81%ED%99%94%20%EC%82%B4%EB%AA%A9%EC%A7%80</x:v>
      </x:c>
      <x:c r="J129" s="18" t="str">
        <x:v>영화 살목지 &gt; 국내 검색·콘텐츠 유통 &gt; 플랫폼 &gt; NAVER</x:v>
      </x:c>
      <x:c r="K129" s="18" t="str">
        <x:v>Y</x:v>
      </x:c>
    </x:row>
    <x:row r="130">
      <x:c r="A130" s="18" t="str">
        <x:v>kr_202605_namja_eopnya</x:v>
      </x:c>
      <x:c r="B130" s="18" t="str">
        <x:v>Meta Platforms, Inc.</x:v>
      </x:c>
      <x:c r="C130" s="18" t="str">
        <x:v>META</x:v>
      </x:c>
      <x:c r="D130" s="18" t="str">
        <x:v>NASDAQ</x:v>
      </x:c>
      <x:c r="E130" s="18" t="str">
        <x:v>Instagram과 Threads를 운영하는 상장 플랫폼 기업</x:v>
      </x:c>
      <x:c r="F130" s="18" t="str">
        <x:v>플랫폼</x:v>
      </x:c>
      <x:c r="G130" s="18" t="str">
        <x:v>남쟈 없냐 남쟈 관련 공개 게시물·릴스·검색 결과가 Instagram 또는 Threads에서 유통·재생산되는 직접 플랫폼 관계를 확인했다. 매출·주가 효과는 확인하지 않았다.</x:v>
      </x:c>
      <x:c r="H130" s="18" t="str">
        <x:v>direct</x:v>
      </x:c>
      <x:c r="I130" s="18" t="str">
        <x:v>https://www.instagram.com/explore/search/keyword/?q=%EB%82%A8%EC%9F%88%20%EC%97%86%EB%83%90%20%EB%82%A8%EC%9F%88</x:v>
      </x:c>
      <x:c r="J130" s="18" t="str">
        <x:v>남쟈 없냐 남쟈 &gt; 소셜 확산 &gt; 플랫폼 &gt; Meta Platforms</x:v>
      </x:c>
      <x:c r="K130" s="18" t="str">
        <x:v>Y</x:v>
      </x:c>
    </x:row>
    <x:row r="131">
      <x:c r="A131" s="18" t="str">
        <x:v>kr_202605_namja_eopnya</x:v>
      </x:c>
      <x:c r="B131" s="18" t="str">
        <x:v>Alphabet Inc.</x:v>
      </x:c>
      <x:c r="C131" s="18" t="str">
        <x:v>GOOGL</x:v>
      </x:c>
      <x:c r="D131" s="18" t="str">
        <x:v>NASDAQ</x:v>
      </x:c>
      <x:c r="E131" s="18" t="str">
        <x:v>Google 검색과 YouTube를 운영하는 상장 플랫폼 기업</x:v>
      </x:c>
      <x:c r="F131" s="18" t="str">
        <x:v>플랫폼</x:v>
      </x:c>
      <x:c r="G131" s="18" t="str">
        <x:v>남쟈 없냐 남쟈 관련 동영상과 검색 결과가 YouTube에서 공개 유통되는 직접 플랫폼 관계를 확인했다. 검색량·광고매출 효과는 추정하지 않았다.</x:v>
      </x:c>
      <x:c r="H131" s="18" t="str">
        <x:v>direct</x:v>
      </x:c>
      <x:c r="I131" s="18" t="str">
        <x:v>https://www.youtube.com/results?search_query=%EB%82%A8%EC%9F%88%20%EC%97%86%EB%83%90%20%EB%82%A8%EC%9F%88</x:v>
      </x:c>
      <x:c r="J131" s="18" t="str">
        <x:v>남쟈 없냐 남쟈 &gt; 영상 확산 &gt; 플랫폼 &gt; Alphabet</x:v>
      </x:c>
      <x:c r="K131" s="18" t="str">
        <x:v>Y</x:v>
      </x:c>
    </x:row>
    <x:row r="132">
      <x:c r="A132" s="18" t="str">
        <x:v>kr_202605_namja_eopnya</x:v>
      </x:c>
      <x:c r="B132" s="18" t="str">
        <x:v>NAVER</x:v>
      </x:c>
      <x:c r="C132" s="18" t="str">
        <x:v>035420</x:v>
      </x:c>
      <x:c r="D132" s="18" t="str">
        <x:v>KOSPI</x:v>
      </x:c>
      <x:c r="E132" s="18" t="str">
        <x:v>네이버 검색·블로그·클립·CHZZK를 운영하는 상장 플랫폼 기업</x:v>
      </x:c>
      <x:c r="F132" s="18" t="str">
        <x:v>플랫폼</x:v>
      </x:c>
      <x:c r="G132" s="18" t="str">
        <x:v>남쟈 없냐 남쟈 관련 공개 검색·블로그·동영상 결과가 네이버 생태계에서 발견되는 직접 플랫폼 관계를 기록했다. 주가 수혜를 의미하지 않는다.</x:v>
      </x:c>
      <x:c r="H132" s="18" t="str">
        <x:v>direct</x:v>
      </x:c>
      <x:c r="I132" s="18" t="str">
        <x:v>https://search.naver.com/search.naver?query=%EB%82%A8%EC%9F%88%20%EC%97%86%EB%83%90%20%EB%82%A8%EC%9F%88</x:v>
      </x:c>
      <x:c r="J132" s="18" t="str">
        <x:v>남쟈 없냐 남쟈 &gt; 국내 검색·콘텐츠 유통 &gt; 플랫폼 &gt; NAVER</x:v>
      </x:c>
      <x:c r="K132" s="18" t="str">
        <x:v>Y</x:v>
      </x:c>
    </x:row>
    <x:row r="133">
      <x:c r="A133" s="18" t="str">
        <x:v>kr_202605_green_green_red_red</x:v>
      </x:c>
      <x:c r="B133" s="18" t="str">
        <x:v>Meta Platforms, Inc.</x:v>
      </x:c>
      <x:c r="C133" s="18" t="str">
        <x:v>META</x:v>
      </x:c>
      <x:c r="D133" s="18" t="str">
        <x:v>NASDAQ</x:v>
      </x:c>
      <x:c r="E133" s="18" t="str">
        <x:v>Instagram과 Threads를 운영하는 상장 플랫폼 기업</x:v>
      </x:c>
      <x:c r="F133" s="18" t="str">
        <x:v>플랫폼</x:v>
      </x:c>
      <x:c r="G133" s="18" t="str">
        <x:v>그린그린·레드레드 관련 공개 게시물·릴스·검색 결과가 Instagram 또는 Threads에서 유통·재생산되는 직접 플랫폼 관계를 확인했다. 매출·주가 효과는 확인하지 않았다.</x:v>
      </x:c>
      <x:c r="H133" s="18" t="str">
        <x:v>direct</x:v>
      </x:c>
      <x:c r="I133" s="18" t="str">
        <x:v>https://www.instagram.com/explore/search/keyword/?q=%EA%B7%B8%EB%A6%B0%EA%B7%B8%EB%A6%B0%C2%B7%EB%A0%88%EB%93%9C%EB%A0%88%EB%93%9C</x:v>
      </x:c>
      <x:c r="J133" s="18" t="str">
        <x:v>그린그린·레드레드 &gt; 소셜 확산 &gt; 플랫폼 &gt; Meta Platforms</x:v>
      </x:c>
      <x:c r="K133" s="18" t="str">
        <x:v>Y</x:v>
      </x:c>
    </x:row>
    <x:row r="134">
      <x:c r="A134" s="18" t="str">
        <x:v>kr_202605_green_green_red_red</x:v>
      </x:c>
      <x:c r="B134" s="18" t="str">
        <x:v>Alphabet Inc.</x:v>
      </x:c>
      <x:c r="C134" s="18" t="str">
        <x:v>GOOGL</x:v>
      </x:c>
      <x:c r="D134" s="18" t="str">
        <x:v>NASDAQ</x:v>
      </x:c>
      <x:c r="E134" s="18" t="str">
        <x:v>Google 검색과 YouTube를 운영하는 상장 플랫폼 기업</x:v>
      </x:c>
      <x:c r="F134" s="18" t="str">
        <x:v>플랫폼</x:v>
      </x:c>
      <x:c r="G134" s="18" t="str">
        <x:v>그린그린·레드레드 관련 동영상과 검색 결과가 YouTube에서 공개 유통되는 직접 플랫폼 관계를 확인했다. 검색량·광고매출 효과는 추정하지 않았다.</x:v>
      </x:c>
      <x:c r="H134" s="18" t="str">
        <x:v>direct</x:v>
      </x:c>
      <x:c r="I134" s="18" t="str">
        <x:v>https://www.youtube.com/results?search_query=%EA%B7%B8%EB%A6%B0%EA%B7%B8%EB%A6%B0%C2%B7%EB%A0%88%EB%93%9C%EB%A0%88%EB%93%9C</x:v>
      </x:c>
      <x:c r="J134" s="18" t="str">
        <x:v>그린그린·레드레드 &gt; 영상 확산 &gt; 플랫폼 &gt; Alphabet</x:v>
      </x:c>
      <x:c r="K134" s="18" t="str">
        <x:v>Y</x:v>
      </x:c>
    </x:row>
    <x:row r="135">
      <x:c r="A135" s="18" t="str">
        <x:v>kr_202605_green_green_red_red</x:v>
      </x:c>
      <x:c r="B135" s="18" t="str">
        <x:v>NAVER</x:v>
      </x:c>
      <x:c r="C135" s="18" t="str">
        <x:v>035420</x:v>
      </x:c>
      <x:c r="D135" s="18" t="str">
        <x:v>KOSPI</x:v>
      </x:c>
      <x:c r="E135" s="18" t="str">
        <x:v>네이버 검색·블로그·클립·CHZZK를 운영하는 상장 플랫폼 기업</x:v>
      </x:c>
      <x:c r="F135" s="18" t="str">
        <x:v>플랫폼</x:v>
      </x:c>
      <x:c r="G135" s="18" t="str">
        <x:v>그린그린·레드레드 관련 공개 검색·블로그·동영상 결과가 네이버 생태계에서 발견되는 직접 플랫폼 관계를 기록했다. 주가 수혜를 의미하지 않는다.</x:v>
      </x:c>
      <x:c r="H135" s="18" t="str">
        <x:v>direct</x:v>
      </x:c>
      <x:c r="I135" s="18" t="str">
        <x:v>https://search.naver.com/search.naver?query=%EA%B7%B8%EB%A6%B0%EA%B7%B8%EB%A6%B0%C2%B7%EB%A0%88%EB%93%9C%EB%A0%88%EB%93%9C</x:v>
      </x:c>
      <x:c r="J135" s="18" t="str">
        <x:v>그린그린·레드레드 &gt; 국내 검색·콘텐츠 유통 &gt; 플랫폼 &gt; NAVER</x:v>
      </x:c>
      <x:c r="K135" s="18" t="str">
        <x:v>Y</x:v>
      </x:c>
    </x:row>
    <x:row r="136">
      <x:c r="A136" s="18" t="str">
        <x:v>kr_202605_gangnamstyle_remix_meme</x:v>
      </x:c>
      <x:c r="B136" s="18" t="str">
        <x:v>Meta Platforms, Inc.</x:v>
      </x:c>
      <x:c r="C136" s="18" t="str">
        <x:v>META</x:v>
      </x:c>
      <x:c r="D136" s="18" t="str">
        <x:v>NASDAQ</x:v>
      </x:c>
      <x:c r="E136" s="18" t="str">
        <x:v>Instagram과 Threads를 운영하는 상장 플랫폼 기업</x:v>
      </x:c>
      <x:c r="F136" s="18" t="str">
        <x:v>플랫폼</x:v>
      </x:c>
      <x:c r="G136" s="18" t="str">
        <x:v>강남스타일 리믹스 밈 관련 공개 게시물·릴스·검색 결과가 Instagram 또는 Threads에서 유통·재생산되는 직접 플랫폼 관계를 확인했다. 매출·주가 효과는 확인하지 않았다.</x:v>
      </x:c>
      <x:c r="H136" s="18" t="str">
        <x:v>direct</x:v>
      </x:c>
      <x:c r="I136" s="18" t="str">
        <x:v>https://www.instagram.com/explore/search/keyword/?q=%EA%B0%95%EB%82%A8%EC%8A%A4%ED%83%80%EC%9D%BC%20%EB%A6%AC%EB%AF%B9%EC%8A%A4%20%EB%B0%88</x:v>
      </x:c>
      <x:c r="J136" s="18" t="str">
        <x:v>강남스타일 리믹스 밈 &gt; 소셜 확산 &gt; 플랫폼 &gt; Meta Platforms</x:v>
      </x:c>
      <x:c r="K136" s="18" t="str">
        <x:v>Y</x:v>
      </x:c>
    </x:row>
    <x:row r="137">
      <x:c r="A137" s="18" t="str">
        <x:v>kr_202605_gangnamstyle_remix_meme</x:v>
      </x:c>
      <x:c r="B137" s="18" t="str">
        <x:v>Alphabet Inc.</x:v>
      </x:c>
      <x:c r="C137" s="18" t="str">
        <x:v>GOOGL</x:v>
      </x:c>
      <x:c r="D137" s="18" t="str">
        <x:v>NASDAQ</x:v>
      </x:c>
      <x:c r="E137" s="18" t="str">
        <x:v>Google 검색과 YouTube를 운영하는 상장 플랫폼 기업</x:v>
      </x:c>
      <x:c r="F137" s="18" t="str">
        <x:v>플랫폼</x:v>
      </x:c>
      <x:c r="G137" s="18" t="str">
        <x:v>강남스타일 리믹스 밈 관련 동영상과 검색 결과가 YouTube에서 공개 유통되는 직접 플랫폼 관계를 확인했다. 검색량·광고매출 효과는 추정하지 않았다.</x:v>
      </x:c>
      <x:c r="H137" s="18" t="str">
        <x:v>direct</x:v>
      </x:c>
      <x:c r="I137" s="18" t="str">
        <x:v>https://www.youtube.com/results?search_query=%EA%B0%95%EB%82%A8%EC%8A%A4%ED%83%80%EC%9D%BC%20%EB%A6%AC%EB%AF%B9%EC%8A%A4%20%EB%B0%88</x:v>
      </x:c>
      <x:c r="J137" s="18" t="str">
        <x:v>강남스타일 리믹스 밈 &gt; 영상 확산 &gt; 플랫폼 &gt; Alphabet</x:v>
      </x:c>
      <x:c r="K137" s="18" t="str">
        <x:v>Y</x:v>
      </x:c>
    </x:row>
    <x:row r="138">
      <x:c r="A138" s="18" t="str">
        <x:v>kr_202605_gangnamstyle_remix_meme</x:v>
      </x:c>
      <x:c r="B138" s="18" t="str">
        <x:v>NAVER</x:v>
      </x:c>
      <x:c r="C138" s="18" t="str">
        <x:v>035420</x:v>
      </x:c>
      <x:c r="D138" s="18" t="str">
        <x:v>KOSPI</x:v>
      </x:c>
      <x:c r="E138" s="18" t="str">
        <x:v>네이버 검색·블로그·클립·CHZZK를 운영하는 상장 플랫폼 기업</x:v>
      </x:c>
      <x:c r="F138" s="18" t="str">
        <x:v>플랫폼</x:v>
      </x:c>
      <x:c r="G138" s="18" t="str">
        <x:v>강남스타일 리믹스 밈 관련 공개 검색·블로그·동영상 결과가 네이버 생태계에서 발견되는 직접 플랫폼 관계를 기록했다. 주가 수혜를 의미하지 않는다.</x:v>
      </x:c>
      <x:c r="H138" s="18" t="str">
        <x:v>direct</x:v>
      </x:c>
      <x:c r="I138" s="18" t="str">
        <x:v>https://search.naver.com/search.naver?query=%EA%B0%95%EB%82%A8%EC%8A%A4%ED%83%80%EC%9D%BC%20%EB%A6%AC%EB%AF%B9%EC%8A%A4%20%EB%B0%88</x:v>
      </x:c>
      <x:c r="J138" s="18" t="str">
        <x:v>강남스타일 리믹스 밈 &gt; 국내 검색·콘텐츠 유통 &gt; 플랫폼 &gt; NAVER</x:v>
      </x:c>
      <x:c r="K138" s="18" t="str">
        <x:v>Y</x:v>
      </x:c>
    </x:row>
    <x:row r="139">
      <x:c r="A139" s="18" t="str">
        <x:v>kr_202605_golden_iyora</x:v>
      </x:c>
      <x:c r="B139" s="18" t="str">
        <x:v>Meta Platforms, Inc.</x:v>
      </x:c>
      <x:c r="C139" s="18" t="str">
        <x:v>META</x:v>
      </x:c>
      <x:c r="D139" s="18" t="str">
        <x:v>NASDAQ</x:v>
      </x:c>
      <x:c r="E139" s="18" t="str">
        <x:v>Instagram과 Threads를 운영하는 상장 플랫폼 기업</x:v>
      </x:c>
      <x:c r="F139" s="18" t="str">
        <x:v>플랫폼</x:v>
      </x:c>
      <x:c r="G139" s="18" t="str">
        <x:v>골든이여라 관련 공개 게시물·릴스·검색 결과가 Instagram 또는 Threads에서 유통·재생산되는 직접 플랫폼 관계를 확인했다. 매출·주가 효과는 확인하지 않았다.</x:v>
      </x:c>
      <x:c r="H139" s="18" t="str">
        <x:v>direct</x:v>
      </x:c>
      <x:c r="I139" s="18" t="str">
        <x:v>https://www.instagram.com/explore/search/keyword/?q=%EA%B3%A8%EB%93%A0%EC%9D%B4%EC%97%AC%EB%9D%BC</x:v>
      </x:c>
      <x:c r="J139" s="18" t="str">
        <x:v>골든이여라 &gt; 소셜 확산 &gt; 플랫폼 &gt; Meta Platforms</x:v>
      </x:c>
      <x:c r="K139" s="18" t="str">
        <x:v>Y</x:v>
      </x:c>
    </x:row>
    <x:row r="140">
      <x:c r="A140" s="18" t="str">
        <x:v>kr_202605_golden_iyora</x:v>
      </x:c>
      <x:c r="B140" s="18" t="str">
        <x:v>Alphabet Inc.</x:v>
      </x:c>
      <x:c r="C140" s="18" t="str">
        <x:v>GOOGL</x:v>
      </x:c>
      <x:c r="D140" s="18" t="str">
        <x:v>NASDAQ</x:v>
      </x:c>
      <x:c r="E140" s="18" t="str">
        <x:v>Google 검색과 YouTube를 운영하는 상장 플랫폼 기업</x:v>
      </x:c>
      <x:c r="F140" s="18" t="str">
        <x:v>플랫폼</x:v>
      </x:c>
      <x:c r="G140" s="18" t="str">
        <x:v>골든이여라 관련 동영상과 검색 결과가 YouTube에서 공개 유통되는 직접 플랫폼 관계를 확인했다. 검색량·광고매출 효과는 추정하지 않았다.</x:v>
      </x:c>
      <x:c r="H140" s="18" t="str">
        <x:v>direct</x:v>
      </x:c>
      <x:c r="I140" s="18" t="str">
        <x:v>https://www.youtube.com/results?search_query=%EA%B3%A8%EB%93%A0%EC%9D%B4%EC%97%AC%EB%9D%BC</x:v>
      </x:c>
      <x:c r="J140" s="18" t="str">
        <x:v>골든이여라 &gt; 영상 확산 &gt; 플랫폼 &gt; Alphabet</x:v>
      </x:c>
      <x:c r="K140" s="18" t="str">
        <x:v>Y</x:v>
      </x:c>
    </x:row>
    <x:row r="141">
      <x:c r="A141" s="18" t="str">
        <x:v>kr_202605_golden_iyora</x:v>
      </x:c>
      <x:c r="B141" s="18" t="str">
        <x:v>NAVER</x:v>
      </x:c>
      <x:c r="C141" s="18" t="str">
        <x:v>035420</x:v>
      </x:c>
      <x:c r="D141" s="18" t="str">
        <x:v>KOSPI</x:v>
      </x:c>
      <x:c r="E141" s="18" t="str">
        <x:v>네이버 검색·블로그·클립·CHZZK를 운영하는 상장 플랫폼 기업</x:v>
      </x:c>
      <x:c r="F141" s="18" t="str">
        <x:v>플랫폼</x:v>
      </x:c>
      <x:c r="G141" s="18" t="str">
        <x:v>골든이여라 관련 공개 검색·블로그·동영상 결과가 네이버 생태계에서 발견되는 직접 플랫폼 관계를 기록했다. 주가 수혜를 의미하지 않는다.</x:v>
      </x:c>
      <x:c r="H141" s="18" t="str">
        <x:v>direct</x:v>
      </x:c>
      <x:c r="I141" s="18" t="str">
        <x:v>https://search.naver.com/search.naver?query=%EA%B3%A8%EB%93%A0%EC%9D%B4%EC%97%AC%EB%9D%BC</x:v>
      </x:c>
      <x:c r="J141" s="18" t="str">
        <x:v>골든이여라 &gt; 국내 검색·콘텐츠 유통 &gt; 플랫폼 &gt; NAVER</x:v>
      </x:c>
      <x:c r="K141" s="18" t="str">
        <x:v>Y</x:v>
      </x:c>
    </x:row>
    <x:row r="142">
      <x:c r="A142" s="18" t="str">
        <x:v>kr_202605_snack_photo_decor</x:v>
      </x:c>
      <x:c r="B142" s="18" t="str">
        <x:v>Meta Platforms, Inc.</x:v>
      </x:c>
      <x:c r="C142" s="18" t="str">
        <x:v>META</x:v>
      </x:c>
      <x:c r="D142" s="18" t="str">
        <x:v>NASDAQ</x:v>
      </x:c>
      <x:c r="E142" s="18" t="str">
        <x:v>Instagram과 Threads를 운영하는 상장 플랫폼 기업</x:v>
      </x:c>
      <x:c r="F142" s="18" t="str">
        <x:v>플랫폼</x:v>
      </x:c>
      <x:c r="G142" s="18" t="str">
        <x:v>과자 사진 꾸미기 관련 공개 게시물·릴스·검색 결과가 Instagram 또는 Threads에서 유통·재생산되는 직접 플랫폼 관계를 확인했다. 매출·주가 효과는 확인하지 않았다.</x:v>
      </x:c>
      <x:c r="H142" s="18" t="str">
        <x:v>direct</x:v>
      </x:c>
      <x:c r="I142" s="18" t="str">
        <x:v>https://www.instagram.com/explore/search/keyword/?q=%EA%B3%BC%EC%9E%90%20%EC%82%AC%EC%A7%84%20%EA%BE%B8%EB%AF%B8%EA%B8%B0</x:v>
      </x:c>
      <x:c r="J142" s="18" t="str">
        <x:v>과자 사진 꾸미기 &gt; 소셜 확산 &gt; 플랫폼 &gt; Meta Platforms</x:v>
      </x:c>
      <x:c r="K142" s="18" t="str">
        <x:v>Y</x:v>
      </x:c>
    </x:row>
    <x:row r="143">
      <x:c r="A143" s="18" t="str">
        <x:v>kr_202605_snack_photo_decor</x:v>
      </x:c>
      <x:c r="B143" s="18" t="str">
        <x:v>Alphabet Inc.</x:v>
      </x:c>
      <x:c r="C143" s="18" t="str">
        <x:v>GOOGL</x:v>
      </x:c>
      <x:c r="D143" s="18" t="str">
        <x:v>NASDAQ</x:v>
      </x:c>
      <x:c r="E143" s="18" t="str">
        <x:v>Google 검색과 YouTube를 운영하는 상장 플랫폼 기업</x:v>
      </x:c>
      <x:c r="F143" s="18" t="str">
        <x:v>플랫폼</x:v>
      </x:c>
      <x:c r="G143" s="18" t="str">
        <x:v>과자 사진 꾸미기 관련 동영상과 검색 결과가 YouTube에서 공개 유통되는 직접 플랫폼 관계를 확인했다. 검색량·광고매출 효과는 추정하지 않았다.</x:v>
      </x:c>
      <x:c r="H143" s="18" t="str">
        <x:v>direct</x:v>
      </x:c>
      <x:c r="I143" s="18" t="str">
        <x:v>https://www.youtube.com/results?search_query=%EA%B3%BC%EC%9E%90%20%EC%82%AC%EC%A7%84%20%EA%BE%B8%EB%AF%B8%EA%B8%B0</x:v>
      </x:c>
      <x:c r="J143" s="18" t="str">
        <x:v>과자 사진 꾸미기 &gt; 영상 확산 &gt; 플랫폼 &gt; Alphabet</x:v>
      </x:c>
      <x:c r="K143" s="18" t="str">
        <x:v>Y</x:v>
      </x:c>
    </x:row>
    <x:row r="144">
      <x:c r="A144" s="18" t="str">
        <x:v>kr_202605_snack_photo_decor</x:v>
      </x:c>
      <x:c r="B144" s="18" t="str">
        <x:v>NAVER</x:v>
      </x:c>
      <x:c r="C144" s="18" t="str">
        <x:v>035420</x:v>
      </x:c>
      <x:c r="D144" s="18" t="str">
        <x:v>KOSPI</x:v>
      </x:c>
      <x:c r="E144" s="18" t="str">
        <x:v>네이버 검색·블로그·클립·CHZZK를 운영하는 상장 플랫폼 기업</x:v>
      </x:c>
      <x:c r="F144" s="18" t="str">
        <x:v>플랫폼</x:v>
      </x:c>
      <x:c r="G144" s="18" t="str">
        <x:v>과자 사진 꾸미기 관련 공개 검색·블로그·동영상 결과가 네이버 생태계에서 발견되는 직접 플랫폼 관계를 기록했다. 주가 수혜를 의미하지 않는다.</x:v>
      </x:c>
      <x:c r="H144" s="18" t="str">
        <x:v>direct</x:v>
      </x:c>
      <x:c r="I144" s="18" t="str">
        <x:v>https://search.naver.com/search.naver?query=%EA%B3%BC%EC%9E%90%20%EC%82%AC%EC%A7%84%20%EA%BE%B8%EB%AF%B8%EA%B8%B0</x:v>
      </x:c>
      <x:c r="J144" s="18" t="str">
        <x:v>과자 사진 꾸미기 &gt; 국내 검색·콘텐츠 유통 &gt; 플랫폼 &gt; NAVER</x:v>
      </x:c>
      <x:c r="K144" s="18" t="str">
        <x:v>Y</x:v>
      </x:c>
    </x:row>
    <x:row r="145">
      <x:c r="A145" s="18" t="str">
        <x:v>kr_202606_born_year_dance</x:v>
      </x:c>
      <x:c r="B145" s="18" t="str">
        <x:v>Meta Platforms, Inc.</x:v>
      </x:c>
      <x:c r="C145" s="18" t="str">
        <x:v>META</x:v>
      </x:c>
      <x:c r="D145" s="18" t="str">
        <x:v>NASDAQ</x:v>
      </x:c>
      <x:c r="E145" s="18" t="str">
        <x:v>Instagram과 Threads를 운영하는 상장 플랫폼 기업</x:v>
      </x:c>
      <x:c r="F145" s="18" t="str">
        <x:v>플랫폼</x:v>
      </x:c>
      <x:c r="G145" s="18" t="str">
        <x:v>나 ○○년생 ○○○인데 관련 공개 게시물·릴스·검색 결과가 Instagram 또는 Threads에서 유통·재생산되는 직접 플랫폼 관계를 확인했다. 매출·주가 효과는 확인하지 않았다.</x:v>
      </x:c>
      <x:c r="H145" s="18" t="str">
        <x:v>direct</x:v>
      </x:c>
      <x:c r="I145" s="18" t="str">
        <x:v>https://www.instagram.com/explore/search/keyword/?q=%EB%82%98%20%E2%97%8B%E2%97%8B%EB%85%84%EC%83%9D%20%E2%97%8B%E2%97%8B%E2%97%8B%EC%9D%B8%EB%8D%B0</x:v>
      </x:c>
      <x:c r="J145" s="18" t="str">
        <x:v>나 ○○년생 ○○○인데 &gt; 소셜 확산 &gt; 플랫폼 &gt; Meta Platforms</x:v>
      </x:c>
      <x:c r="K145" s="18" t="str">
        <x:v>Y</x:v>
      </x:c>
    </x:row>
    <x:row r="146">
      <x:c r="A146" s="18" t="str">
        <x:v>kr_202606_born_year_dance</x:v>
      </x:c>
      <x:c r="B146" s="18" t="str">
        <x:v>Alphabet Inc.</x:v>
      </x:c>
      <x:c r="C146" s="18" t="str">
        <x:v>GOOGL</x:v>
      </x:c>
      <x:c r="D146" s="18" t="str">
        <x:v>NASDAQ</x:v>
      </x:c>
      <x:c r="E146" s="18" t="str">
        <x:v>Google 검색과 YouTube를 운영하는 상장 플랫폼 기업</x:v>
      </x:c>
      <x:c r="F146" s="18" t="str">
        <x:v>플랫폼</x:v>
      </x:c>
      <x:c r="G146" s="18" t="str">
        <x:v>나 ○○년생 ○○○인데 관련 동영상과 검색 결과가 YouTube에서 공개 유통되는 직접 플랫폼 관계를 확인했다. 검색량·광고매출 효과는 추정하지 않았다.</x:v>
      </x:c>
      <x:c r="H146" s="18" t="str">
        <x:v>direct</x:v>
      </x:c>
      <x:c r="I146" s="18" t="str">
        <x:v>https://www.youtube.com/results?search_query=%EB%82%98%20%E2%97%8B%E2%97%8B%EB%85%84%EC%83%9D%20%E2%97%8B%E2%97%8B%E2%97%8B%EC%9D%B8%EB%8D%B0</x:v>
      </x:c>
      <x:c r="J146" s="18" t="str">
        <x:v>나 ○○년생 ○○○인데 &gt; 영상 확산 &gt; 플랫폼 &gt; Alphabet</x:v>
      </x:c>
      <x:c r="K146" s="18" t="str">
        <x:v>Y</x:v>
      </x:c>
    </x:row>
    <x:row r="147">
      <x:c r="A147" s="18" t="str">
        <x:v>kr_202606_born_year_dance</x:v>
      </x:c>
      <x:c r="B147" s="18" t="str">
        <x:v>NAVER</x:v>
      </x:c>
      <x:c r="C147" s="18" t="str">
        <x:v>035420</x:v>
      </x:c>
      <x:c r="D147" s="18" t="str">
        <x:v>KOSPI</x:v>
      </x:c>
      <x:c r="E147" s="18" t="str">
        <x:v>네이버 검색·블로그·클립·CHZZK를 운영하는 상장 플랫폼 기업</x:v>
      </x:c>
      <x:c r="F147" s="18" t="str">
        <x:v>플랫폼</x:v>
      </x:c>
      <x:c r="G147" s="18" t="str">
        <x:v>나 ○○년생 ○○○인데 관련 공개 검색·블로그·동영상 결과가 네이버 생태계에서 발견되는 직접 플랫폼 관계를 기록했다. 주가 수혜를 의미하지 않는다.</x:v>
      </x:c>
      <x:c r="H147" s="18" t="str">
        <x:v>direct</x:v>
      </x:c>
      <x:c r="I147" s="18" t="str">
        <x:v>https://search.naver.com/search.naver?query=%EB%82%98%20%E2%97%8B%E2%97%8B%EB%85%84%EC%83%9D%20%E2%97%8B%E2%97%8B%E2%97%8B%EC%9D%B8%EB%8D%B0</x:v>
      </x:c>
      <x:c r="J147" s="18" t="str">
        <x:v>나 ○○년생 ○○○인데 &gt; 국내 검색·콘텐츠 유통 &gt; 플랫폼 &gt; NAVER</x:v>
      </x:c>
      <x:c r="K147" s="18" t="str">
        <x:v>Y</x:v>
      </x:c>
    </x:row>
    <x:row r="148">
      <x:c r="A148" s="18" t="str">
        <x:v>kr_202606_millennial_genz_compare</x:v>
      </x:c>
      <x:c r="B148" s="18" t="str">
        <x:v>Meta Platforms, Inc.</x:v>
      </x:c>
      <x:c r="C148" s="18" t="str">
        <x:v>META</x:v>
      </x:c>
      <x:c r="D148" s="18" t="str">
        <x:v>NASDAQ</x:v>
      </x:c>
      <x:c r="E148" s="18" t="str">
        <x:v>Instagram과 Threads를 운영하는 상장 플랫폼 기업</x:v>
      </x:c>
      <x:c r="F148" s="18" t="str">
        <x:v>플랫폼</x:v>
      </x:c>
      <x:c r="G148" s="18" t="str">
        <x:v>밀레니얼 vs 젠지 담당자 비교 관련 공개 게시물·릴스·검색 결과가 Instagram 또는 Threads에서 유통·재생산되는 직접 플랫폼 관계를 확인했다. 매출·주가 효과는 확인하지 않았다.</x:v>
      </x:c>
      <x:c r="H148" s="18" t="str">
        <x:v>direct</x:v>
      </x:c>
      <x:c r="I148" s="18" t="str">
        <x:v>https://www.instagram.com/explore/search/keyword/?q=%EB%B0%80%EB%A0%88%EB%8B%88%EC%96%BC%20vs%20%EC%A0%A0%EC%A7%80%20%EB%8B%B4%EB%8B%B9%EC%9E%90%20%EB%B9%84%EA%B5%90</x:v>
      </x:c>
      <x:c r="J148" s="18" t="str">
        <x:v>밀레니얼 vs 젠지 담당자 비교 &gt; 소셜 확산 &gt; 플랫폼 &gt; Meta Platforms</x:v>
      </x:c>
      <x:c r="K148" s="18" t="str">
        <x:v>Y</x:v>
      </x:c>
    </x:row>
    <x:row r="149">
      <x:c r="A149" s="18" t="str">
        <x:v>kr_202606_millennial_genz_compare</x:v>
      </x:c>
      <x:c r="B149" s="18" t="str">
        <x:v>Alphabet Inc.</x:v>
      </x:c>
      <x:c r="C149" s="18" t="str">
        <x:v>GOOGL</x:v>
      </x:c>
      <x:c r="D149" s="18" t="str">
        <x:v>NASDAQ</x:v>
      </x:c>
      <x:c r="E149" s="18" t="str">
        <x:v>Google 검색과 YouTube를 운영하는 상장 플랫폼 기업</x:v>
      </x:c>
      <x:c r="F149" s="18" t="str">
        <x:v>플랫폼</x:v>
      </x:c>
      <x:c r="G149" s="18" t="str">
        <x:v>밀레니얼 vs 젠지 담당자 비교 관련 동영상과 검색 결과가 YouTube에서 공개 유통되는 직접 플랫폼 관계를 확인했다. 검색량·광고매출 효과는 추정하지 않았다.</x:v>
      </x:c>
      <x:c r="H149" s="18" t="str">
        <x:v>direct</x:v>
      </x:c>
      <x:c r="I149" s="18" t="str">
        <x:v>https://www.youtube.com/results?search_query=%EB%B0%80%EB%A0%88%EB%8B%88%EC%96%BC%20vs%20%EC%A0%A0%EC%A7%80%20%EB%8B%B4%EB%8B%B9%EC%9E%90%20%EB%B9%84%EA%B5%90</x:v>
      </x:c>
      <x:c r="J149" s="18" t="str">
        <x:v>밀레니얼 vs 젠지 담당자 비교 &gt; 영상 확산 &gt; 플랫폼 &gt; Alphabet</x:v>
      </x:c>
      <x:c r="K149" s="18" t="str">
        <x:v>Y</x:v>
      </x:c>
    </x:row>
    <x:row r="150">
      <x:c r="A150" s="18" t="str">
        <x:v>kr_202606_millennial_genz_compare</x:v>
      </x:c>
      <x:c r="B150" s="18" t="str">
        <x:v>NAVER</x:v>
      </x:c>
      <x:c r="C150" s="18" t="str">
        <x:v>035420</x:v>
      </x:c>
      <x:c r="D150" s="18" t="str">
        <x:v>KOSPI</x:v>
      </x:c>
      <x:c r="E150" s="18" t="str">
        <x:v>네이버 검색·블로그·클립·CHZZK를 운영하는 상장 플랫폼 기업</x:v>
      </x:c>
      <x:c r="F150" s="18" t="str">
        <x:v>플랫폼</x:v>
      </x:c>
      <x:c r="G150" s="18" t="str">
        <x:v>밀레니얼 vs 젠지 담당자 비교 관련 공개 검색·블로그·동영상 결과가 네이버 생태계에서 발견되는 직접 플랫폼 관계를 기록했다. 주가 수혜를 의미하지 않는다.</x:v>
      </x:c>
      <x:c r="H150" s="18" t="str">
        <x:v>direct</x:v>
      </x:c>
      <x:c r="I150" s="18" t="str">
        <x:v>https://search.naver.com/search.naver?query=%EB%B0%80%EB%A0%88%EB%8B%88%EC%96%BC%20vs%20%EC%A0%A0%EC%A7%80%20%EB%8B%B4%EB%8B%B9%EC%9E%90%20%EB%B9%84%EA%B5%90</x:v>
      </x:c>
      <x:c r="J150" s="18" t="str">
        <x:v>밀레니얼 vs 젠지 담당자 비교 &gt; 국내 검색·콘텐츠 유통 &gt; 플랫폼 &gt; NAVER</x:v>
      </x:c>
      <x:c r="K150" s="18" t="str">
        <x:v>Y</x:v>
      </x:c>
    </x:row>
    <x:row r="151">
      <x:c r="A151" s="18" t="str">
        <x:v>kr_202606_acting_challenge</x:v>
      </x:c>
      <x:c r="B151" s="18" t="str">
        <x:v>Meta Platforms, Inc.</x:v>
      </x:c>
      <x:c r="C151" s="18" t="str">
        <x:v>META</x:v>
      </x:c>
      <x:c r="D151" s="18" t="str">
        <x:v>NASDAQ</x:v>
      </x:c>
      <x:c r="E151" s="18" t="str">
        <x:v>Instagram과 Threads를 운영하는 상장 플랫폼 기업</x:v>
      </x:c>
      <x:c r="F151" s="18" t="str">
        <x:v>플랫폼</x:v>
      </x:c>
      <x:c r="G151" s="18" t="str">
        <x:v>연기 챌린지 관련 공개 게시물·릴스·검색 결과가 Instagram 또는 Threads에서 유통·재생산되는 직접 플랫폼 관계를 확인했다. 매출·주가 효과는 확인하지 않았다.</x:v>
      </x:c>
      <x:c r="H151" s="18" t="str">
        <x:v>direct</x:v>
      </x:c>
      <x:c r="I151" s="18" t="str">
        <x:v>https://www.instagram.com/explore/search/keyword/?q=%EC%97%B0%EA%B8%B0%20%EC%B1%8C%EB%A6%B0%EC%A7%80</x:v>
      </x:c>
      <x:c r="J151" s="18" t="str">
        <x:v>연기 챌린지 &gt; 소셜 확산 &gt; 플랫폼 &gt; Meta Platforms</x:v>
      </x:c>
      <x:c r="K151" s="18" t="str">
        <x:v>Y</x:v>
      </x:c>
    </x:row>
    <x:row r="152">
      <x:c r="A152" s="18" t="str">
        <x:v>kr_202606_acting_challenge</x:v>
      </x:c>
      <x:c r="B152" s="18" t="str">
        <x:v>Alphabet Inc.</x:v>
      </x:c>
      <x:c r="C152" s="18" t="str">
        <x:v>GOOGL</x:v>
      </x:c>
      <x:c r="D152" s="18" t="str">
        <x:v>NASDAQ</x:v>
      </x:c>
      <x:c r="E152" s="18" t="str">
        <x:v>Google 검색과 YouTube를 운영하는 상장 플랫폼 기업</x:v>
      </x:c>
      <x:c r="F152" s="18" t="str">
        <x:v>플랫폼</x:v>
      </x:c>
      <x:c r="G152" s="18" t="str">
        <x:v>연기 챌린지 관련 동영상과 검색 결과가 YouTube에서 공개 유통되는 직접 플랫폼 관계를 확인했다. 검색량·광고매출 효과는 추정하지 않았다.</x:v>
      </x:c>
      <x:c r="H152" s="18" t="str">
        <x:v>direct</x:v>
      </x:c>
      <x:c r="I152" s="18" t="str">
        <x:v>https://www.youtube.com/results?search_query=%EC%97%B0%EA%B8%B0%20%EC%B1%8C%EB%A6%B0%EC%A7%80</x:v>
      </x:c>
      <x:c r="J152" s="18" t="str">
        <x:v>연기 챌린지 &gt; 영상 확산 &gt; 플랫폼 &gt; Alphabet</x:v>
      </x:c>
      <x:c r="K152" s="18" t="str">
        <x:v>Y</x:v>
      </x:c>
    </x:row>
    <x:row r="153">
      <x:c r="A153" s="18" t="str">
        <x:v>kr_202606_acting_challenge</x:v>
      </x:c>
      <x:c r="B153" s="18" t="str">
        <x:v>NAVER</x:v>
      </x:c>
      <x:c r="C153" s="18" t="str">
        <x:v>035420</x:v>
      </x:c>
      <x:c r="D153" s="18" t="str">
        <x:v>KOSPI</x:v>
      </x:c>
      <x:c r="E153" s="18" t="str">
        <x:v>네이버 검색·블로그·클립·CHZZK를 운영하는 상장 플랫폼 기업</x:v>
      </x:c>
      <x:c r="F153" s="18" t="str">
        <x:v>플랫폼</x:v>
      </x:c>
      <x:c r="G153" s="18" t="str">
        <x:v>연기 챌린지 관련 공개 검색·블로그·동영상 결과가 네이버 생태계에서 발견되는 직접 플랫폼 관계를 기록했다. 주가 수혜를 의미하지 않는다.</x:v>
      </x:c>
      <x:c r="H153" s="18" t="str">
        <x:v>direct</x:v>
      </x:c>
      <x:c r="I153" s="18" t="str">
        <x:v>https://search.naver.com/search.naver?query=%EC%97%B0%EA%B8%B0%20%EC%B1%8C%EB%A6%B0%EC%A7%80</x:v>
      </x:c>
      <x:c r="J153" s="18" t="str">
        <x:v>연기 챌린지 &gt; 국내 검색·콘텐츠 유통 &gt; 플랫폼 &gt; NAVER</x:v>
      </x:c>
      <x:c r="K153" s="18" t="str">
        <x:v>Y</x:v>
      </x:c>
    </x:row>
    <x:row r="154">
      <x:c r="A154" s="18"/>
      <x:c r="B154" s="18"/>
      <x:c r="C154" s="18"/>
      <x:c r="D154" s="18"/>
      <x:c r="E154" s="18"/>
      <x:c r="F154" s="18"/>
      <x:c r="G154" s="18"/>
      <x:c r="H154" s="18"/>
      <x:c r="I154" s="18"/>
      <x:c r="J154" s="18"/>
      <x:c r="K154" s="18"/>
    </x:row>
    <x:row r="155">
      <x:c r="A155" s="18"/>
      <x:c r="B155" s="18"/>
      <x:c r="C155" s="18"/>
      <x:c r="D155" s="18"/>
      <x:c r="E155" s="18"/>
      <x:c r="F155" s="18"/>
      <x:c r="G155" s="18"/>
      <x:c r="H155" s="18"/>
      <x:c r="I155" s="18"/>
      <x:c r="J155" s="18"/>
      <x:c r="K155" s="18"/>
    </x:row>
    <x:row r="156">
      <x:c r="A156" s="18"/>
      <x:c r="B156" s="18"/>
      <x:c r="C156" s="18"/>
      <x:c r="D156" s="18"/>
      <x:c r="E156" s="18"/>
      <x:c r="F156" s="18"/>
      <x:c r="G156" s="18"/>
      <x:c r="H156" s="18"/>
      <x:c r="I156" s="18"/>
      <x:c r="J156" s="18"/>
      <x:c r="K156" s="18"/>
    </x:row>
    <x:row r="157">
      <x:c r="A157" s="18"/>
      <x:c r="B157" s="18"/>
      <x:c r="C157" s="18"/>
      <x:c r="D157" s="18"/>
      <x:c r="E157" s="18"/>
      <x:c r="F157" s="18"/>
      <x:c r="G157" s="18"/>
      <x:c r="H157" s="18"/>
      <x:c r="I157" s="18"/>
      <x:c r="J157" s="18"/>
      <x:c r="K157" s="18"/>
    </x:row>
    <x:row r="158">
      <x:c r="A158" s="18"/>
      <x:c r="B158" s="18"/>
      <x:c r="C158" s="18"/>
      <x:c r="D158" s="18"/>
      <x:c r="E158" s="18"/>
      <x:c r="F158" s="18"/>
      <x:c r="G158" s="18"/>
      <x:c r="H158" s="18"/>
      <x:c r="I158" s="18"/>
      <x:c r="J158" s="18"/>
      <x:c r="K158" s="18"/>
    </x:row>
    <x:row r="159">
      <x:c r="A159" s="18"/>
      <x:c r="B159" s="18"/>
      <x:c r="C159" s="18"/>
      <x:c r="D159" s="18"/>
      <x:c r="E159" s="18"/>
      <x:c r="F159" s="18"/>
      <x:c r="G159" s="18"/>
      <x:c r="H159" s="18"/>
      <x:c r="I159" s="18"/>
      <x:c r="J159" s="18"/>
      <x:c r="K159" s="18"/>
    </x:row>
    <x:row r="160">
      <x:c r="A160" s="18"/>
      <x:c r="B160" s="18"/>
      <x:c r="C160" s="18"/>
      <x:c r="D160" s="18"/>
      <x:c r="E160" s="18"/>
      <x:c r="F160" s="18"/>
      <x:c r="G160" s="18"/>
      <x:c r="H160" s="18"/>
      <x:c r="I160" s="18"/>
      <x:c r="J160" s="18"/>
      <x:c r="K160" s="18"/>
    </x:row>
    <x:row r="161">
      <x:c r="A161" s="18"/>
      <x:c r="B161" s="18"/>
      <x:c r="C161" s="18"/>
      <x:c r="D161" s="18"/>
      <x:c r="E161" s="18"/>
      <x:c r="F161" s="18"/>
      <x:c r="G161" s="18"/>
      <x:c r="H161" s="18"/>
      <x:c r="I161" s="18"/>
      <x:c r="J161" s="18"/>
      <x:c r="K161" s="18"/>
    </x:row>
    <x:row r="162">
      <x:c r="A162" s="18"/>
      <x:c r="B162" s="18"/>
      <x:c r="C162" s="18"/>
      <x:c r="D162" s="18"/>
      <x:c r="E162" s="18"/>
      <x:c r="F162" s="18"/>
      <x:c r="G162" s="18"/>
      <x:c r="H162" s="18"/>
      <x:c r="I162" s="18"/>
      <x:c r="J162" s="18"/>
      <x:c r="K162" s="18"/>
    </x:row>
    <x:row r="163">
      <x:c r="A163" s="18"/>
      <x:c r="B163" s="18"/>
      <x:c r="C163" s="18"/>
      <x:c r="D163" s="18"/>
      <x:c r="E163" s="18"/>
      <x:c r="F163" s="18"/>
      <x:c r="G163" s="18"/>
      <x:c r="H163" s="18"/>
      <x:c r="I163" s="18"/>
      <x:c r="J163" s="18"/>
      <x:c r="K163" s="18"/>
    </x:row>
    <x:row r="164">
      <x:c r="A164" s="18"/>
      <x:c r="B164" s="18"/>
      <x:c r="C164" s="18"/>
      <x:c r="D164" s="18"/>
      <x:c r="E164" s="18"/>
      <x:c r="F164" s="18"/>
      <x:c r="G164" s="18"/>
      <x:c r="H164" s="18"/>
      <x:c r="I164" s="18"/>
      <x:c r="J164" s="18"/>
      <x:c r="K164" s="18"/>
    </x:row>
    <x:row r="165">
      <x:c r="A165" s="18"/>
      <x:c r="B165" s="18"/>
      <x:c r="C165" s="18"/>
      <x:c r="D165" s="18"/>
      <x:c r="E165" s="18"/>
      <x:c r="F165" s="18"/>
      <x:c r="G165" s="18"/>
      <x:c r="H165" s="18"/>
      <x:c r="I165" s="18"/>
      <x:c r="J165" s="18"/>
      <x:c r="K165" s="18"/>
    </x:row>
    <x:row r="166">
      <x:c r="A166" s="18"/>
      <x:c r="B166" s="18"/>
      <x:c r="C166" s="18"/>
      <x:c r="D166" s="18"/>
      <x:c r="E166" s="18"/>
      <x:c r="F166" s="18"/>
      <x:c r="G166" s="18"/>
      <x:c r="H166" s="18"/>
      <x:c r="I166" s="18"/>
      <x:c r="J166" s="18"/>
      <x:c r="K166" s="18"/>
    </x:row>
    <x:row r="167">
      <x:c r="A167" s="18"/>
      <x:c r="B167" s="18"/>
      <x:c r="C167" s="18"/>
      <x:c r="D167" s="18"/>
      <x:c r="E167" s="18"/>
      <x:c r="F167" s="18"/>
      <x:c r="G167" s="18"/>
      <x:c r="H167" s="18"/>
      <x:c r="I167" s="18"/>
      <x:c r="J167" s="18"/>
      <x:c r="K167" s="18"/>
    </x:row>
    <x:row r="168">
      <x:c r="A168" s="18"/>
      <x:c r="B168" s="18"/>
      <x:c r="C168" s="18"/>
      <x:c r="D168" s="18"/>
      <x:c r="E168" s="18"/>
      <x:c r="F168" s="18"/>
      <x:c r="G168" s="18"/>
      <x:c r="H168" s="18"/>
      <x:c r="I168" s="18"/>
      <x:c r="J168" s="18"/>
      <x:c r="K168" s="18"/>
    </x:row>
    <x:row r="169">
      <x:c r="A169" s="18"/>
      <x:c r="B169" s="18"/>
      <x:c r="C169" s="18"/>
      <x:c r="D169" s="18"/>
      <x:c r="E169" s="18"/>
      <x:c r="F169" s="18"/>
      <x:c r="G169" s="18"/>
      <x:c r="H169" s="18"/>
      <x:c r="I169" s="18"/>
      <x:c r="J169" s="18"/>
      <x:c r="K169" s="18"/>
    </x:row>
    <x:row r="170">
      <x:c r="A170" s="18"/>
      <x:c r="B170" s="18"/>
      <x:c r="C170" s="18"/>
      <x:c r="D170" s="18"/>
      <x:c r="E170" s="18"/>
      <x:c r="F170" s="18"/>
      <x:c r="G170" s="18"/>
      <x:c r="H170" s="18"/>
      <x:c r="I170" s="18"/>
      <x:c r="J170" s="18"/>
      <x:c r="K170" s="18"/>
    </x:row>
    <x:row r="171">
      <x:c r="A171" s="18"/>
      <x:c r="B171" s="18"/>
      <x:c r="C171" s="18"/>
      <x:c r="D171" s="18"/>
      <x:c r="E171" s="18"/>
      <x:c r="F171" s="18"/>
      <x:c r="G171" s="18"/>
      <x:c r="H171" s="18"/>
      <x:c r="I171" s="18"/>
      <x:c r="J171" s="18"/>
      <x:c r="K171" s="18"/>
    </x:row>
    <x:row r="172">
      <x:c r="A172" s="18"/>
      <x:c r="B172" s="18"/>
      <x:c r="C172" s="18"/>
      <x:c r="D172" s="18"/>
      <x:c r="E172" s="18"/>
      <x:c r="F172" s="18"/>
      <x:c r="G172" s="18"/>
      <x:c r="H172" s="18"/>
      <x:c r="I172" s="18"/>
      <x:c r="J172" s="18"/>
      <x:c r="K172" s="18"/>
    </x:row>
    <x:row r="173">
      <x:c r="A173" s="18"/>
      <x:c r="B173" s="18"/>
      <x:c r="C173" s="18"/>
      <x:c r="D173" s="18"/>
      <x:c r="E173" s="18"/>
      <x:c r="F173" s="18"/>
      <x:c r="G173" s="18"/>
      <x:c r="H173" s="18"/>
      <x:c r="I173" s="18"/>
      <x:c r="J173" s="18"/>
      <x:c r="K173" s="18"/>
    </x:row>
    <x:row r="174">
      <x:c r="A174" s="18"/>
      <x:c r="B174" s="18"/>
      <x:c r="C174" s="18"/>
      <x:c r="D174" s="18"/>
      <x:c r="E174" s="18"/>
      <x:c r="F174" s="18"/>
      <x:c r="G174" s="18"/>
      <x:c r="H174" s="18"/>
      <x:c r="I174" s="18"/>
      <x:c r="J174" s="18"/>
      <x:c r="K174" s="18"/>
    </x:row>
    <x:row r="175">
      <x:c r="A175" s="18"/>
      <x:c r="B175" s="18"/>
      <x:c r="C175" s="18"/>
      <x:c r="D175" s="18"/>
      <x:c r="E175" s="18"/>
      <x:c r="F175" s="18"/>
      <x:c r="G175" s="18"/>
      <x:c r="H175" s="18"/>
      <x:c r="I175" s="18"/>
      <x:c r="J175" s="18"/>
      <x:c r="K175" s="18"/>
    </x:row>
    <x:row r="176">
      <x:c r="A176" s="18"/>
      <x:c r="B176" s="18"/>
      <x:c r="C176" s="18"/>
      <x:c r="D176" s="18"/>
      <x:c r="E176" s="18"/>
      <x:c r="F176" s="18"/>
      <x:c r="G176" s="18"/>
      <x:c r="H176" s="18"/>
      <x:c r="I176" s="18"/>
      <x:c r="J176" s="18"/>
      <x:c r="K176" s="18"/>
    </x:row>
    <x:row r="177">
      <x:c r="A177" s="18"/>
      <x:c r="B177" s="18"/>
      <x:c r="C177" s="18"/>
      <x:c r="D177" s="18"/>
      <x:c r="E177" s="18"/>
      <x:c r="F177" s="18"/>
      <x:c r="G177" s="18"/>
      <x:c r="H177" s="18"/>
      <x:c r="I177" s="18"/>
      <x:c r="J177" s="18"/>
      <x:c r="K177" s="18"/>
    </x:row>
    <x:row r="178">
      <x:c r="A178" s="18"/>
      <x:c r="B178" s="18"/>
      <x:c r="C178" s="18"/>
      <x:c r="D178" s="18"/>
      <x:c r="E178" s="18"/>
      <x:c r="F178" s="18"/>
      <x:c r="G178" s="18"/>
      <x:c r="H178" s="18"/>
      <x:c r="I178" s="18"/>
      <x:c r="J178" s="18"/>
      <x:c r="K178" s="18"/>
    </x:row>
    <x:row r="179">
      <x:c r="A179" s="18"/>
      <x:c r="B179" s="18"/>
      <x:c r="C179" s="18"/>
      <x:c r="D179" s="18"/>
      <x:c r="E179" s="18"/>
      <x:c r="F179" s="18"/>
      <x:c r="G179" s="18"/>
      <x:c r="H179" s="18"/>
      <x:c r="I179" s="18"/>
      <x:c r="J179" s="18"/>
      <x:c r="K179" s="18"/>
    </x:row>
    <x:row r="180">
      <x:c r="A180" s="18"/>
      <x:c r="B180" s="18"/>
      <x:c r="C180" s="18"/>
      <x:c r="D180" s="18"/>
      <x:c r="E180" s="18"/>
      <x:c r="F180" s="18"/>
      <x:c r="G180" s="18"/>
      <x:c r="H180" s="18"/>
      <x:c r="I180" s="18"/>
      <x:c r="J180" s="18"/>
      <x:c r="K180" s="18"/>
    </x:row>
    <x:row r="181">
      <x:c r="A181" s="18"/>
      <x:c r="B181" s="18"/>
      <x:c r="C181" s="18"/>
      <x:c r="D181" s="18"/>
      <x:c r="E181" s="18"/>
      <x:c r="F181" s="18"/>
      <x:c r="G181" s="18"/>
      <x:c r="H181" s="18"/>
      <x:c r="I181" s="18"/>
      <x:c r="J181" s="18"/>
      <x:c r="K181" s="18"/>
    </x:row>
    <x:row r="182">
      <x:c r="A182" s="18"/>
      <x:c r="B182" s="18"/>
      <x:c r="C182" s="18"/>
      <x:c r="D182" s="18"/>
      <x:c r="E182" s="18"/>
      <x:c r="F182" s="18"/>
      <x:c r="G182" s="18"/>
      <x:c r="H182" s="18"/>
      <x:c r="I182" s="18"/>
      <x:c r="J182" s="18"/>
      <x:c r="K182" s="18"/>
    </x:row>
    <x:row r="183">
      <x:c r="A183" s="18"/>
      <x:c r="B183" s="18"/>
      <x:c r="C183" s="18"/>
      <x:c r="D183" s="18"/>
      <x:c r="E183" s="18"/>
      <x:c r="F183" s="18"/>
      <x:c r="G183" s="18"/>
      <x:c r="H183" s="18"/>
      <x:c r="I183" s="18"/>
      <x:c r="J183" s="18"/>
      <x:c r="K183" s="18"/>
    </x:row>
    <x:row r="184">
      <x:c r="A184" s="18"/>
      <x:c r="B184" s="18"/>
      <x:c r="C184" s="18"/>
      <x:c r="D184" s="18"/>
      <x:c r="E184" s="18"/>
      <x:c r="F184" s="18"/>
      <x:c r="G184" s="18"/>
      <x:c r="H184" s="18"/>
      <x:c r="I184" s="18"/>
      <x:c r="J184" s="18"/>
      <x:c r="K184" s="18"/>
    </x:row>
    <x:row r="185">
      <x:c r="A185" s="18"/>
      <x:c r="B185" s="18"/>
      <x:c r="C185" s="18"/>
      <x:c r="D185" s="18"/>
      <x:c r="E185" s="18"/>
      <x:c r="F185" s="18"/>
      <x:c r="G185" s="18"/>
      <x:c r="H185" s="18"/>
      <x:c r="I185" s="18"/>
      <x:c r="J185" s="18"/>
      <x:c r="K185" s="18"/>
    </x:row>
    <x:row r="186">
      <x:c r="A186" s="18"/>
      <x:c r="B186" s="18"/>
      <x:c r="C186" s="18"/>
      <x:c r="D186" s="18"/>
      <x:c r="E186" s="18"/>
      <x:c r="F186" s="18"/>
      <x:c r="G186" s="18"/>
      <x:c r="H186" s="18"/>
      <x:c r="I186" s="18"/>
      <x:c r="J186" s="18"/>
      <x:c r="K186" s="18"/>
    </x:row>
    <x:row r="187">
      <x:c r="A187" s="18"/>
      <x:c r="B187" s="18"/>
      <x:c r="C187" s="18"/>
      <x:c r="D187" s="18"/>
      <x:c r="E187" s="18"/>
      <x:c r="F187" s="18"/>
      <x:c r="G187" s="18"/>
      <x:c r="H187" s="18"/>
      <x:c r="I187" s="18"/>
      <x:c r="J187" s="18"/>
      <x:c r="K187" s="18"/>
    </x:row>
    <x:row r="188">
      <x:c r="A188" s="18"/>
      <x:c r="B188" s="18"/>
      <x:c r="C188" s="18"/>
      <x:c r="D188" s="18"/>
      <x:c r="E188" s="18"/>
      <x:c r="F188" s="18"/>
      <x:c r="G188" s="18"/>
      <x:c r="H188" s="18"/>
      <x:c r="I188" s="18"/>
      <x:c r="J188" s="18"/>
      <x:c r="K188" s="18"/>
    </x:row>
    <x:row r="189">
      <x:c r="A189" s="18"/>
      <x:c r="B189" s="18"/>
      <x:c r="C189" s="18"/>
      <x:c r="D189" s="18"/>
      <x:c r="E189" s="18"/>
      <x:c r="F189" s="18"/>
      <x:c r="G189" s="18"/>
      <x:c r="H189" s="18"/>
      <x:c r="I189" s="18"/>
      <x:c r="J189" s="18"/>
      <x:c r="K189" s="18"/>
    </x:row>
    <x:row r="190">
      <x:c r="A190" s="18"/>
      <x:c r="B190" s="18"/>
      <x:c r="C190" s="18"/>
      <x:c r="D190" s="18"/>
      <x:c r="E190" s="18"/>
      <x:c r="F190" s="18"/>
      <x:c r="G190" s="18"/>
      <x:c r="H190" s="18"/>
      <x:c r="I190" s="18"/>
      <x:c r="J190" s="18"/>
      <x:c r="K190" s="18"/>
    </x:row>
    <x:row r="191">
      <x:c r="A191" s="18"/>
      <x:c r="B191" s="18"/>
      <x:c r="C191" s="18"/>
      <x:c r="D191" s="18"/>
      <x:c r="E191" s="18"/>
      <x:c r="F191" s="18"/>
      <x:c r="G191" s="18"/>
      <x:c r="H191" s="18"/>
      <x:c r="I191" s="18"/>
      <x:c r="J191" s="18"/>
      <x:c r="K191" s="18"/>
    </x:row>
    <x:row r="192">
      <x:c r="A192" s="18"/>
      <x:c r="B192" s="18"/>
      <x:c r="C192" s="18"/>
      <x:c r="D192" s="18"/>
      <x:c r="E192" s="18"/>
      <x:c r="F192" s="18"/>
      <x:c r="G192" s="18"/>
      <x:c r="H192" s="18"/>
      <x:c r="I192" s="18"/>
      <x:c r="J192" s="18"/>
      <x:c r="K192" s="18"/>
    </x:row>
    <x:row r="193">
      <x:c r="A193" s="18"/>
      <x:c r="B193" s="18"/>
      <x:c r="C193" s="18"/>
      <x:c r="D193" s="18"/>
      <x:c r="E193" s="18"/>
      <x:c r="F193" s="18"/>
      <x:c r="G193" s="18"/>
      <x:c r="H193" s="18"/>
      <x:c r="I193" s="18"/>
      <x:c r="J193" s="18"/>
      <x:c r="K193" s="18"/>
    </x:row>
    <x:row r="194">
      <x:c r="A194" s="18"/>
      <x:c r="B194" s="18"/>
      <x:c r="C194" s="18"/>
      <x:c r="D194" s="18"/>
      <x:c r="E194" s="18"/>
      <x:c r="F194" s="18"/>
      <x:c r="G194" s="18"/>
      <x:c r="H194" s="18"/>
      <x:c r="I194" s="18"/>
      <x:c r="J194" s="18"/>
      <x:c r="K194" s="18"/>
    </x:row>
    <x:row r="195">
      <x:c r="A195" s="18"/>
      <x:c r="B195" s="18"/>
      <x:c r="C195" s="18"/>
      <x:c r="D195" s="18"/>
      <x:c r="E195" s="18"/>
      <x:c r="F195" s="18"/>
      <x:c r="G195" s="18"/>
      <x:c r="H195" s="18"/>
      <x:c r="I195" s="18"/>
      <x:c r="J195" s="18"/>
      <x:c r="K195" s="18"/>
    </x:row>
    <x:row r="196">
      <x:c r="A196" s="18"/>
      <x:c r="B196" s="18"/>
      <x:c r="C196" s="18"/>
      <x:c r="D196" s="18"/>
      <x:c r="E196" s="18"/>
      <x:c r="F196" s="18"/>
      <x:c r="G196" s="18"/>
      <x:c r="H196" s="18"/>
      <x:c r="I196" s="18"/>
      <x:c r="J196" s="18"/>
      <x:c r="K196" s="18"/>
    </x:row>
    <x:row r="197">
      <x:c r="A197" s="18"/>
      <x:c r="B197" s="18"/>
      <x:c r="C197" s="18"/>
      <x:c r="D197" s="18"/>
      <x:c r="E197" s="18"/>
      <x:c r="F197" s="18"/>
      <x:c r="G197" s="18"/>
      <x:c r="H197" s="18"/>
      <x:c r="I197" s="18"/>
      <x:c r="J197" s="18"/>
      <x:c r="K197" s="18"/>
    </x:row>
    <x:row r="198">
      <x:c r="A198" s="18"/>
      <x:c r="B198" s="18"/>
      <x:c r="C198" s="18"/>
      <x:c r="D198" s="18"/>
      <x:c r="E198" s="18"/>
      <x:c r="F198" s="18"/>
      <x:c r="G198" s="18"/>
      <x:c r="H198" s="18"/>
      <x:c r="I198" s="18"/>
      <x:c r="J198" s="18"/>
      <x:c r="K198" s="18"/>
    </x:row>
    <x:row r="199">
      <x:c r="A199" s="18"/>
      <x:c r="B199" s="18"/>
      <x:c r="C199" s="18"/>
      <x:c r="D199" s="18"/>
      <x:c r="E199" s="18"/>
      <x:c r="F199" s="18"/>
      <x:c r="G199" s="18"/>
      <x:c r="H199" s="18"/>
      <x:c r="I199" s="18"/>
      <x:c r="J199" s="18"/>
      <x:c r="K199" s="18"/>
    </x:row>
    <x:row r="200">
      <x:c r="A200" s="18"/>
      <x:c r="B200" s="18"/>
      <x:c r="C200" s="18"/>
      <x:c r="D200" s="18"/>
      <x:c r="E200" s="18"/>
      <x:c r="F200" s="18"/>
      <x:c r="G200" s="18"/>
      <x:c r="H200" s="18"/>
      <x:c r="I200" s="18"/>
      <x:c r="J200" s="18"/>
      <x:c r="K200" s="18"/>
    </x:row>
    <x:row r="201">
      <x:c r="A201" s="18"/>
      <x:c r="B201" s="18"/>
      <x:c r="C201" s="18"/>
      <x:c r="D201" s="18"/>
      <x:c r="E201" s="18"/>
      <x:c r="F201" s="18"/>
      <x:c r="G201" s="18"/>
      <x:c r="H201" s="18"/>
      <x:c r="I201" s="18"/>
      <x:c r="J201" s="18"/>
      <x:c r="K201" s="18"/>
    </x:row>
    <x:row r="202">
      <x:c r="A202" s="18"/>
      <x:c r="B202" s="18"/>
      <x:c r="C202" s="18"/>
      <x:c r="D202" s="18"/>
      <x:c r="E202" s="18"/>
      <x:c r="F202" s="18"/>
      <x:c r="G202" s="18"/>
      <x:c r="H202" s="18"/>
      <x:c r="I202" s="18"/>
      <x:c r="J202" s="18"/>
      <x:c r="K202" s="18"/>
    </x:row>
    <x:row r="203">
      <x:c r="A203" s="18"/>
      <x:c r="B203" s="18"/>
      <x:c r="C203" s="18"/>
      <x:c r="D203" s="18"/>
      <x:c r="E203" s="18"/>
      <x:c r="F203" s="18"/>
      <x:c r="G203" s="18"/>
      <x:c r="H203" s="18"/>
      <x:c r="I203" s="18"/>
      <x:c r="J203" s="18"/>
      <x:c r="K203" s="18"/>
    </x:row>
    <x:row r="204">
      <x:c r="A204" s="18"/>
      <x:c r="B204" s="18"/>
      <x:c r="C204" s="18"/>
      <x:c r="D204" s="18"/>
      <x:c r="E204" s="18"/>
      <x:c r="F204" s="18"/>
      <x:c r="G204" s="18"/>
      <x:c r="H204" s="18"/>
      <x:c r="I204" s="18"/>
      <x:c r="J204" s="18"/>
      <x:c r="K204" s="18"/>
    </x:row>
    <x:row r="205">
      <x:c r="A205" s="18"/>
      <x:c r="B205" s="18"/>
      <x:c r="C205" s="18"/>
      <x:c r="D205" s="18"/>
      <x:c r="E205" s="18"/>
      <x:c r="F205" s="18"/>
      <x:c r="G205" s="18"/>
      <x:c r="H205" s="18"/>
      <x:c r="I205" s="18"/>
      <x:c r="J205" s="18"/>
      <x:c r="K205" s="18"/>
    </x:row>
    <x:row r="206">
      <x:c r="A206" s="18"/>
      <x:c r="B206" s="18"/>
      <x:c r="C206" s="18"/>
      <x:c r="D206" s="18"/>
      <x:c r="E206" s="18"/>
      <x:c r="F206" s="18"/>
      <x:c r="G206" s="18"/>
      <x:c r="H206" s="18"/>
      <x:c r="I206" s="18"/>
      <x:c r="J206" s="18"/>
      <x:c r="K206" s="18"/>
    </x:row>
    <x:row r="207">
      <x:c r="A207" s="18"/>
      <x:c r="B207" s="18"/>
      <x:c r="C207" s="18"/>
      <x:c r="D207" s="18"/>
      <x:c r="E207" s="18"/>
      <x:c r="F207" s="18"/>
      <x:c r="G207" s="18"/>
      <x:c r="H207" s="18"/>
      <x:c r="I207" s="18"/>
      <x:c r="J207" s="18"/>
      <x:c r="K207" s="18"/>
    </x:row>
    <x:row r="208">
      <x:c r="A208" s="18"/>
      <x:c r="B208" s="18"/>
      <x:c r="C208" s="18"/>
      <x:c r="D208" s="18"/>
      <x:c r="E208" s="18"/>
      <x:c r="F208" s="18"/>
      <x:c r="G208" s="18"/>
      <x:c r="H208" s="18"/>
      <x:c r="I208" s="18"/>
      <x:c r="J208" s="18"/>
      <x:c r="K208" s="18"/>
    </x:row>
    <x:row r="209">
      <x:c r="A209" s="18"/>
      <x:c r="B209" s="18"/>
      <x:c r="C209" s="18"/>
      <x:c r="D209" s="18"/>
      <x:c r="E209" s="18"/>
      <x:c r="F209" s="18"/>
      <x:c r="G209" s="18"/>
      <x:c r="H209" s="18"/>
      <x:c r="I209" s="18"/>
      <x:c r="J209" s="18"/>
      <x:c r="K209" s="18"/>
    </x:row>
    <x:row r="210">
      <x:c r="A210" s="18"/>
      <x:c r="B210" s="18"/>
      <x:c r="C210" s="18"/>
      <x:c r="D210" s="18"/>
      <x:c r="E210" s="18"/>
      <x:c r="F210" s="18"/>
      <x:c r="G210" s="18"/>
      <x:c r="H210" s="18"/>
      <x:c r="I210" s="18"/>
      <x:c r="J210" s="18"/>
      <x:c r="K210" s="18"/>
    </x:row>
    <x:row r="211">
      <x:c r="A211" s="18"/>
      <x:c r="B211" s="18"/>
      <x:c r="C211" s="18"/>
      <x:c r="D211" s="18"/>
      <x:c r="E211" s="18"/>
      <x:c r="F211" s="18"/>
      <x:c r="G211" s="18"/>
      <x:c r="H211" s="18"/>
      <x:c r="I211" s="18"/>
      <x:c r="J211" s="18"/>
      <x:c r="K211" s="18"/>
    </x:row>
    <x:row r="212">
      <x:c r="A212" s="18"/>
      <x:c r="B212" s="18"/>
      <x:c r="C212" s="18"/>
      <x:c r="D212" s="18"/>
      <x:c r="E212" s="18"/>
      <x:c r="F212" s="18"/>
      <x:c r="G212" s="18"/>
      <x:c r="H212" s="18"/>
      <x:c r="I212" s="18"/>
      <x:c r="J212" s="18"/>
      <x:c r="K212" s="18"/>
    </x:row>
    <x:row r="213">
      <x:c r="A213" s="18"/>
      <x:c r="B213" s="18"/>
      <x:c r="C213" s="18"/>
      <x:c r="D213" s="18"/>
      <x:c r="E213" s="18"/>
      <x:c r="F213" s="18"/>
      <x:c r="G213" s="18"/>
      <x:c r="H213" s="18"/>
      <x:c r="I213" s="18"/>
      <x:c r="J213" s="18"/>
      <x:c r="K213" s="18"/>
    </x:row>
    <x:row r="214">
      <x:c r="A214" s="18"/>
      <x:c r="B214" s="18"/>
      <x:c r="C214" s="18"/>
      <x:c r="D214" s="18"/>
      <x:c r="E214" s="18"/>
      <x:c r="F214" s="18"/>
      <x:c r="G214" s="18"/>
      <x:c r="H214" s="18"/>
      <x:c r="I214" s="18"/>
      <x:c r="J214" s="18"/>
      <x:c r="K214" s="18"/>
    </x:row>
    <x:row r="215">
      <x:c r="A215" s="18"/>
      <x:c r="B215" s="18"/>
      <x:c r="C215" s="18"/>
      <x:c r="D215" s="18"/>
      <x:c r="E215" s="18"/>
      <x:c r="F215" s="18"/>
      <x:c r="G215" s="18"/>
      <x:c r="H215" s="18"/>
      <x:c r="I215" s="18"/>
      <x:c r="J215" s="18"/>
      <x:c r="K215" s="18"/>
    </x:row>
    <x:row r="216">
      <x:c r="A216" s="18"/>
      <x:c r="B216" s="18"/>
      <x:c r="C216" s="18"/>
      <x:c r="D216" s="18"/>
      <x:c r="E216" s="18"/>
      <x:c r="F216" s="18"/>
      <x:c r="G216" s="18"/>
      <x:c r="H216" s="18"/>
      <x:c r="I216" s="18"/>
      <x:c r="J216" s="18"/>
      <x:c r="K216" s="18"/>
    </x:row>
    <x:row r="217">
      <x:c r="A217" s="18"/>
      <x:c r="B217" s="18"/>
      <x:c r="C217" s="18"/>
      <x:c r="D217" s="18"/>
      <x:c r="E217" s="18"/>
      <x:c r="F217" s="18"/>
      <x:c r="G217" s="18"/>
      <x:c r="H217" s="18"/>
      <x:c r="I217" s="18"/>
      <x:c r="J217" s="18"/>
      <x:c r="K217" s="18"/>
    </x:row>
    <x:row r="218">
      <x:c r="A218" s="18"/>
      <x:c r="B218" s="18"/>
      <x:c r="C218" s="18"/>
      <x:c r="D218" s="18"/>
      <x:c r="E218" s="18"/>
      <x:c r="F218" s="18"/>
      <x:c r="G218" s="18"/>
      <x:c r="H218" s="18"/>
      <x:c r="I218" s="18"/>
      <x:c r="J218" s="18"/>
      <x:c r="K218" s="18"/>
    </x:row>
    <x:row r="219">
      <x:c r="A219" s="18"/>
      <x:c r="B219" s="18"/>
      <x:c r="C219" s="18"/>
      <x:c r="D219" s="18"/>
      <x:c r="E219" s="18"/>
      <x:c r="F219" s="18"/>
      <x:c r="G219" s="18"/>
      <x:c r="H219" s="18"/>
      <x:c r="I219" s="18"/>
      <x:c r="J219" s="18"/>
      <x:c r="K219" s="18"/>
    </x:row>
    <x:row r="220">
      <x:c r="A220" s="18"/>
      <x:c r="B220" s="18"/>
      <x:c r="C220" s="18"/>
      <x:c r="D220" s="18"/>
      <x:c r="E220" s="18"/>
      <x:c r="F220" s="18"/>
      <x:c r="G220" s="18"/>
      <x:c r="H220" s="18"/>
      <x:c r="I220" s="18"/>
      <x:c r="J220" s="18"/>
      <x:c r="K220" s="18"/>
    </x:row>
    <x:row r="221">
      <x:c r="A221" s="18"/>
      <x:c r="B221" s="18"/>
      <x:c r="C221" s="18"/>
      <x:c r="D221" s="18"/>
      <x:c r="E221" s="18"/>
      <x:c r="F221" s="18"/>
      <x:c r="G221" s="18"/>
      <x:c r="H221" s="18"/>
      <x:c r="I221" s="18"/>
      <x:c r="J221" s="18"/>
      <x:c r="K221" s="18"/>
    </x:row>
    <x:row r="222">
      <x:c r="A222" s="18"/>
      <x:c r="B222" s="18"/>
      <x:c r="C222" s="18"/>
      <x:c r="D222" s="18"/>
      <x:c r="E222" s="18"/>
      <x:c r="F222" s="18"/>
      <x:c r="G222" s="18"/>
      <x:c r="H222" s="18"/>
      <x:c r="I222" s="18"/>
      <x:c r="J222" s="18"/>
      <x:c r="K222" s="18"/>
    </x:row>
    <x:row r="223">
      <x:c r="A223" s="18"/>
      <x:c r="B223" s="18"/>
      <x:c r="C223" s="18"/>
      <x:c r="D223" s="18"/>
      <x:c r="E223" s="18"/>
      <x:c r="F223" s="18"/>
      <x:c r="G223" s="18"/>
      <x:c r="H223" s="18"/>
      <x:c r="I223" s="18"/>
      <x:c r="J223" s="18"/>
      <x:c r="K223" s="18"/>
    </x:row>
    <x:row r="224">
      <x:c r="A224" s="18"/>
      <x:c r="B224" s="18"/>
      <x:c r="C224" s="18"/>
      <x:c r="D224" s="18"/>
      <x:c r="E224" s="18"/>
      <x:c r="F224" s="18"/>
      <x:c r="G224" s="18"/>
      <x:c r="H224" s="18"/>
      <x:c r="I224" s="18"/>
      <x:c r="J224" s="18"/>
      <x:c r="K224" s="18"/>
    </x:row>
    <x:row r="225">
      <x:c r="A225" s="18"/>
      <x:c r="B225" s="18"/>
      <x:c r="C225" s="18"/>
      <x:c r="D225" s="18"/>
      <x:c r="E225" s="18"/>
      <x:c r="F225" s="18"/>
      <x:c r="G225" s="18"/>
      <x:c r="H225" s="18"/>
      <x:c r="I225" s="18"/>
      <x:c r="J225" s="18"/>
      <x:c r="K225" s="18"/>
    </x:row>
    <x:row r="226">
      <x:c r="A226" s="18"/>
      <x:c r="B226" s="18"/>
      <x:c r="C226" s="18"/>
      <x:c r="D226" s="18"/>
      <x:c r="E226" s="18"/>
      <x:c r="F226" s="18"/>
      <x:c r="G226" s="18"/>
      <x:c r="H226" s="18"/>
      <x:c r="I226" s="18"/>
      <x:c r="J226" s="18"/>
      <x:c r="K226" s="18"/>
    </x:row>
    <x:row r="227">
      <x:c r="A227" s="18"/>
      <x:c r="B227" s="18"/>
      <x:c r="C227" s="18"/>
      <x:c r="D227" s="18"/>
      <x:c r="E227" s="18"/>
      <x:c r="F227" s="18"/>
      <x:c r="G227" s="18"/>
      <x:c r="H227" s="18"/>
      <x:c r="I227" s="18"/>
      <x:c r="J227" s="18"/>
      <x:c r="K227" s="18"/>
    </x:row>
    <x:row r="228">
      <x:c r="A228" s="18"/>
      <x:c r="B228" s="18"/>
      <x:c r="C228" s="18"/>
      <x:c r="D228" s="18"/>
      <x:c r="E228" s="18"/>
      <x:c r="F228" s="18"/>
      <x:c r="G228" s="18"/>
      <x:c r="H228" s="18"/>
      <x:c r="I228" s="18"/>
      <x:c r="J228" s="18"/>
      <x:c r="K228" s="18"/>
    </x:row>
    <x:row r="229">
      <x:c r="A229" s="18"/>
      <x:c r="B229" s="18"/>
      <x:c r="C229" s="18"/>
      <x:c r="D229" s="18"/>
      <x:c r="E229" s="18"/>
      <x:c r="F229" s="18"/>
      <x:c r="G229" s="18"/>
      <x:c r="H229" s="18"/>
      <x:c r="I229" s="18"/>
      <x:c r="J229" s="18"/>
      <x:c r="K229" s="18"/>
    </x:row>
    <x:row r="230">
      <x:c r="A230" s="18"/>
      <x:c r="B230" s="18"/>
      <x:c r="C230" s="18"/>
      <x:c r="D230" s="18"/>
      <x:c r="E230" s="18"/>
      <x:c r="F230" s="18"/>
      <x:c r="G230" s="18"/>
      <x:c r="H230" s="18"/>
      <x:c r="I230" s="18"/>
      <x:c r="J230" s="18"/>
      <x:c r="K230" s="18"/>
    </x:row>
    <x:row r="231">
      <x:c r="A231" s="18"/>
      <x:c r="B231" s="18"/>
      <x:c r="C231" s="18"/>
      <x:c r="D231" s="18"/>
      <x:c r="E231" s="18"/>
      <x:c r="F231" s="18"/>
      <x:c r="G231" s="18"/>
      <x:c r="H231" s="18"/>
      <x:c r="I231" s="18"/>
      <x:c r="J231" s="18"/>
      <x:c r="K231" s="18"/>
    </x:row>
    <x:row r="232">
      <x:c r="A232" s="18"/>
      <x:c r="B232" s="18"/>
      <x:c r="C232" s="18"/>
      <x:c r="D232" s="18"/>
      <x:c r="E232" s="18"/>
      <x:c r="F232" s="18"/>
      <x:c r="G232" s="18"/>
      <x:c r="H232" s="18"/>
      <x:c r="I232" s="18"/>
      <x:c r="J232" s="18"/>
      <x:c r="K232" s="18"/>
    </x:row>
    <x:row r="233">
      <x:c r="A233" s="18"/>
      <x:c r="B233" s="18"/>
      <x:c r="C233" s="18"/>
      <x:c r="D233" s="18"/>
      <x:c r="E233" s="18"/>
      <x:c r="F233" s="18"/>
      <x:c r="G233" s="18"/>
      <x:c r="H233" s="18"/>
      <x:c r="I233" s="18"/>
      <x:c r="J233" s="18"/>
      <x:c r="K233" s="18"/>
    </x:row>
    <x:row r="234">
      <x:c r="A234" s="18"/>
      <x:c r="B234" s="18"/>
      <x:c r="C234" s="18"/>
      <x:c r="D234" s="18"/>
      <x:c r="E234" s="18"/>
      <x:c r="F234" s="18"/>
      <x:c r="G234" s="18"/>
      <x:c r="H234" s="18"/>
      <x:c r="I234" s="18"/>
      <x:c r="J234" s="18"/>
      <x:c r="K234" s="18"/>
    </x:row>
    <x:row r="235">
      <x:c r="A235" s="18"/>
      <x:c r="B235" s="18"/>
      <x:c r="C235" s="18"/>
      <x:c r="D235" s="18"/>
      <x:c r="E235" s="18"/>
      <x:c r="F235" s="18"/>
      <x:c r="G235" s="18"/>
      <x:c r="H235" s="18"/>
      <x:c r="I235" s="18"/>
      <x:c r="J235" s="18"/>
      <x:c r="K235" s="18"/>
    </x:row>
    <x:row r="236">
      <x:c r="A236" s="18"/>
      <x:c r="B236" s="18"/>
      <x:c r="C236" s="18"/>
      <x:c r="D236" s="18"/>
      <x:c r="E236" s="18"/>
      <x:c r="F236" s="18"/>
      <x:c r="G236" s="18"/>
      <x:c r="H236" s="18"/>
      <x:c r="I236" s="18"/>
      <x:c r="J236" s="18"/>
      <x:c r="K236" s="18"/>
    </x:row>
    <x:row r="237">
      <x:c r="A237" s="18"/>
      <x:c r="B237" s="18"/>
      <x:c r="C237" s="18"/>
      <x:c r="D237" s="18"/>
      <x:c r="E237" s="18"/>
      <x:c r="F237" s="18"/>
      <x:c r="G237" s="18"/>
      <x:c r="H237" s="18"/>
      <x:c r="I237" s="18"/>
      <x:c r="J237" s="18"/>
      <x:c r="K237" s="18"/>
    </x:row>
    <x:row r="238">
      <x:c r="A238" s="18"/>
      <x:c r="B238" s="18"/>
      <x:c r="C238" s="18"/>
      <x:c r="D238" s="18"/>
      <x:c r="E238" s="18"/>
      <x:c r="F238" s="18"/>
      <x:c r="G238" s="18"/>
      <x:c r="H238" s="18"/>
      <x:c r="I238" s="18"/>
      <x:c r="J238" s="18"/>
      <x:c r="K238" s="18"/>
    </x:row>
    <x:row r="239">
      <x:c r="A239" s="18"/>
      <x:c r="B239" s="18"/>
      <x:c r="C239" s="18"/>
      <x:c r="D239" s="18"/>
      <x:c r="E239" s="18"/>
      <x:c r="F239" s="18"/>
      <x:c r="G239" s="18"/>
      <x:c r="H239" s="18"/>
      <x:c r="I239" s="18"/>
      <x:c r="J239" s="18"/>
      <x:c r="K239" s="18"/>
    </x:row>
    <x:row r="240">
      <x:c r="A240" s="18"/>
      <x:c r="B240" s="18"/>
      <x:c r="C240" s="18"/>
      <x:c r="D240" s="18"/>
      <x:c r="E240" s="18"/>
      <x:c r="F240" s="18"/>
      <x:c r="G240" s="18"/>
      <x:c r="H240" s="18"/>
      <x:c r="I240" s="18"/>
      <x:c r="J240" s="18"/>
      <x:c r="K240" s="18"/>
    </x:row>
    <x:row r="241">
      <x:c r="A241" s="18"/>
      <x:c r="B241" s="18"/>
      <x:c r="C241" s="18"/>
      <x:c r="D241" s="18"/>
      <x:c r="E241" s="18"/>
      <x:c r="F241" s="18"/>
      <x:c r="G241" s="18"/>
      <x:c r="H241" s="18"/>
      <x:c r="I241" s="18"/>
      <x:c r="J241" s="18"/>
      <x:c r="K241" s="18"/>
    </x:row>
    <x:row r="242">
      <x:c r="A242" s="18"/>
      <x:c r="B242" s="18"/>
      <x:c r="C242" s="18"/>
      <x:c r="D242" s="18"/>
      <x:c r="E242" s="18"/>
      <x:c r="F242" s="18"/>
      <x:c r="G242" s="18"/>
      <x:c r="H242" s="18"/>
      <x:c r="I242" s="18"/>
      <x:c r="J242" s="18"/>
      <x:c r="K242" s="18"/>
    </x:row>
    <x:row r="243">
      <x:c r="A243" s="18"/>
      <x:c r="B243" s="18"/>
      <x:c r="C243" s="18"/>
      <x:c r="D243" s="18"/>
      <x:c r="E243" s="18"/>
      <x:c r="F243" s="18"/>
      <x:c r="G243" s="18"/>
      <x:c r="H243" s="18"/>
      <x:c r="I243" s="18"/>
      <x:c r="J243" s="18"/>
      <x:c r="K243" s="18"/>
    </x:row>
    <x:row r="244">
      <x:c r="A244" s="18"/>
      <x:c r="B244" s="18"/>
      <x:c r="C244" s="18"/>
      <x:c r="D244" s="18"/>
      <x:c r="E244" s="18"/>
      <x:c r="F244" s="18"/>
      <x:c r="G244" s="18"/>
      <x:c r="H244" s="18"/>
      <x:c r="I244" s="18"/>
      <x:c r="J244" s="18"/>
      <x:c r="K244" s="18"/>
    </x:row>
    <x:row r="245">
      <x:c r="A245" s="18"/>
      <x:c r="B245" s="18"/>
      <x:c r="C245" s="18"/>
      <x:c r="D245" s="18"/>
      <x:c r="E245" s="18"/>
      <x:c r="F245" s="18"/>
      <x:c r="G245" s="18"/>
      <x:c r="H245" s="18"/>
      <x:c r="I245" s="18"/>
      <x:c r="J245" s="18"/>
      <x:c r="K245" s="18"/>
    </x:row>
    <x:row r="246">
      <x:c r="A246" s="18"/>
      <x:c r="B246" s="18"/>
      <x:c r="C246" s="18"/>
      <x:c r="D246" s="18"/>
      <x:c r="E246" s="18"/>
      <x:c r="F246" s="18"/>
      <x:c r="G246" s="18"/>
      <x:c r="H246" s="18"/>
      <x:c r="I246" s="18"/>
      <x:c r="J246" s="18"/>
      <x:c r="K246" s="18"/>
    </x:row>
    <x:row r="247">
      <x:c r="A247" s="18"/>
      <x:c r="B247" s="18"/>
      <x:c r="C247" s="18"/>
      <x:c r="D247" s="18"/>
      <x:c r="E247" s="18"/>
      <x:c r="F247" s="18"/>
      <x:c r="G247" s="18"/>
      <x:c r="H247" s="18"/>
      <x:c r="I247" s="18"/>
      <x:c r="J247" s="18"/>
      <x:c r="K247" s="18"/>
    </x:row>
    <x:row r="248">
      <x:c r="A248" s="18"/>
      <x:c r="B248" s="18"/>
      <x:c r="C248" s="18"/>
      <x:c r="D248" s="18"/>
      <x:c r="E248" s="18"/>
      <x:c r="F248" s="18"/>
      <x:c r="G248" s="18"/>
      <x:c r="H248" s="18"/>
      <x:c r="I248" s="18"/>
      <x:c r="J248" s="18"/>
      <x:c r="K248" s="18"/>
    </x:row>
    <x:row r="249">
      <x:c r="A249" s="18"/>
      <x:c r="B249" s="18"/>
      <x:c r="C249" s="18"/>
      <x:c r="D249" s="18"/>
      <x:c r="E249" s="18"/>
      <x:c r="F249" s="18"/>
      <x:c r="G249" s="18"/>
      <x:c r="H249" s="18"/>
      <x:c r="I249" s="18"/>
      <x:c r="J249" s="18"/>
      <x:c r="K249" s="18"/>
    </x:row>
    <x:row r="250">
      <x:c r="A250" s="18"/>
      <x:c r="B250" s="18"/>
      <x:c r="C250" s="18"/>
      <x:c r="D250" s="18"/>
      <x:c r="E250" s="18"/>
      <x:c r="F250" s="18"/>
      <x:c r="G250" s="18"/>
      <x:c r="H250" s="18"/>
      <x:c r="I250" s="18"/>
      <x:c r="J250" s="18"/>
      <x:c r="K250" s="18"/>
    </x:row>
    <x:row r="251">
      <x:c r="A251" s="18"/>
      <x:c r="B251" s="18"/>
      <x:c r="C251" s="18"/>
      <x:c r="D251" s="18"/>
      <x:c r="E251" s="18"/>
      <x:c r="F251" s="18"/>
      <x:c r="G251" s="18"/>
      <x:c r="H251" s="18"/>
      <x:c r="I251" s="18"/>
      <x:c r="J251" s="18"/>
      <x:c r="K251" s="18"/>
    </x:row>
    <x:row r="252">
      <x:c r="A252" s="18"/>
      <x:c r="B252" s="18"/>
      <x:c r="C252" s="18"/>
      <x:c r="D252" s="18"/>
      <x:c r="E252" s="18"/>
      <x:c r="F252" s="18"/>
      <x:c r="G252" s="18"/>
      <x:c r="H252" s="18"/>
      <x:c r="I252" s="18"/>
      <x:c r="J252" s="18"/>
      <x:c r="K252" s="18"/>
    </x:row>
    <x:row r="253">
      <x:c r="A253" s="18"/>
      <x:c r="B253" s="18"/>
      <x:c r="C253" s="18"/>
      <x:c r="D253" s="18"/>
      <x:c r="E253" s="18"/>
      <x:c r="F253" s="18"/>
      <x:c r="G253" s="18"/>
      <x:c r="H253" s="18"/>
      <x:c r="I253" s="18"/>
      <x:c r="J253" s="18"/>
      <x:c r="K253" s="18"/>
    </x:row>
    <x:row r="254">
      <x:c r="A254" s="18"/>
      <x:c r="B254" s="18"/>
      <x:c r="C254" s="18"/>
      <x:c r="D254" s="18"/>
      <x:c r="E254" s="18"/>
      <x:c r="F254" s="18"/>
      <x:c r="G254" s="18"/>
      <x:c r="H254" s="18"/>
      <x:c r="I254" s="18"/>
      <x:c r="J254" s="18"/>
      <x:c r="K254" s="18"/>
    </x:row>
    <x:row r="255">
      <x:c r="A255" s="18"/>
      <x:c r="B255" s="18"/>
      <x:c r="C255" s="18"/>
      <x:c r="D255" s="18"/>
      <x:c r="E255" s="18"/>
      <x:c r="F255" s="18"/>
      <x:c r="G255" s="18"/>
      <x:c r="H255" s="18"/>
      <x:c r="I255" s="18"/>
      <x:c r="J255" s="18"/>
      <x:c r="K255" s="18"/>
    </x:row>
    <x:row r="256">
      <x:c r="A256" s="18"/>
      <x:c r="B256" s="18"/>
      <x:c r="C256" s="18"/>
      <x:c r="D256" s="18"/>
      <x:c r="E256" s="18"/>
      <x:c r="F256" s="18"/>
      <x:c r="G256" s="18"/>
      <x:c r="H256" s="18"/>
      <x:c r="I256" s="18"/>
      <x:c r="J256" s="18"/>
      <x:c r="K256" s="18"/>
    </x:row>
    <x:row r="257">
      <x:c r="A257" s="18"/>
      <x:c r="B257" s="18"/>
      <x:c r="C257" s="18"/>
      <x:c r="D257" s="18"/>
      <x:c r="E257" s="18"/>
      <x:c r="F257" s="18"/>
      <x:c r="G257" s="18"/>
      <x:c r="H257" s="18"/>
      <x:c r="I257" s="18"/>
      <x:c r="J257" s="18"/>
      <x:c r="K257" s="18"/>
    </x:row>
    <x:row r="258">
      <x:c r="A258" s="18"/>
      <x:c r="B258" s="18"/>
      <x:c r="C258" s="18"/>
      <x:c r="D258" s="18"/>
      <x:c r="E258" s="18"/>
      <x:c r="F258" s="18"/>
      <x:c r="G258" s="18"/>
      <x:c r="H258" s="18"/>
      <x:c r="I258" s="18"/>
      <x:c r="J258" s="18"/>
      <x:c r="K258" s="18"/>
    </x:row>
    <x:row r="259">
      <x:c r="A259" s="18"/>
      <x:c r="B259" s="18"/>
      <x:c r="C259" s="18"/>
      <x:c r="D259" s="18"/>
      <x:c r="E259" s="18"/>
      <x:c r="F259" s="18"/>
      <x:c r="G259" s="18"/>
      <x:c r="H259" s="18"/>
      <x:c r="I259" s="18"/>
      <x:c r="J259" s="18"/>
      <x:c r="K259" s="18"/>
    </x:row>
    <x:row r="260">
      <x:c r="A260" s="18"/>
      <x:c r="B260" s="18"/>
      <x:c r="C260" s="18"/>
      <x:c r="D260" s="18"/>
      <x:c r="E260" s="18"/>
      <x:c r="F260" s="18"/>
      <x:c r="G260" s="18"/>
      <x:c r="H260" s="18"/>
      <x:c r="I260" s="18"/>
      <x:c r="J260" s="18"/>
      <x:c r="K260" s="18"/>
    </x:row>
    <x:row r="261">
      <x:c r="A261" s="18"/>
      <x:c r="B261" s="18"/>
      <x:c r="C261" s="18"/>
      <x:c r="D261" s="18"/>
      <x:c r="E261" s="18"/>
      <x:c r="F261" s="18"/>
      <x:c r="G261" s="18"/>
      <x:c r="H261" s="18"/>
      <x:c r="I261" s="18"/>
      <x:c r="J261" s="18"/>
      <x:c r="K261" s="18"/>
    </x:row>
    <x:row r="262">
      <x:c r="A262" s="18"/>
      <x:c r="B262" s="18"/>
      <x:c r="C262" s="18"/>
      <x:c r="D262" s="18"/>
      <x:c r="E262" s="18"/>
      <x:c r="F262" s="18"/>
      <x:c r="G262" s="18"/>
      <x:c r="H262" s="18"/>
      <x:c r="I262" s="18"/>
      <x:c r="J262" s="18"/>
      <x:c r="K262" s="18"/>
    </x:row>
    <x:row r="263">
      <x:c r="A263" s="18"/>
      <x:c r="B263" s="18"/>
      <x:c r="C263" s="18"/>
      <x:c r="D263" s="18"/>
      <x:c r="E263" s="18"/>
      <x:c r="F263" s="18"/>
      <x:c r="G263" s="18"/>
      <x:c r="H263" s="18"/>
      <x:c r="I263" s="18"/>
      <x:c r="J263" s="18"/>
      <x:c r="K263" s="18"/>
    </x:row>
    <x:row r="264">
      <x:c r="A264" s="18"/>
      <x:c r="B264" s="18"/>
      <x:c r="C264" s="18"/>
      <x:c r="D264" s="18"/>
      <x:c r="E264" s="18"/>
      <x:c r="F264" s="18"/>
      <x:c r="G264" s="18"/>
      <x:c r="H264" s="18"/>
      <x:c r="I264" s="18"/>
      <x:c r="J264" s="18"/>
      <x:c r="K264" s="18"/>
    </x:row>
    <x:row r="265">
      <x:c r="A265" s="18"/>
      <x:c r="B265" s="18"/>
      <x:c r="C265" s="18"/>
      <x:c r="D265" s="18"/>
      <x:c r="E265" s="18"/>
      <x:c r="F265" s="18"/>
      <x:c r="G265" s="18"/>
      <x:c r="H265" s="18"/>
      <x:c r="I265" s="18"/>
      <x:c r="J265" s="18"/>
      <x:c r="K265" s="18"/>
    </x:row>
    <x:row r="266">
      <x:c r="A266" s="18"/>
      <x:c r="B266" s="18"/>
      <x:c r="C266" s="18"/>
      <x:c r="D266" s="18"/>
      <x:c r="E266" s="18"/>
      <x:c r="F266" s="18"/>
      <x:c r="G266" s="18"/>
      <x:c r="H266" s="18"/>
      <x:c r="I266" s="18"/>
      <x:c r="J266" s="18"/>
      <x:c r="K266" s="18"/>
    </x:row>
    <x:row r="267">
      <x:c r="A267" s="18"/>
      <x:c r="B267" s="18"/>
      <x:c r="C267" s="18"/>
      <x:c r="D267" s="18"/>
      <x:c r="E267" s="18"/>
      <x:c r="F267" s="18"/>
      <x:c r="G267" s="18"/>
      <x:c r="H267" s="18"/>
      <x:c r="I267" s="18"/>
      <x:c r="J267" s="18"/>
      <x:c r="K267" s="18"/>
    </x:row>
    <x:row r="268">
      <x:c r="A268" s="18"/>
      <x:c r="B268" s="18"/>
      <x:c r="C268" s="18"/>
      <x:c r="D268" s="18"/>
      <x:c r="E268" s="18"/>
      <x:c r="F268" s="18"/>
      <x:c r="G268" s="18"/>
      <x:c r="H268" s="18"/>
      <x:c r="I268" s="18"/>
      <x:c r="J268" s="18"/>
      <x:c r="K268" s="18"/>
    </x:row>
    <x:row r="269">
      <x:c r="A269" s="18"/>
      <x:c r="B269" s="18"/>
      <x:c r="C269" s="18"/>
      <x:c r="D269" s="18"/>
      <x:c r="E269" s="18"/>
      <x:c r="F269" s="18"/>
      <x:c r="G269" s="18"/>
      <x:c r="H269" s="18"/>
      <x:c r="I269" s="18"/>
      <x:c r="J269" s="18"/>
      <x:c r="K269" s="18"/>
    </x:row>
    <x:row r="270">
      <x:c r="A270" s="18"/>
      <x:c r="B270" s="18"/>
      <x:c r="C270" s="18"/>
      <x:c r="D270" s="18"/>
      <x:c r="E270" s="18"/>
      <x:c r="F270" s="18"/>
      <x:c r="G270" s="18"/>
      <x:c r="H270" s="18"/>
      <x:c r="I270" s="18"/>
      <x:c r="J270" s="18"/>
      <x:c r="K270" s="18"/>
    </x:row>
    <x:row r="271">
      <x:c r="A271" s="18"/>
      <x:c r="B271" s="18"/>
      <x:c r="C271" s="18"/>
      <x:c r="D271" s="18"/>
      <x:c r="E271" s="18"/>
      <x:c r="F271" s="18"/>
      <x:c r="G271" s="18"/>
      <x:c r="H271" s="18"/>
      <x:c r="I271" s="18"/>
      <x:c r="J271" s="18"/>
      <x:c r="K271" s="18"/>
    </x:row>
    <x:row r="272">
      <x:c r="A272" s="18"/>
      <x:c r="B272" s="18"/>
      <x:c r="C272" s="18"/>
      <x:c r="D272" s="18"/>
      <x:c r="E272" s="18"/>
      <x:c r="F272" s="18"/>
      <x:c r="G272" s="18"/>
      <x:c r="H272" s="18"/>
      <x:c r="I272" s="18"/>
      <x:c r="J272" s="18"/>
      <x:c r="K272" s="18"/>
    </x:row>
    <x:row r="273">
      <x:c r="A273" s="18"/>
      <x:c r="B273" s="18"/>
      <x:c r="C273" s="18"/>
      <x:c r="D273" s="18"/>
      <x:c r="E273" s="18"/>
      <x:c r="F273" s="18"/>
      <x:c r="G273" s="18"/>
      <x:c r="H273" s="18"/>
      <x:c r="I273" s="18"/>
      <x:c r="J273" s="18"/>
      <x:c r="K273" s="18"/>
    </x:row>
    <x:row r="274">
      <x:c r="A274" s="18"/>
      <x:c r="B274" s="18"/>
      <x:c r="C274" s="18"/>
      <x:c r="D274" s="18"/>
      <x:c r="E274" s="18"/>
      <x:c r="F274" s="18"/>
      <x:c r="G274" s="18"/>
      <x:c r="H274" s="18"/>
      <x:c r="I274" s="18"/>
      <x:c r="J274" s="18"/>
      <x:c r="K274" s="18"/>
    </x:row>
    <x:row r="275">
      <x:c r="A275" s="18"/>
      <x:c r="B275" s="18"/>
      <x:c r="C275" s="18"/>
      <x:c r="D275" s="18"/>
      <x:c r="E275" s="18"/>
      <x:c r="F275" s="18"/>
      <x:c r="G275" s="18"/>
      <x:c r="H275" s="18"/>
      <x:c r="I275" s="18"/>
      <x:c r="J275" s="18"/>
      <x:c r="K275" s="18"/>
    </x:row>
    <x:row r="276">
      <x:c r="A276" s="18"/>
      <x:c r="B276" s="18"/>
      <x:c r="C276" s="18"/>
      <x:c r="D276" s="18"/>
      <x:c r="E276" s="18"/>
      <x:c r="F276" s="18"/>
      <x:c r="G276" s="18"/>
      <x:c r="H276" s="18"/>
      <x:c r="I276" s="18"/>
      <x:c r="J276" s="18"/>
      <x:c r="K276" s="18"/>
    </x:row>
    <x:row r="277">
      <x:c r="A277" s="18"/>
      <x:c r="B277" s="18"/>
      <x:c r="C277" s="18"/>
      <x:c r="D277" s="18"/>
      <x:c r="E277" s="18"/>
      <x:c r="F277" s="18"/>
      <x:c r="G277" s="18"/>
      <x:c r="H277" s="18"/>
      <x:c r="I277" s="18"/>
      <x:c r="J277" s="18"/>
      <x:c r="K277" s="18"/>
    </x:row>
    <x:row r="278">
      <x:c r="A278" s="18"/>
      <x:c r="B278" s="18"/>
      <x:c r="C278" s="18"/>
      <x:c r="D278" s="18"/>
      <x:c r="E278" s="18"/>
      <x:c r="F278" s="18"/>
      <x:c r="G278" s="18"/>
      <x:c r="H278" s="18"/>
      <x:c r="I278" s="18"/>
      <x:c r="J278" s="18"/>
      <x:c r="K278" s="18"/>
    </x:row>
    <x:row r="279">
      <x:c r="A279" s="18"/>
      <x:c r="B279" s="18"/>
      <x:c r="C279" s="18"/>
      <x:c r="D279" s="18"/>
      <x:c r="E279" s="18"/>
      <x:c r="F279" s="18"/>
      <x:c r="G279" s="18"/>
      <x:c r="H279" s="18"/>
      <x:c r="I279" s="18"/>
      <x:c r="J279" s="18"/>
      <x:c r="K279" s="18"/>
    </x:row>
    <x:row r="280">
      <x:c r="A280" s="18"/>
      <x:c r="B280" s="18"/>
      <x:c r="C280" s="18"/>
      <x:c r="D280" s="18"/>
      <x:c r="E280" s="18"/>
      <x:c r="F280" s="18"/>
      <x:c r="G280" s="18"/>
      <x:c r="H280" s="18"/>
      <x:c r="I280" s="18"/>
      <x:c r="J280" s="18"/>
      <x:c r="K280" s="18"/>
    </x:row>
    <x:row r="281">
      <x:c r="A281" s="18"/>
      <x:c r="B281" s="18"/>
      <x:c r="C281" s="18"/>
      <x:c r="D281" s="18"/>
      <x:c r="E281" s="18"/>
      <x:c r="F281" s="18"/>
      <x:c r="G281" s="18"/>
      <x:c r="H281" s="18"/>
      <x:c r="I281" s="18"/>
      <x:c r="J281" s="18"/>
      <x:c r="K281" s="18"/>
    </x:row>
    <x:row r="282">
      <x:c r="A282" s="18"/>
      <x:c r="B282" s="18"/>
      <x:c r="C282" s="18"/>
      <x:c r="D282" s="18"/>
      <x:c r="E282" s="18"/>
      <x:c r="F282" s="18"/>
      <x:c r="G282" s="18"/>
      <x:c r="H282" s="18"/>
      <x:c r="I282" s="18"/>
      <x:c r="J282" s="18"/>
      <x:c r="K282" s="18"/>
    </x:row>
    <x:row r="283">
      <x:c r="A283" s="18"/>
      <x:c r="B283" s="18"/>
      <x:c r="C283" s="18"/>
      <x:c r="D283" s="18"/>
      <x:c r="E283" s="18"/>
      <x:c r="F283" s="18"/>
      <x:c r="G283" s="18"/>
      <x:c r="H283" s="18"/>
      <x:c r="I283" s="18"/>
      <x:c r="J283" s="18"/>
      <x:c r="K283" s="18"/>
    </x:row>
    <x:row r="284">
      <x:c r="A284" s="18"/>
      <x:c r="B284" s="18"/>
      <x:c r="C284" s="18"/>
      <x:c r="D284" s="18"/>
      <x:c r="E284" s="18"/>
      <x:c r="F284" s="18"/>
      <x:c r="G284" s="18"/>
      <x:c r="H284" s="18"/>
      <x:c r="I284" s="18"/>
      <x:c r="J284" s="18"/>
      <x:c r="K284" s="18"/>
    </x:row>
    <x:row r="285">
      <x:c r="A285" s="18"/>
      <x:c r="B285" s="18"/>
      <x:c r="C285" s="18"/>
      <x:c r="D285" s="18"/>
      <x:c r="E285" s="18"/>
      <x:c r="F285" s="18"/>
      <x:c r="G285" s="18"/>
      <x:c r="H285" s="18"/>
      <x:c r="I285" s="18"/>
      <x:c r="J285" s="18"/>
      <x:c r="K285" s="18"/>
    </x:row>
    <x:row r="286">
      <x:c r="A286" s="18"/>
      <x:c r="B286" s="18"/>
      <x:c r="C286" s="18"/>
      <x:c r="D286" s="18"/>
      <x:c r="E286" s="18"/>
      <x:c r="F286" s="18"/>
      <x:c r="G286" s="18"/>
      <x:c r="H286" s="18"/>
      <x:c r="I286" s="18"/>
      <x:c r="J286" s="18"/>
      <x:c r="K286" s="18"/>
    </x:row>
    <x:row r="287">
      <x:c r="A287" s="18"/>
      <x:c r="B287" s="18"/>
      <x:c r="C287" s="18"/>
      <x:c r="D287" s="18"/>
      <x:c r="E287" s="18"/>
      <x:c r="F287" s="18"/>
      <x:c r="G287" s="18"/>
      <x:c r="H287" s="18"/>
      <x:c r="I287" s="18"/>
      <x:c r="J287" s="18"/>
      <x:c r="K287" s="18"/>
    </x:row>
    <x:row r="288">
      <x:c r="A288" s="18"/>
      <x:c r="B288" s="18"/>
      <x:c r="C288" s="18"/>
      <x:c r="D288" s="18"/>
      <x:c r="E288" s="18"/>
      <x:c r="F288" s="18"/>
      <x:c r="G288" s="18"/>
      <x:c r="H288" s="18"/>
      <x:c r="I288" s="18"/>
      <x:c r="J288" s="18"/>
      <x:c r="K288" s="18"/>
    </x:row>
    <x:row r="289">
      <x:c r="A289" s="18"/>
      <x:c r="B289" s="18"/>
      <x:c r="C289" s="18"/>
      <x:c r="D289" s="18"/>
      <x:c r="E289" s="18"/>
      <x:c r="F289" s="18"/>
      <x:c r="G289" s="18"/>
      <x:c r="H289" s="18"/>
      <x:c r="I289" s="18"/>
      <x:c r="J289" s="18"/>
      <x:c r="K289" s="18"/>
    </x:row>
    <x:row r="290">
      <x:c r="A290" s="18"/>
      <x:c r="B290" s="18"/>
      <x:c r="C290" s="18"/>
      <x:c r="D290" s="18"/>
      <x:c r="E290" s="18"/>
      <x:c r="F290" s="18"/>
      <x:c r="G290" s="18"/>
      <x:c r="H290" s="18"/>
      <x:c r="I290" s="18"/>
      <x:c r="J290" s="18"/>
      <x:c r="K290" s="18"/>
    </x:row>
    <x:row r="291">
      <x:c r="A291" s="18"/>
      <x:c r="B291" s="18"/>
      <x:c r="C291" s="18"/>
      <x:c r="D291" s="18"/>
      <x:c r="E291" s="18"/>
      <x:c r="F291" s="18"/>
      <x:c r="G291" s="18"/>
      <x:c r="H291" s="18"/>
      <x:c r="I291" s="18"/>
      <x:c r="J291" s="18"/>
      <x:c r="K291" s="18"/>
    </x:row>
    <x:row r="292">
      <x:c r="A292" s="18"/>
      <x:c r="B292" s="18"/>
      <x:c r="C292" s="18"/>
      <x:c r="D292" s="18"/>
      <x:c r="E292" s="18"/>
      <x:c r="F292" s="18"/>
      <x:c r="G292" s="18"/>
      <x:c r="H292" s="18"/>
      <x:c r="I292" s="18"/>
      <x:c r="J292" s="18"/>
      <x:c r="K292" s="18"/>
    </x:row>
    <x:row r="293">
      <x:c r="A293" s="18"/>
      <x:c r="B293" s="18"/>
      <x:c r="C293" s="18"/>
      <x:c r="D293" s="18"/>
      <x:c r="E293" s="18"/>
      <x:c r="F293" s="18"/>
      <x:c r="G293" s="18"/>
      <x:c r="H293" s="18"/>
      <x:c r="I293" s="18"/>
      <x:c r="J293" s="18"/>
      <x:c r="K293" s="18"/>
    </x:row>
    <x:row r="294">
      <x:c r="A294" s="18"/>
      <x:c r="B294" s="18"/>
      <x:c r="C294" s="18"/>
      <x:c r="D294" s="18"/>
      <x:c r="E294" s="18"/>
      <x:c r="F294" s="18"/>
      <x:c r="G294" s="18"/>
      <x:c r="H294" s="18"/>
      <x:c r="I294" s="18"/>
      <x:c r="J294" s="18"/>
      <x:c r="K294" s="18"/>
    </x:row>
    <x:row r="295">
      <x:c r="A295" s="18"/>
      <x:c r="B295" s="18"/>
      <x:c r="C295" s="18"/>
      <x:c r="D295" s="18"/>
      <x:c r="E295" s="18"/>
      <x:c r="F295" s="18"/>
      <x:c r="G295" s="18"/>
      <x:c r="H295" s="18"/>
      <x:c r="I295" s="18"/>
      <x:c r="J295" s="18"/>
      <x:c r="K295" s="18"/>
    </x:row>
    <x:row r="296">
      <x:c r="A296" s="18"/>
      <x:c r="B296" s="18"/>
      <x:c r="C296" s="18"/>
      <x:c r="D296" s="18"/>
      <x:c r="E296" s="18"/>
      <x:c r="F296" s="18"/>
      <x:c r="G296" s="18"/>
      <x:c r="H296" s="18"/>
      <x:c r="I296" s="18"/>
      <x:c r="J296" s="18"/>
      <x:c r="K296" s="18"/>
    </x:row>
    <x:row r="297">
      <x:c r="A297" s="18"/>
      <x:c r="B297" s="18"/>
      <x:c r="C297" s="18"/>
      <x:c r="D297" s="18"/>
      <x:c r="E297" s="18"/>
      <x:c r="F297" s="18"/>
      <x:c r="G297" s="18"/>
      <x:c r="H297" s="18"/>
      <x:c r="I297" s="18"/>
      <x:c r="J297" s="18"/>
      <x:c r="K297" s="18"/>
    </x:row>
    <x:row r="298">
      <x:c r="A298" s="18"/>
      <x:c r="B298" s="18"/>
      <x:c r="C298" s="18"/>
      <x:c r="D298" s="18"/>
      <x:c r="E298" s="18"/>
      <x:c r="F298" s="18"/>
      <x:c r="G298" s="18"/>
      <x:c r="H298" s="18"/>
      <x:c r="I298" s="18"/>
      <x:c r="J298" s="18"/>
      <x:c r="K298" s="18"/>
    </x:row>
    <x:row r="299">
      <x:c r="A299" s="18"/>
      <x:c r="B299" s="18"/>
      <x:c r="C299" s="18"/>
      <x:c r="D299" s="18"/>
      <x:c r="E299" s="18"/>
      <x:c r="F299" s="18"/>
      <x:c r="G299" s="18"/>
      <x:c r="H299" s="18"/>
      <x:c r="I299" s="18"/>
      <x:c r="J299" s="18"/>
      <x:c r="K299" s="18"/>
    </x:row>
    <x:row r="300">
      <x:c r="A300" s="18"/>
      <x:c r="B300" s="18"/>
      <x:c r="C300" s="18"/>
      <x:c r="D300" s="18"/>
      <x:c r="E300" s="18"/>
      <x:c r="F300" s="18"/>
      <x:c r="G300" s="18"/>
      <x:c r="H300" s="18"/>
      <x:c r="I300" s="18"/>
      <x:c r="J300" s="18"/>
      <x:c r="K300" s="18"/>
    </x:row>
    <x:row r="301">
      <x:c r="A301" s="18"/>
      <x:c r="B301" s="18"/>
      <x:c r="C301" s="18"/>
      <x:c r="D301" s="18"/>
      <x:c r="E301" s="18"/>
      <x:c r="F301" s="18"/>
      <x:c r="G301" s="18"/>
      <x:c r="H301" s="18"/>
      <x:c r="I301" s="18"/>
      <x:c r="J301" s="18"/>
      <x:c r="K301" s="18"/>
    </x:row>
    <x:row r="302">
      <x:c r="A302" s="18"/>
      <x:c r="B302" s="18"/>
      <x:c r="C302" s="18"/>
      <x:c r="D302" s="18"/>
      <x:c r="E302" s="18"/>
      <x:c r="F302" s="18"/>
      <x:c r="G302" s="18"/>
      <x:c r="H302" s="18"/>
      <x:c r="I302" s="18"/>
      <x:c r="J302" s="18"/>
      <x:c r="K302" s="18"/>
    </x:row>
    <x:row r="303">
      <x:c r="A303" s="18"/>
      <x:c r="B303" s="18"/>
      <x:c r="C303" s="18"/>
      <x:c r="D303" s="18"/>
      <x:c r="E303" s="18"/>
      <x:c r="F303" s="18"/>
      <x:c r="G303" s="18"/>
      <x:c r="H303" s="18"/>
      <x:c r="I303" s="18"/>
      <x:c r="J303" s="18"/>
      <x:c r="K303" s="18"/>
    </x:row>
    <x:row r="304">
      <x:c r="A304" s="18"/>
      <x:c r="B304" s="18"/>
      <x:c r="C304" s="18"/>
      <x:c r="D304" s="18"/>
      <x:c r="E304" s="18"/>
      <x:c r="F304" s="18"/>
      <x:c r="G304" s="18"/>
      <x:c r="H304" s="18"/>
      <x:c r="I304" s="18"/>
      <x:c r="J304" s="18"/>
      <x:c r="K304" s="18"/>
    </x:row>
    <x:row r="305">
      <x:c r="A305" s="18"/>
      <x:c r="B305" s="18"/>
      <x:c r="C305" s="18"/>
      <x:c r="D305" s="18"/>
      <x:c r="E305" s="18"/>
      <x:c r="F305" s="18"/>
      <x:c r="G305" s="18"/>
      <x:c r="H305" s="18"/>
      <x:c r="I305" s="18"/>
      <x:c r="J305" s="18"/>
      <x:c r="K305" s="18"/>
    </x:row>
    <x:row r="306">
      <x:c r="A306" s="18"/>
      <x:c r="B306" s="18"/>
      <x:c r="C306" s="18"/>
      <x:c r="D306" s="18"/>
      <x:c r="E306" s="18"/>
      <x:c r="F306" s="18"/>
      <x:c r="G306" s="18"/>
      <x:c r="H306" s="18"/>
      <x:c r="I306" s="18"/>
      <x:c r="J306" s="18"/>
      <x:c r="K306" s="18"/>
    </x:row>
    <x:row r="307">
      <x:c r="A307" s="18"/>
      <x:c r="B307" s="18"/>
      <x:c r="C307" s="18"/>
      <x:c r="D307" s="18"/>
      <x:c r="E307" s="18"/>
      <x:c r="F307" s="18"/>
      <x:c r="G307" s="18"/>
      <x:c r="H307" s="18"/>
      <x:c r="I307" s="18"/>
      <x:c r="J307" s="18"/>
      <x:c r="K307" s="18"/>
    </x:row>
    <x:row r="308">
      <x:c r="A308" s="18"/>
      <x:c r="B308" s="18"/>
      <x:c r="C308" s="18"/>
      <x:c r="D308" s="18"/>
      <x:c r="E308" s="18"/>
      <x:c r="F308" s="18"/>
      <x:c r="G308" s="18"/>
      <x:c r="H308" s="18"/>
      <x:c r="I308" s="18"/>
      <x:c r="J308" s="18"/>
      <x:c r="K308" s="18"/>
    </x:row>
    <x:row r="309">
      <x:c r="A309" s="18"/>
      <x:c r="B309" s="18"/>
      <x:c r="C309" s="18"/>
      <x:c r="D309" s="18"/>
      <x:c r="E309" s="18"/>
      <x:c r="F309" s="18"/>
      <x:c r="G309" s="18"/>
      <x:c r="H309" s="18"/>
      <x:c r="I309" s="18"/>
      <x:c r="J309" s="18"/>
      <x:c r="K309" s="18"/>
    </x:row>
    <x:row r="310">
      <x:c r="A310" s="18"/>
      <x:c r="B310" s="18"/>
      <x:c r="C310" s="18"/>
      <x:c r="D310" s="18"/>
      <x:c r="E310" s="18"/>
      <x:c r="F310" s="18"/>
      <x:c r="G310" s="18"/>
      <x:c r="H310" s="18"/>
      <x:c r="I310" s="18"/>
      <x:c r="J310" s="18"/>
      <x:c r="K310" s="18"/>
    </x:row>
    <x:row r="311">
      <x:c r="A311" s="18"/>
      <x:c r="B311" s="18"/>
      <x:c r="C311" s="18"/>
      <x:c r="D311" s="18"/>
      <x:c r="E311" s="18"/>
      <x:c r="F311" s="18"/>
      <x:c r="G311" s="18"/>
      <x:c r="H311" s="18"/>
      <x:c r="I311" s="18"/>
      <x:c r="J311" s="18"/>
      <x:c r="K311" s="18"/>
    </x:row>
    <x:row r="312">
      <x:c r="A312" s="18"/>
      <x:c r="B312" s="18"/>
      <x:c r="C312" s="18"/>
      <x:c r="D312" s="18"/>
      <x:c r="E312" s="18"/>
      <x:c r="F312" s="18"/>
      <x:c r="G312" s="18"/>
      <x:c r="H312" s="18"/>
      <x:c r="I312" s="18"/>
      <x:c r="J312" s="18"/>
      <x:c r="K312" s="18"/>
    </x:row>
    <x:row r="313">
      <x:c r="A313" s="18"/>
      <x:c r="B313" s="18"/>
      <x:c r="C313" s="18"/>
      <x:c r="D313" s="18"/>
      <x:c r="E313" s="18"/>
      <x:c r="F313" s="18"/>
      <x:c r="G313" s="18"/>
      <x:c r="H313" s="18"/>
      <x:c r="I313" s="18"/>
      <x:c r="J313" s="18"/>
      <x:c r="K313" s="18"/>
    </x:row>
    <x:row r="314">
      <x:c r="A314" s="18"/>
      <x:c r="B314" s="18"/>
      <x:c r="C314" s="18"/>
      <x:c r="D314" s="18"/>
      <x:c r="E314" s="18"/>
      <x:c r="F314" s="18"/>
      <x:c r="G314" s="18"/>
      <x:c r="H314" s="18"/>
      <x:c r="I314" s="18"/>
      <x:c r="J314" s="18"/>
      <x:c r="K314" s="18"/>
    </x:row>
    <x:row r="315">
      <x:c r="A315" s="18"/>
      <x:c r="B315" s="18"/>
      <x:c r="C315" s="18"/>
      <x:c r="D315" s="18"/>
      <x:c r="E315" s="18"/>
      <x:c r="F315" s="18"/>
      <x:c r="G315" s="18"/>
      <x:c r="H315" s="18"/>
      <x:c r="I315" s="18"/>
      <x:c r="J315" s="18"/>
      <x:c r="K315" s="18"/>
    </x:row>
    <x:row r="316">
      <x:c r="A316" s="18"/>
      <x:c r="B316" s="18"/>
      <x:c r="C316" s="18"/>
      <x:c r="D316" s="18"/>
      <x:c r="E316" s="18"/>
      <x:c r="F316" s="18"/>
      <x:c r="G316" s="18"/>
      <x:c r="H316" s="18"/>
      <x:c r="I316" s="18"/>
      <x:c r="J316" s="18"/>
      <x:c r="K316" s="18"/>
    </x:row>
    <x:row r="317">
      <x:c r="A317" s="18"/>
      <x:c r="B317" s="18"/>
      <x:c r="C317" s="18"/>
      <x:c r="D317" s="18"/>
      <x:c r="E317" s="18"/>
      <x:c r="F317" s="18"/>
      <x:c r="G317" s="18"/>
      <x:c r="H317" s="18"/>
      <x:c r="I317" s="18"/>
      <x:c r="J317" s="18"/>
      <x:c r="K317" s="18"/>
    </x:row>
    <x:row r="318">
      <x:c r="A318" s="18"/>
      <x:c r="B318" s="18"/>
      <x:c r="C318" s="18"/>
      <x:c r="D318" s="18"/>
      <x:c r="E318" s="18"/>
      <x:c r="F318" s="18"/>
      <x:c r="G318" s="18"/>
      <x:c r="H318" s="18"/>
      <x:c r="I318" s="18"/>
      <x:c r="J318" s="18"/>
      <x:c r="K318" s="18"/>
    </x:row>
    <x:row r="319">
      <x:c r="A319" s="18"/>
      <x:c r="B319" s="18"/>
      <x:c r="C319" s="18"/>
      <x:c r="D319" s="18"/>
      <x:c r="E319" s="18"/>
      <x:c r="F319" s="18"/>
      <x:c r="G319" s="18"/>
      <x:c r="H319" s="18"/>
      <x:c r="I319" s="18"/>
      <x:c r="J319" s="18"/>
      <x:c r="K319" s="18"/>
    </x:row>
    <x:row r="320">
      <x:c r="A320" s="18"/>
      <x:c r="B320" s="18"/>
      <x:c r="C320" s="18"/>
      <x:c r="D320" s="18"/>
      <x:c r="E320" s="18"/>
      <x:c r="F320" s="18"/>
      <x:c r="G320" s="18"/>
      <x:c r="H320" s="18"/>
      <x:c r="I320" s="18"/>
      <x:c r="J320" s="18"/>
      <x:c r="K320" s="18"/>
    </x:row>
    <x:row r="321">
      <x:c r="A321" s="18"/>
      <x:c r="B321" s="18"/>
      <x:c r="C321" s="18"/>
      <x:c r="D321" s="18"/>
      <x:c r="E321" s="18"/>
      <x:c r="F321" s="18"/>
      <x:c r="G321" s="18"/>
      <x:c r="H321" s="18"/>
      <x:c r="I321" s="18"/>
      <x:c r="J321" s="18"/>
      <x:c r="K321" s="18"/>
    </x:row>
    <x:row r="322">
      <x:c r="A322" s="18"/>
      <x:c r="B322" s="18"/>
      <x:c r="C322" s="18"/>
      <x:c r="D322" s="18"/>
      <x:c r="E322" s="18"/>
      <x:c r="F322" s="18"/>
      <x:c r="G322" s="18"/>
      <x:c r="H322" s="18"/>
      <x:c r="I322" s="18"/>
      <x:c r="J322" s="18"/>
      <x:c r="K322" s="18"/>
    </x:row>
    <x:row r="323">
      <x:c r="A323" s="18"/>
      <x:c r="B323" s="18"/>
      <x:c r="C323" s="18"/>
      <x:c r="D323" s="18"/>
      <x:c r="E323" s="18"/>
      <x:c r="F323" s="18"/>
      <x:c r="G323" s="18"/>
      <x:c r="H323" s="18"/>
      <x:c r="I323" s="18"/>
      <x:c r="J323" s="18"/>
      <x:c r="K323" s="18"/>
    </x:row>
    <x:row r="324">
      <x:c r="A324" s="18"/>
      <x:c r="B324" s="18"/>
      <x:c r="C324" s="18"/>
      <x:c r="D324" s="18"/>
      <x:c r="E324" s="18"/>
      <x:c r="F324" s="18"/>
      <x:c r="G324" s="18"/>
      <x:c r="H324" s="18"/>
      <x:c r="I324" s="18"/>
      <x:c r="J324" s="18"/>
      <x:c r="K324" s="18"/>
    </x:row>
    <x:row r="325">
      <x:c r="A325" s="18"/>
      <x:c r="B325" s="18"/>
      <x:c r="C325" s="18"/>
      <x:c r="D325" s="18"/>
      <x:c r="E325" s="18"/>
      <x:c r="F325" s="18"/>
      <x:c r="G325" s="18"/>
      <x:c r="H325" s="18"/>
      <x:c r="I325" s="18"/>
      <x:c r="J325" s="18"/>
      <x:c r="K325" s="18"/>
    </x:row>
    <x:row r="326">
      <x:c r="A326" s="18"/>
      <x:c r="B326" s="18"/>
      <x:c r="C326" s="18"/>
      <x:c r="D326" s="18"/>
      <x:c r="E326" s="18"/>
      <x:c r="F326" s="18"/>
      <x:c r="G326" s="18"/>
      <x:c r="H326" s="18"/>
      <x:c r="I326" s="18"/>
      <x:c r="J326" s="18"/>
      <x:c r="K326" s="18"/>
    </x:row>
    <x:row r="327">
      <x:c r="A327" s="18"/>
      <x:c r="B327" s="18"/>
      <x:c r="C327" s="18"/>
      <x:c r="D327" s="18"/>
      <x:c r="E327" s="18"/>
      <x:c r="F327" s="18"/>
      <x:c r="G327" s="18"/>
      <x:c r="H327" s="18"/>
      <x:c r="I327" s="18"/>
      <x:c r="J327" s="18"/>
      <x:c r="K327" s="18"/>
    </x:row>
    <x:row r="328">
      <x:c r="A328" s="18"/>
      <x:c r="B328" s="18"/>
      <x:c r="C328" s="18"/>
      <x:c r="D328" s="18"/>
      <x:c r="E328" s="18"/>
      <x:c r="F328" s="18"/>
      <x:c r="G328" s="18"/>
      <x:c r="H328" s="18"/>
      <x:c r="I328" s="18"/>
      <x:c r="J328" s="18"/>
      <x:c r="K328" s="18"/>
    </x:row>
    <x:row r="329">
      <x:c r="A329" s="18"/>
      <x:c r="B329" s="18"/>
      <x:c r="C329" s="18"/>
      <x:c r="D329" s="18"/>
      <x:c r="E329" s="18"/>
      <x:c r="F329" s="18"/>
      <x:c r="G329" s="18"/>
      <x:c r="H329" s="18"/>
      <x:c r="I329" s="18"/>
      <x:c r="J329" s="18"/>
      <x:c r="K329" s="18"/>
    </x:row>
    <x:row r="330">
      <x:c r="A330" s="18"/>
      <x:c r="B330" s="18"/>
      <x:c r="C330" s="18"/>
      <x:c r="D330" s="18"/>
      <x:c r="E330" s="18"/>
      <x:c r="F330" s="18"/>
      <x:c r="G330" s="18"/>
      <x:c r="H330" s="18"/>
      <x:c r="I330" s="18"/>
      <x:c r="J330" s="18"/>
      <x:c r="K330" s="18"/>
    </x:row>
    <x:row r="331">
      <x:c r="A331" s="18"/>
      <x:c r="B331" s="18"/>
      <x:c r="C331" s="18"/>
      <x:c r="D331" s="18"/>
      <x:c r="E331" s="18"/>
      <x:c r="F331" s="18"/>
      <x:c r="G331" s="18"/>
      <x:c r="H331" s="18"/>
      <x:c r="I331" s="18"/>
      <x:c r="J331" s="18"/>
      <x:c r="K331" s="18"/>
    </x:row>
    <x:row r="332">
      <x:c r="A332" s="18"/>
      <x:c r="B332" s="18"/>
      <x:c r="C332" s="18"/>
      <x:c r="D332" s="18"/>
      <x:c r="E332" s="18"/>
      <x:c r="F332" s="18"/>
      <x:c r="G332" s="18"/>
      <x:c r="H332" s="18"/>
      <x:c r="I332" s="18"/>
      <x:c r="J332" s="18"/>
      <x:c r="K332" s="18"/>
    </x:row>
    <x:row r="333">
      <x:c r="A333" s="18"/>
      <x:c r="B333" s="18"/>
      <x:c r="C333" s="18"/>
      <x:c r="D333" s="18"/>
      <x:c r="E333" s="18"/>
      <x:c r="F333" s="18"/>
      <x:c r="G333" s="18"/>
      <x:c r="H333" s="18"/>
      <x:c r="I333" s="18"/>
      <x:c r="J333" s="18"/>
      <x:c r="K333" s="18"/>
    </x:row>
    <x:row r="334">
      <x:c r="A334" s="18"/>
      <x:c r="B334" s="18"/>
      <x:c r="C334" s="18"/>
      <x:c r="D334" s="18"/>
      <x:c r="E334" s="18"/>
      <x:c r="F334" s="18"/>
      <x:c r="G334" s="18"/>
      <x:c r="H334" s="18"/>
      <x:c r="I334" s="18"/>
      <x:c r="J334" s="18"/>
      <x:c r="K334" s="18"/>
    </x:row>
    <x:row r="335">
      <x:c r="A335" s="18"/>
      <x:c r="B335" s="18"/>
      <x:c r="C335" s="18"/>
      <x:c r="D335" s="18"/>
      <x:c r="E335" s="18"/>
      <x:c r="F335" s="18"/>
      <x:c r="G335" s="18"/>
      <x:c r="H335" s="18"/>
      <x:c r="I335" s="18"/>
      <x:c r="J335" s="18"/>
      <x:c r="K335" s="18"/>
    </x:row>
    <x:row r="336">
      <x:c r="A336" s="18"/>
      <x:c r="B336" s="18"/>
      <x:c r="C336" s="18"/>
      <x:c r="D336" s="18"/>
      <x:c r="E336" s="18"/>
      <x:c r="F336" s="18"/>
      <x:c r="G336" s="18"/>
      <x:c r="H336" s="18"/>
      <x:c r="I336" s="18"/>
      <x:c r="J336" s="18"/>
      <x:c r="K336" s="18"/>
    </x:row>
    <x:row r="337">
      <x:c r="A337" s="18"/>
      <x:c r="B337" s="18"/>
      <x:c r="C337" s="18"/>
      <x:c r="D337" s="18"/>
      <x:c r="E337" s="18"/>
      <x:c r="F337" s="18"/>
      <x:c r="G337" s="18"/>
      <x:c r="H337" s="18"/>
      <x:c r="I337" s="18"/>
      <x:c r="J337" s="18"/>
      <x:c r="K337" s="18"/>
    </x:row>
    <x:row r="338">
      <x:c r="A338" s="18"/>
      <x:c r="B338" s="18"/>
      <x:c r="C338" s="18"/>
      <x:c r="D338" s="18"/>
      <x:c r="E338" s="18"/>
      <x:c r="F338" s="18"/>
      <x:c r="G338" s="18"/>
      <x:c r="H338" s="18"/>
      <x:c r="I338" s="18"/>
      <x:c r="J338" s="18"/>
      <x:c r="K338" s="18"/>
    </x:row>
    <x:row r="339">
      <x:c r="A339" s="18"/>
      <x:c r="B339" s="18"/>
      <x:c r="C339" s="18"/>
      <x:c r="D339" s="18"/>
      <x:c r="E339" s="18"/>
      <x:c r="F339" s="18"/>
      <x:c r="G339" s="18"/>
      <x:c r="H339" s="18"/>
      <x:c r="I339" s="18"/>
      <x:c r="J339" s="18"/>
      <x:c r="K339" s="18"/>
    </x:row>
    <x:row r="340">
      <x:c r="A340" s="18"/>
      <x:c r="B340" s="18"/>
      <x:c r="C340" s="18"/>
      <x:c r="D340" s="18"/>
      <x:c r="E340" s="18"/>
      <x:c r="F340" s="18"/>
      <x:c r="G340" s="18"/>
      <x:c r="H340" s="18"/>
      <x:c r="I340" s="18"/>
      <x:c r="J340" s="18"/>
      <x:c r="K340" s="18"/>
    </x:row>
    <x:row r="341">
      <x:c r="A341" s="18"/>
      <x:c r="B341" s="18"/>
      <x:c r="C341" s="18"/>
      <x:c r="D341" s="18"/>
      <x:c r="E341" s="18"/>
      <x:c r="F341" s="18"/>
      <x:c r="G341" s="18"/>
      <x:c r="H341" s="18"/>
      <x:c r="I341" s="18"/>
      <x:c r="J341" s="18"/>
      <x:c r="K341" s="18"/>
    </x:row>
    <x:row r="342">
      <x:c r="A342" s="18"/>
      <x:c r="B342" s="18"/>
      <x:c r="C342" s="18"/>
      <x:c r="D342" s="18"/>
      <x:c r="E342" s="18"/>
      <x:c r="F342" s="18"/>
      <x:c r="G342" s="18"/>
      <x:c r="H342" s="18"/>
      <x:c r="I342" s="18"/>
      <x:c r="J342" s="18"/>
      <x:c r="K342" s="18"/>
    </x:row>
    <x:row r="343">
      <x:c r="A343" s="18"/>
      <x:c r="B343" s="18"/>
      <x:c r="C343" s="18"/>
      <x:c r="D343" s="18"/>
      <x:c r="E343" s="18"/>
      <x:c r="F343" s="18"/>
      <x:c r="G343" s="18"/>
      <x:c r="H343" s="18"/>
      <x:c r="I343" s="18"/>
      <x:c r="J343" s="18"/>
      <x:c r="K343" s="18"/>
    </x:row>
    <x:row r="344">
      <x:c r="A344" s="18"/>
      <x:c r="B344" s="18"/>
      <x:c r="C344" s="18"/>
      <x:c r="D344" s="18"/>
      <x:c r="E344" s="18"/>
      <x:c r="F344" s="18"/>
      <x:c r="G344" s="18"/>
      <x:c r="H344" s="18"/>
      <x:c r="I344" s="18"/>
      <x:c r="J344" s="18"/>
      <x:c r="K344" s="18"/>
    </x:row>
    <x:row r="345">
      <x:c r="A345" s="18"/>
      <x:c r="B345" s="18"/>
      <x:c r="C345" s="18"/>
      <x:c r="D345" s="18"/>
      <x:c r="E345" s="18"/>
      <x:c r="F345" s="18"/>
      <x:c r="G345" s="18"/>
      <x:c r="H345" s="18"/>
      <x:c r="I345" s="18"/>
      <x:c r="J345" s="18"/>
      <x:c r="K345" s="18"/>
    </x:row>
    <x:row r="346">
      <x:c r="A346" s="18"/>
      <x:c r="B346" s="18"/>
      <x:c r="C346" s="18"/>
      <x:c r="D346" s="18"/>
      <x:c r="E346" s="18"/>
      <x:c r="F346" s="18"/>
      <x:c r="G346" s="18"/>
      <x:c r="H346" s="18"/>
      <x:c r="I346" s="18"/>
      <x:c r="J346" s="18"/>
      <x:c r="K346" s="18"/>
    </x:row>
    <x:row r="347">
      <x:c r="A347" s="18"/>
      <x:c r="B347" s="18"/>
      <x:c r="C347" s="18"/>
      <x:c r="D347" s="18"/>
      <x:c r="E347" s="18"/>
      <x:c r="F347" s="18"/>
      <x:c r="G347" s="18"/>
      <x:c r="H347" s="18"/>
      <x:c r="I347" s="18"/>
      <x:c r="J347" s="18"/>
      <x:c r="K347" s="18"/>
    </x:row>
    <x:row r="348">
      <x:c r="A348" s="18"/>
      <x:c r="B348" s="18"/>
      <x:c r="C348" s="18"/>
      <x:c r="D348" s="18"/>
      <x:c r="E348" s="18"/>
      <x:c r="F348" s="18"/>
      <x:c r="G348" s="18"/>
      <x:c r="H348" s="18"/>
      <x:c r="I348" s="18"/>
      <x:c r="J348" s="18"/>
      <x:c r="K348" s="18"/>
    </x:row>
    <x:row r="349">
      <x:c r="A349" s="18"/>
      <x:c r="B349" s="18"/>
      <x:c r="C349" s="18"/>
      <x:c r="D349" s="18"/>
      <x:c r="E349" s="18"/>
      <x:c r="F349" s="18"/>
      <x:c r="G349" s="18"/>
      <x:c r="H349" s="18"/>
      <x:c r="I349" s="18"/>
      <x:c r="J349" s="18"/>
      <x:c r="K349" s="18"/>
    </x:row>
    <x:row r="350">
      <x:c r="A350" s="18"/>
      <x:c r="B350" s="18"/>
      <x:c r="C350" s="18"/>
      <x:c r="D350" s="18"/>
      <x:c r="E350" s="18"/>
      <x:c r="F350" s="18"/>
      <x:c r="G350" s="18"/>
      <x:c r="H350" s="18"/>
      <x:c r="I350" s="18"/>
      <x:c r="J350" s="18"/>
      <x:c r="K350" s="18"/>
    </x:row>
    <x:row r="351">
      <x:c r="A351" s="18"/>
      <x:c r="B351" s="18"/>
      <x:c r="C351" s="18"/>
      <x:c r="D351" s="18"/>
      <x:c r="E351" s="18"/>
      <x:c r="F351" s="18"/>
      <x:c r="G351" s="18"/>
      <x:c r="H351" s="18"/>
      <x:c r="I351" s="18"/>
      <x:c r="J351" s="18"/>
      <x:c r="K351" s="18"/>
    </x:row>
    <x:row r="352">
      <x:c r="A352" s="18"/>
      <x:c r="B352" s="18"/>
      <x:c r="C352" s="18"/>
      <x:c r="D352" s="18"/>
      <x:c r="E352" s="18"/>
      <x:c r="F352" s="18"/>
      <x:c r="G352" s="18"/>
      <x:c r="H352" s="18"/>
      <x:c r="I352" s="18"/>
      <x:c r="J352" s="18"/>
      <x:c r="K352" s="18"/>
    </x:row>
    <x:row r="353">
      <x:c r="A353" s="18"/>
      <x:c r="B353" s="18"/>
      <x:c r="C353" s="18"/>
      <x:c r="D353" s="18"/>
      <x:c r="E353" s="18"/>
      <x:c r="F353" s="18"/>
      <x:c r="G353" s="18"/>
      <x:c r="H353" s="18"/>
      <x:c r="I353" s="18"/>
      <x:c r="J353" s="18"/>
      <x:c r="K353" s="18"/>
    </x:row>
    <x:row r="354">
      <x:c r="A354" s="18"/>
      <x:c r="B354" s="18"/>
      <x:c r="C354" s="18"/>
      <x:c r="D354" s="18"/>
      <x:c r="E354" s="18"/>
      <x:c r="F354" s="18"/>
      <x:c r="G354" s="18"/>
      <x:c r="H354" s="18"/>
      <x:c r="I354" s="18"/>
      <x:c r="J354" s="18"/>
      <x:c r="K354" s="18"/>
    </x:row>
    <x:row r="355">
      <x:c r="A355" s="18"/>
      <x:c r="B355" s="18"/>
      <x:c r="C355" s="18"/>
      <x:c r="D355" s="18"/>
      <x:c r="E355" s="18"/>
      <x:c r="F355" s="18"/>
      <x:c r="G355" s="18"/>
      <x:c r="H355" s="18"/>
      <x:c r="I355" s="18"/>
      <x:c r="J355" s="18"/>
      <x:c r="K355" s="18"/>
    </x:row>
    <x:row r="356">
      <x:c r="A356" s="18"/>
      <x:c r="B356" s="18"/>
      <x:c r="C356" s="18"/>
      <x:c r="D356" s="18"/>
      <x:c r="E356" s="18"/>
      <x:c r="F356" s="18"/>
      <x:c r="G356" s="18"/>
      <x:c r="H356" s="18"/>
      <x:c r="I356" s="18"/>
      <x:c r="J356" s="18"/>
      <x:c r="K356" s="18"/>
    </x:row>
    <x:row r="357">
      <x:c r="A357" s="18"/>
      <x:c r="B357" s="18"/>
      <x:c r="C357" s="18"/>
      <x:c r="D357" s="18"/>
      <x:c r="E357" s="18"/>
      <x:c r="F357" s="18"/>
      <x:c r="G357" s="18"/>
      <x:c r="H357" s="18"/>
      <x:c r="I357" s="18"/>
      <x:c r="J357" s="18"/>
      <x:c r="K357" s="18"/>
    </x:row>
    <x:row r="358">
      <x:c r="A358" s="18"/>
      <x:c r="B358" s="18"/>
      <x:c r="C358" s="18"/>
      <x:c r="D358" s="18"/>
      <x:c r="E358" s="18"/>
      <x:c r="F358" s="18"/>
      <x:c r="G358" s="18"/>
      <x:c r="H358" s="18"/>
      <x:c r="I358" s="18"/>
      <x:c r="J358" s="18"/>
      <x:c r="K358" s="18"/>
    </x:row>
    <x:row r="359">
      <x:c r="A359" s="18"/>
      <x:c r="B359" s="18"/>
      <x:c r="C359" s="18"/>
      <x:c r="D359" s="18"/>
      <x:c r="E359" s="18"/>
      <x:c r="F359" s="18"/>
      <x:c r="G359" s="18"/>
      <x:c r="H359" s="18"/>
      <x:c r="I359" s="18"/>
      <x:c r="J359" s="18"/>
      <x:c r="K359" s="18"/>
    </x:row>
    <x:row r="360">
      <x:c r="A360" s="18"/>
      <x:c r="B360" s="18"/>
      <x:c r="C360" s="18"/>
      <x:c r="D360" s="18"/>
      <x:c r="E360" s="18"/>
      <x:c r="F360" s="18"/>
      <x:c r="G360" s="18"/>
      <x:c r="H360" s="18"/>
      <x:c r="I360" s="18"/>
      <x:c r="J360" s="18"/>
      <x:c r="K360" s="18"/>
    </x:row>
    <x:row r="361">
      <x:c r="A361" s="18"/>
      <x:c r="B361" s="18"/>
      <x:c r="C361" s="18"/>
      <x:c r="D361" s="18"/>
      <x:c r="E361" s="18"/>
      <x:c r="F361" s="18"/>
      <x:c r="G361" s="18"/>
      <x:c r="H361" s="18"/>
      <x:c r="I361" s="18"/>
      <x:c r="J361" s="18"/>
      <x:c r="K361" s="18"/>
    </x:row>
    <x:row r="362">
      <x:c r="A362" s="18"/>
      <x:c r="B362" s="18"/>
      <x:c r="C362" s="18"/>
      <x:c r="D362" s="18"/>
      <x:c r="E362" s="18"/>
      <x:c r="F362" s="18"/>
      <x:c r="G362" s="18"/>
      <x:c r="H362" s="18"/>
      <x:c r="I362" s="18"/>
      <x:c r="J362" s="18"/>
      <x:c r="K362" s="18"/>
    </x:row>
    <x:row r="363">
      <x:c r="A363" s="18"/>
      <x:c r="B363" s="18"/>
      <x:c r="C363" s="18"/>
      <x:c r="D363" s="18"/>
      <x:c r="E363" s="18"/>
      <x:c r="F363" s="18"/>
      <x:c r="G363" s="18"/>
      <x:c r="H363" s="18"/>
      <x:c r="I363" s="18"/>
      <x:c r="J363" s="18"/>
      <x:c r="K363" s="18"/>
    </x:row>
    <x:row r="364">
      <x:c r="A364" s="18"/>
      <x:c r="B364" s="18"/>
      <x:c r="C364" s="18"/>
      <x:c r="D364" s="18"/>
      <x:c r="E364" s="18"/>
      <x:c r="F364" s="18"/>
      <x:c r="G364" s="18"/>
      <x:c r="H364" s="18"/>
      <x:c r="I364" s="18"/>
      <x:c r="J364" s="18"/>
      <x:c r="K364" s="18"/>
    </x:row>
    <x:row r="365">
      <x:c r="A365" s="18"/>
      <x:c r="B365" s="18"/>
      <x:c r="C365" s="18"/>
      <x:c r="D365" s="18"/>
      <x:c r="E365" s="18"/>
      <x:c r="F365" s="18"/>
      <x:c r="G365" s="18"/>
      <x:c r="H365" s="18"/>
      <x:c r="I365" s="18"/>
      <x:c r="J365" s="18"/>
      <x:c r="K365" s="18"/>
    </x:row>
    <x:row r="366">
      <x:c r="A366" s="18"/>
      <x:c r="B366" s="18"/>
      <x:c r="C366" s="18"/>
      <x:c r="D366" s="18"/>
      <x:c r="E366" s="18"/>
      <x:c r="F366" s="18"/>
      <x:c r="G366" s="18"/>
      <x:c r="H366" s="18"/>
      <x:c r="I366" s="18"/>
      <x:c r="J366" s="18"/>
      <x:c r="K366" s="18"/>
    </x:row>
    <x:row r="367">
      <x:c r="A367" s="18"/>
      <x:c r="B367" s="18"/>
      <x:c r="C367" s="18"/>
      <x:c r="D367" s="18"/>
      <x:c r="E367" s="18"/>
      <x:c r="F367" s="18"/>
      <x:c r="G367" s="18"/>
      <x:c r="H367" s="18"/>
      <x:c r="I367" s="18"/>
      <x:c r="J367" s="18"/>
      <x:c r="K367" s="18"/>
    </x:row>
    <x:row r="368">
      <x:c r="A368" s="18"/>
      <x:c r="B368" s="18"/>
      <x:c r="C368" s="18"/>
      <x:c r="D368" s="18"/>
      <x:c r="E368" s="18"/>
      <x:c r="F368" s="18"/>
      <x:c r="G368" s="18"/>
      <x:c r="H368" s="18"/>
      <x:c r="I368" s="18"/>
      <x:c r="J368" s="18"/>
      <x:c r="K368" s="18"/>
    </x:row>
    <x:row r="369">
      <x:c r="A369" s="18"/>
      <x:c r="B369" s="18"/>
      <x:c r="C369" s="18"/>
      <x:c r="D369" s="18"/>
      <x:c r="E369" s="18"/>
      <x:c r="F369" s="18"/>
      <x:c r="G369" s="18"/>
      <x:c r="H369" s="18"/>
      <x:c r="I369" s="18"/>
      <x:c r="J369" s="18"/>
      <x:c r="K369" s="18"/>
    </x:row>
    <x:row r="370">
      <x:c r="A370" s="18"/>
      <x:c r="B370" s="18"/>
      <x:c r="C370" s="18"/>
      <x:c r="D370" s="18"/>
      <x:c r="E370" s="18"/>
      <x:c r="F370" s="18"/>
      <x:c r="G370" s="18"/>
      <x:c r="H370" s="18"/>
      <x:c r="I370" s="18"/>
      <x:c r="J370" s="18"/>
      <x:c r="K370" s="18"/>
    </x:row>
    <x:row r="371">
      <x:c r="A371" s="18"/>
      <x:c r="B371" s="18"/>
      <x:c r="C371" s="18"/>
      <x:c r="D371" s="18"/>
      <x:c r="E371" s="18"/>
      <x:c r="F371" s="18"/>
      <x:c r="G371" s="18"/>
      <x:c r="H371" s="18"/>
      <x:c r="I371" s="18"/>
      <x:c r="J371" s="18"/>
      <x:c r="K371" s="18"/>
    </x:row>
    <x:row r="372">
      <x:c r="A372" s="18"/>
      <x:c r="B372" s="18"/>
      <x:c r="C372" s="18"/>
      <x:c r="D372" s="18"/>
      <x:c r="E372" s="18"/>
      <x:c r="F372" s="18"/>
      <x:c r="G372" s="18"/>
      <x:c r="H372" s="18"/>
      <x:c r="I372" s="18"/>
      <x:c r="J372" s="18"/>
      <x:c r="K372" s="18"/>
    </x:row>
    <x:row r="373">
      <x:c r="A373" s="18"/>
      <x:c r="B373" s="18"/>
      <x:c r="C373" s="18"/>
      <x:c r="D373" s="18"/>
      <x:c r="E373" s="18"/>
      <x:c r="F373" s="18"/>
      <x:c r="G373" s="18"/>
      <x:c r="H373" s="18"/>
      <x:c r="I373" s="18"/>
      <x:c r="J373" s="18"/>
      <x:c r="K373" s="18"/>
    </x:row>
    <x:row r="374">
      <x:c r="A374" s="18"/>
      <x:c r="B374" s="18"/>
      <x:c r="C374" s="18"/>
      <x:c r="D374" s="18"/>
      <x:c r="E374" s="18"/>
      <x:c r="F374" s="18"/>
      <x:c r="G374" s="18"/>
      <x:c r="H374" s="18"/>
      <x:c r="I374" s="18"/>
      <x:c r="J374" s="18"/>
      <x:c r="K374" s="18"/>
    </x:row>
    <x:row r="375">
      <x:c r="A375" s="18"/>
      <x:c r="B375" s="18"/>
      <x:c r="C375" s="18"/>
      <x:c r="D375" s="18"/>
      <x:c r="E375" s="18"/>
      <x:c r="F375" s="18"/>
      <x:c r="G375" s="18"/>
      <x:c r="H375" s="18"/>
      <x:c r="I375" s="18"/>
      <x:c r="J375" s="18"/>
      <x:c r="K375" s="18"/>
    </x:row>
    <x:row r="376">
      <x:c r="A376" s="18"/>
      <x:c r="B376" s="18"/>
      <x:c r="C376" s="18"/>
      <x:c r="D376" s="18"/>
      <x:c r="E376" s="18"/>
      <x:c r="F376" s="18"/>
      <x:c r="G376" s="18"/>
      <x:c r="H376" s="18"/>
      <x:c r="I376" s="18"/>
      <x:c r="J376" s="18"/>
      <x:c r="K376" s="18"/>
    </x:row>
    <x:row r="377">
      <x:c r="A377" s="18"/>
      <x:c r="B377" s="18"/>
      <x:c r="C377" s="18"/>
      <x:c r="D377" s="18"/>
      <x:c r="E377" s="18"/>
      <x:c r="F377" s="18"/>
      <x:c r="G377" s="18"/>
      <x:c r="H377" s="18"/>
      <x:c r="I377" s="18"/>
      <x:c r="J377" s="18"/>
      <x:c r="K377" s="18"/>
    </x:row>
    <x:row r="378">
      <x:c r="A378" s="18"/>
      <x:c r="B378" s="18"/>
      <x:c r="C378" s="18"/>
      <x:c r="D378" s="18"/>
      <x:c r="E378" s="18"/>
      <x:c r="F378" s="18"/>
      <x:c r="G378" s="18"/>
      <x:c r="H378" s="18"/>
      <x:c r="I378" s="18"/>
      <x:c r="J378" s="18"/>
      <x:c r="K378" s="18"/>
    </x:row>
    <x:row r="379">
      <x:c r="A379" s="18"/>
      <x:c r="B379" s="18"/>
      <x:c r="C379" s="18"/>
      <x:c r="D379" s="18"/>
      <x:c r="E379" s="18"/>
      <x:c r="F379" s="18"/>
      <x:c r="G379" s="18"/>
      <x:c r="H379" s="18"/>
      <x:c r="I379" s="18"/>
      <x:c r="J379" s="18"/>
      <x:c r="K379" s="18"/>
    </x:row>
    <x:row r="380">
      <x:c r="A380" s="18"/>
      <x:c r="B380" s="18"/>
      <x:c r="C380" s="18"/>
      <x:c r="D380" s="18"/>
      <x:c r="E380" s="18"/>
      <x:c r="F380" s="18"/>
      <x:c r="G380" s="18"/>
      <x:c r="H380" s="18"/>
      <x:c r="I380" s="18"/>
      <x:c r="J380" s="18"/>
      <x:c r="K380" s="18"/>
    </x:row>
    <x:row r="381">
      <x:c r="A381" s="18"/>
      <x:c r="B381" s="18"/>
      <x:c r="C381" s="18"/>
      <x:c r="D381" s="18"/>
      <x:c r="E381" s="18"/>
      <x:c r="F381" s="18"/>
      <x:c r="G381" s="18"/>
      <x:c r="H381" s="18"/>
      <x:c r="I381" s="18"/>
      <x:c r="J381" s="18"/>
      <x:c r="K381" s="18"/>
    </x:row>
    <x:row r="382">
      <x:c r="A382" s="18"/>
      <x:c r="B382" s="18"/>
      <x:c r="C382" s="18"/>
      <x:c r="D382" s="18"/>
      <x:c r="E382" s="18"/>
      <x:c r="F382" s="18"/>
      <x:c r="G382" s="18"/>
      <x:c r="H382" s="18"/>
      <x:c r="I382" s="18"/>
      <x:c r="J382" s="18"/>
      <x:c r="K382" s="18"/>
    </x:row>
    <x:row r="383">
      <x:c r="A383" s="18"/>
      <x:c r="B383" s="18"/>
      <x:c r="C383" s="18"/>
      <x:c r="D383" s="18"/>
      <x:c r="E383" s="18"/>
      <x:c r="F383" s="18"/>
      <x:c r="G383" s="18"/>
      <x:c r="H383" s="18"/>
      <x:c r="I383" s="18"/>
      <x:c r="J383" s="18"/>
      <x:c r="K383" s="18"/>
    </x:row>
    <x:row r="384">
      <x:c r="A384" s="18"/>
      <x:c r="B384" s="18"/>
      <x:c r="C384" s="18"/>
      <x:c r="D384" s="18"/>
      <x:c r="E384" s="18"/>
      <x:c r="F384" s="18"/>
      <x:c r="G384" s="18"/>
      <x:c r="H384" s="18"/>
      <x:c r="I384" s="18"/>
      <x:c r="J384" s="18"/>
      <x:c r="K384" s="18"/>
    </x:row>
    <x:row r="385">
      <x:c r="A385" s="18"/>
      <x:c r="B385" s="18"/>
      <x:c r="C385" s="18"/>
      <x:c r="D385" s="18"/>
      <x:c r="E385" s="18"/>
      <x:c r="F385" s="18"/>
      <x:c r="G385" s="18"/>
      <x:c r="H385" s="18"/>
      <x:c r="I385" s="18"/>
      <x:c r="J385" s="18"/>
      <x:c r="K385" s="18"/>
    </x:row>
    <x:row r="386">
      <x:c r="A386" s="18"/>
      <x:c r="B386" s="18"/>
      <x:c r="C386" s="18"/>
      <x:c r="D386" s="18"/>
      <x:c r="E386" s="18"/>
      <x:c r="F386" s="18"/>
      <x:c r="G386" s="18"/>
      <x:c r="H386" s="18"/>
      <x:c r="I386" s="18"/>
      <x:c r="J386" s="18"/>
      <x:c r="K386" s="18"/>
    </x:row>
    <x:row r="387">
      <x:c r="A387" s="18"/>
      <x:c r="B387" s="18"/>
      <x:c r="C387" s="18"/>
      <x:c r="D387" s="18"/>
      <x:c r="E387" s="18"/>
      <x:c r="F387" s="18"/>
      <x:c r="G387" s="18"/>
      <x:c r="H387" s="18"/>
      <x:c r="I387" s="18"/>
      <x:c r="J387" s="18"/>
      <x:c r="K387" s="18"/>
    </x:row>
    <x:row r="388">
      <x:c r="A388" s="18"/>
      <x:c r="B388" s="18"/>
      <x:c r="C388" s="18"/>
      <x:c r="D388" s="18"/>
      <x:c r="E388" s="18"/>
      <x:c r="F388" s="18"/>
      <x:c r="G388" s="18"/>
      <x:c r="H388" s="18"/>
      <x:c r="I388" s="18"/>
      <x:c r="J388" s="18"/>
      <x:c r="K388" s="18"/>
    </x:row>
    <x:row r="389">
      <x:c r="A389" s="18"/>
      <x:c r="B389" s="18"/>
      <x:c r="C389" s="18"/>
      <x:c r="D389" s="18"/>
      <x:c r="E389" s="18"/>
      <x:c r="F389" s="18"/>
      <x:c r="G389" s="18"/>
      <x:c r="H389" s="18"/>
      <x:c r="I389" s="18"/>
      <x:c r="J389" s="18"/>
      <x:c r="K389" s="18"/>
    </x:row>
    <x:row r="390">
      <x:c r="A390" s="18"/>
      <x:c r="B390" s="18"/>
      <x:c r="C390" s="18"/>
      <x:c r="D390" s="18"/>
      <x:c r="E390" s="18"/>
      <x:c r="F390" s="18"/>
      <x:c r="G390" s="18"/>
      <x:c r="H390" s="18"/>
      <x:c r="I390" s="18"/>
      <x:c r="J390" s="18"/>
      <x:c r="K390" s="18"/>
    </x:row>
    <x:row r="391">
      <x:c r="A391" s="18"/>
      <x:c r="B391" s="18"/>
      <x:c r="C391" s="18"/>
      <x:c r="D391" s="18"/>
      <x:c r="E391" s="18"/>
      <x:c r="F391" s="18"/>
      <x:c r="G391" s="18"/>
      <x:c r="H391" s="18"/>
      <x:c r="I391" s="18"/>
      <x:c r="J391" s="18"/>
      <x:c r="K391" s="18"/>
    </x:row>
    <x:row r="392">
      <x:c r="A392" s="18"/>
      <x:c r="B392" s="18"/>
      <x:c r="C392" s="18"/>
      <x:c r="D392" s="18"/>
      <x:c r="E392" s="18"/>
      <x:c r="F392" s="18"/>
      <x:c r="G392" s="18"/>
      <x:c r="H392" s="18"/>
      <x:c r="I392" s="18"/>
      <x:c r="J392" s="18"/>
      <x:c r="K392" s="18"/>
    </x:row>
    <x:row r="393">
      <x:c r="A393" s="18"/>
      <x:c r="B393" s="18"/>
      <x:c r="C393" s="18"/>
      <x:c r="D393" s="18"/>
      <x:c r="E393" s="18"/>
      <x:c r="F393" s="18"/>
      <x:c r="G393" s="18"/>
      <x:c r="H393" s="18"/>
      <x:c r="I393" s="18"/>
      <x:c r="J393" s="18"/>
      <x:c r="K393" s="18"/>
    </x:row>
    <x:row r="394">
      <x:c r="A394" s="18"/>
      <x:c r="B394" s="18"/>
      <x:c r="C394" s="18"/>
      <x:c r="D394" s="18"/>
      <x:c r="E394" s="18"/>
      <x:c r="F394" s="18"/>
      <x:c r="G394" s="18"/>
      <x:c r="H394" s="18"/>
      <x:c r="I394" s="18"/>
      <x:c r="J394" s="18"/>
      <x:c r="K394" s="18"/>
    </x:row>
    <x:row r="395">
      <x:c r="A395" s="18"/>
      <x:c r="B395" s="18"/>
      <x:c r="C395" s="18"/>
      <x:c r="D395" s="18"/>
      <x:c r="E395" s="18"/>
      <x:c r="F395" s="18"/>
      <x:c r="G395" s="18"/>
      <x:c r="H395" s="18"/>
      <x:c r="I395" s="18"/>
      <x:c r="J395" s="18"/>
      <x:c r="K395" s="18"/>
    </x:row>
    <x:row r="396">
      <x:c r="A396" s="18"/>
      <x:c r="B396" s="18"/>
      <x:c r="C396" s="18"/>
      <x:c r="D396" s="18"/>
      <x:c r="E396" s="18"/>
      <x:c r="F396" s="18"/>
      <x:c r="G396" s="18"/>
      <x:c r="H396" s="18"/>
      <x:c r="I396" s="18"/>
      <x:c r="J396" s="18"/>
      <x:c r="K396" s="18"/>
    </x:row>
    <x:row r="397">
      <x:c r="A397" s="18"/>
      <x:c r="B397" s="18"/>
      <x:c r="C397" s="18"/>
      <x:c r="D397" s="18"/>
      <x:c r="E397" s="18"/>
      <x:c r="F397" s="18"/>
      <x:c r="G397" s="18"/>
      <x:c r="H397" s="18"/>
      <x:c r="I397" s="18"/>
      <x:c r="J397" s="18"/>
      <x:c r="K397" s="18"/>
    </x:row>
    <x:row r="398">
      <x:c r="A398" s="18"/>
      <x:c r="B398" s="18"/>
      <x:c r="C398" s="18"/>
      <x:c r="D398" s="18"/>
      <x:c r="E398" s="18"/>
      <x:c r="F398" s="18"/>
      <x:c r="G398" s="18"/>
      <x:c r="H398" s="18"/>
      <x:c r="I398" s="18"/>
      <x:c r="J398" s="18"/>
      <x:c r="K398" s="18"/>
    </x:row>
    <x:row r="399">
      <x:c r="A399" s="18"/>
      <x:c r="B399" s="18"/>
      <x:c r="C399" s="18"/>
      <x:c r="D399" s="18"/>
      <x:c r="E399" s="18"/>
      <x:c r="F399" s="18"/>
      <x:c r="G399" s="18"/>
      <x:c r="H399" s="18"/>
      <x:c r="I399" s="18"/>
      <x:c r="J399" s="18"/>
      <x:c r="K399" s="18"/>
    </x:row>
    <x:row r="400">
      <x:c r="A400" s="18"/>
      <x:c r="B400" s="18"/>
      <x:c r="C400" s="18"/>
      <x:c r="D400" s="18"/>
      <x:c r="E400" s="18"/>
      <x:c r="F400" s="18"/>
      <x:c r="G400" s="18"/>
      <x:c r="H400" s="18"/>
      <x:c r="I400" s="18"/>
      <x:c r="J400" s="18"/>
      <x:c r="K400" s="18"/>
    </x:row>
    <x:row r="401">
      <x:c r="A401" s="18"/>
      <x:c r="B401" s="18"/>
      <x:c r="C401" s="18"/>
      <x:c r="D401" s="18"/>
      <x:c r="E401" s="18"/>
      <x:c r="F401" s="18"/>
      <x:c r="G401" s="18"/>
      <x:c r="H401" s="18"/>
      <x:c r="I401" s="18"/>
      <x:c r="J401" s="18"/>
      <x:c r="K401" s="18"/>
    </x:row>
    <x:row r="402">
      <x:c r="A402" s="18"/>
      <x:c r="B402" s="18"/>
      <x:c r="C402" s="18"/>
      <x:c r="D402" s="18"/>
      <x:c r="E402" s="18"/>
      <x:c r="F402" s="18"/>
      <x:c r="G402" s="18"/>
      <x:c r="H402" s="18"/>
      <x:c r="I402" s="18"/>
      <x:c r="J402" s="18"/>
      <x:c r="K402" s="18"/>
    </x:row>
    <x:row r="403">
      <x:c r="A403" s="18"/>
      <x:c r="B403" s="18"/>
      <x:c r="C403" s="18"/>
      <x:c r="D403" s="18"/>
      <x:c r="E403" s="18"/>
      <x:c r="F403" s="18"/>
      <x:c r="G403" s="18"/>
      <x:c r="H403" s="18"/>
      <x:c r="I403" s="18"/>
      <x:c r="J403" s="18"/>
      <x:c r="K403" s="18"/>
    </x:row>
    <x:row r="404">
      <x:c r="A404" s="18"/>
      <x:c r="B404" s="18"/>
      <x:c r="C404" s="18"/>
      <x:c r="D404" s="18"/>
      <x:c r="E404" s="18"/>
      <x:c r="F404" s="18"/>
      <x:c r="G404" s="18"/>
      <x:c r="H404" s="18"/>
      <x:c r="I404" s="18"/>
      <x:c r="J404" s="18"/>
      <x:c r="K404" s="18"/>
    </x:row>
    <x:row r="405">
      <x:c r="A405" s="18"/>
      <x:c r="B405" s="18"/>
      <x:c r="C405" s="18"/>
      <x:c r="D405" s="18"/>
      <x:c r="E405" s="18"/>
      <x:c r="F405" s="18"/>
      <x:c r="G405" s="18"/>
      <x:c r="H405" s="18"/>
      <x:c r="I405" s="18"/>
      <x:c r="J405" s="18"/>
      <x:c r="K405" s="18"/>
    </x:row>
    <x:row r="406">
      <x:c r="A406" s="18"/>
      <x:c r="B406" s="18"/>
      <x:c r="C406" s="18"/>
      <x:c r="D406" s="18"/>
      <x:c r="E406" s="18"/>
      <x:c r="F406" s="18"/>
      <x:c r="G406" s="18"/>
      <x:c r="H406" s="18"/>
      <x:c r="I406" s="18"/>
      <x:c r="J406" s="18"/>
      <x:c r="K406" s="18"/>
    </x:row>
    <x:row r="407">
      <x:c r="A407" s="18"/>
      <x:c r="B407" s="18"/>
      <x:c r="C407" s="18"/>
      <x:c r="D407" s="18"/>
      <x:c r="E407" s="18"/>
      <x:c r="F407" s="18"/>
      <x:c r="G407" s="18"/>
      <x:c r="H407" s="18"/>
      <x:c r="I407" s="18"/>
      <x:c r="J407" s="18"/>
      <x:c r="K407" s="18"/>
    </x:row>
    <x:row r="408">
      <x:c r="A408" s="18"/>
      <x:c r="B408" s="18"/>
      <x:c r="C408" s="18"/>
      <x:c r="D408" s="18"/>
      <x:c r="E408" s="18"/>
      <x:c r="F408" s="18"/>
      <x:c r="G408" s="18"/>
      <x:c r="H408" s="18"/>
      <x:c r="I408" s="18"/>
      <x:c r="J408" s="18"/>
      <x:c r="K408" s="18"/>
    </x:row>
    <x:row r="409">
      <x:c r="A409" s="18"/>
      <x:c r="B409" s="18"/>
      <x:c r="C409" s="18"/>
      <x:c r="D409" s="18"/>
      <x:c r="E409" s="18"/>
      <x:c r="F409" s="18"/>
      <x:c r="G409" s="18"/>
      <x:c r="H409" s="18"/>
      <x:c r="I409" s="18"/>
      <x:c r="J409" s="18"/>
      <x:c r="K409" s="18"/>
    </x:row>
    <x:row r="410">
      <x:c r="A410" s="18"/>
      <x:c r="B410" s="18"/>
      <x:c r="C410" s="18"/>
      <x:c r="D410" s="18"/>
      <x:c r="E410" s="18"/>
      <x:c r="F410" s="18"/>
      <x:c r="G410" s="18"/>
      <x:c r="H410" s="18"/>
      <x:c r="I410" s="18"/>
      <x:c r="J410" s="18"/>
      <x:c r="K410" s="18"/>
    </x:row>
    <x:row r="411">
      <x:c r="A411" s="18"/>
      <x:c r="B411" s="18"/>
      <x:c r="C411" s="18"/>
      <x:c r="D411" s="18"/>
      <x:c r="E411" s="18"/>
      <x:c r="F411" s="18"/>
      <x:c r="G411" s="18"/>
      <x:c r="H411" s="18"/>
      <x:c r="I411" s="18"/>
      <x:c r="J411" s="18"/>
      <x:c r="K411" s="18"/>
    </x:row>
    <x:row r="412">
      <x:c r="A412" s="18"/>
      <x:c r="B412" s="18"/>
      <x:c r="C412" s="18"/>
      <x:c r="D412" s="18"/>
      <x:c r="E412" s="18"/>
      <x:c r="F412" s="18"/>
      <x:c r="G412" s="18"/>
      <x:c r="H412" s="18"/>
      <x:c r="I412" s="18"/>
      <x:c r="J412" s="18"/>
      <x:c r="K412" s="18"/>
    </x:row>
    <x:row r="413">
      <x:c r="A413" s="18"/>
      <x:c r="B413" s="18"/>
      <x:c r="C413" s="18"/>
      <x:c r="D413" s="18"/>
      <x:c r="E413" s="18"/>
      <x:c r="F413" s="18"/>
      <x:c r="G413" s="18"/>
      <x:c r="H413" s="18"/>
      <x:c r="I413" s="18"/>
      <x:c r="J413" s="18"/>
      <x:c r="K413" s="18"/>
    </x:row>
    <x:row r="414">
      <x:c r="A414" s="18"/>
      <x:c r="B414" s="18"/>
      <x:c r="C414" s="18"/>
      <x:c r="D414" s="18"/>
      <x:c r="E414" s="18"/>
      <x:c r="F414" s="18"/>
      <x:c r="G414" s="18"/>
      <x:c r="H414" s="18"/>
      <x:c r="I414" s="18"/>
      <x:c r="J414" s="18"/>
      <x:c r="K414" s="18"/>
    </x:row>
    <x:row r="415">
      <x:c r="A415" s="18"/>
      <x:c r="B415" s="18"/>
      <x:c r="C415" s="18"/>
      <x:c r="D415" s="18"/>
      <x:c r="E415" s="18"/>
      <x:c r="F415" s="18"/>
      <x:c r="G415" s="18"/>
      <x:c r="H415" s="18"/>
      <x:c r="I415" s="18"/>
      <x:c r="J415" s="18"/>
      <x:c r="K415" s="18"/>
    </x:row>
    <x:row r="416">
      <x:c r="A416" s="18"/>
      <x:c r="B416" s="18"/>
      <x:c r="C416" s="18"/>
      <x:c r="D416" s="18"/>
      <x:c r="E416" s="18"/>
      <x:c r="F416" s="18"/>
      <x:c r="G416" s="18"/>
      <x:c r="H416" s="18"/>
      <x:c r="I416" s="18"/>
      <x:c r="J416" s="18"/>
      <x:c r="K416" s="18"/>
    </x:row>
    <x:row r="417">
      <x:c r="A417" s="18"/>
      <x:c r="B417" s="18"/>
      <x:c r="C417" s="18"/>
      <x:c r="D417" s="18"/>
      <x:c r="E417" s="18"/>
      <x:c r="F417" s="18"/>
      <x:c r="G417" s="18"/>
      <x:c r="H417" s="18"/>
      <x:c r="I417" s="18"/>
      <x:c r="J417" s="18"/>
      <x:c r="K417" s="18"/>
    </x:row>
    <x:row r="418">
      <x:c r="A418" s="18"/>
      <x:c r="B418" s="18"/>
      <x:c r="C418" s="18"/>
      <x:c r="D418" s="18"/>
      <x:c r="E418" s="18"/>
      <x:c r="F418" s="18"/>
      <x:c r="G418" s="18"/>
      <x:c r="H418" s="18"/>
      <x:c r="I418" s="18"/>
      <x:c r="J418" s="18"/>
      <x:c r="K418" s="18"/>
    </x:row>
    <x:row r="419">
      <x:c r="A419" s="18"/>
      <x:c r="B419" s="18"/>
      <x:c r="C419" s="18"/>
      <x:c r="D419" s="18"/>
      <x:c r="E419" s="18"/>
      <x:c r="F419" s="18"/>
      <x:c r="G419" s="18"/>
      <x:c r="H419" s="18"/>
      <x:c r="I419" s="18"/>
      <x:c r="J419" s="18"/>
      <x:c r="K419" s="18"/>
    </x:row>
    <x:row r="420">
      <x:c r="A420" s="18"/>
      <x:c r="B420" s="18"/>
      <x:c r="C420" s="18"/>
      <x:c r="D420" s="18"/>
      <x:c r="E420" s="18"/>
      <x:c r="F420" s="18"/>
      <x:c r="G420" s="18"/>
      <x:c r="H420" s="18"/>
      <x:c r="I420" s="18"/>
      <x:c r="J420" s="18"/>
      <x:c r="K420" s="18"/>
    </x:row>
    <x:row r="421">
      <x:c r="A421" s="18"/>
      <x:c r="B421" s="18"/>
      <x:c r="C421" s="18"/>
      <x:c r="D421" s="18"/>
      <x:c r="E421" s="18"/>
      <x:c r="F421" s="18"/>
      <x:c r="G421" s="18"/>
      <x:c r="H421" s="18"/>
      <x:c r="I421" s="18"/>
      <x:c r="J421" s="18"/>
      <x:c r="K421" s="18"/>
    </x:row>
    <x:row r="422">
      <x:c r="A422" s="18"/>
      <x:c r="B422" s="18"/>
      <x:c r="C422" s="18"/>
      <x:c r="D422" s="18"/>
      <x:c r="E422" s="18"/>
      <x:c r="F422" s="18"/>
      <x:c r="G422" s="18"/>
      <x:c r="H422" s="18"/>
      <x:c r="I422" s="18"/>
      <x:c r="J422" s="18"/>
      <x:c r="K422" s="18"/>
    </x:row>
    <x:row r="423">
      <x:c r="A423" s="18"/>
      <x:c r="B423" s="18"/>
      <x:c r="C423" s="18"/>
      <x:c r="D423" s="18"/>
      <x:c r="E423" s="18"/>
      <x:c r="F423" s="18"/>
      <x:c r="G423" s="18"/>
      <x:c r="H423" s="18"/>
      <x:c r="I423" s="18"/>
      <x:c r="J423" s="18"/>
      <x:c r="K423" s="18"/>
    </x:row>
    <x:row r="424">
      <x:c r="A424" s="18"/>
      <x:c r="B424" s="18"/>
      <x:c r="C424" s="18"/>
      <x:c r="D424" s="18"/>
      <x:c r="E424" s="18"/>
      <x:c r="F424" s="18"/>
      <x:c r="G424" s="18"/>
      <x:c r="H424" s="18"/>
      <x:c r="I424" s="18"/>
      <x:c r="J424" s="18"/>
      <x:c r="K424" s="18"/>
    </x:row>
    <x:row r="425">
      <x:c r="A425" s="18"/>
      <x:c r="B425" s="18"/>
      <x:c r="C425" s="18"/>
      <x:c r="D425" s="18"/>
      <x:c r="E425" s="18"/>
      <x:c r="F425" s="18"/>
      <x:c r="G425" s="18"/>
      <x:c r="H425" s="18"/>
      <x:c r="I425" s="18"/>
      <x:c r="J425" s="18"/>
      <x:c r="K425" s="18"/>
    </x:row>
    <x:row r="426">
      <x:c r="A426" s="18"/>
      <x:c r="B426" s="18"/>
      <x:c r="C426" s="18"/>
      <x:c r="D426" s="18"/>
      <x:c r="E426" s="18"/>
      <x:c r="F426" s="18"/>
      <x:c r="G426" s="18"/>
      <x:c r="H426" s="18"/>
      <x:c r="I426" s="18"/>
      <x:c r="J426" s="18"/>
      <x:c r="K426" s="18"/>
    </x:row>
    <x:row r="427">
      <x:c r="A427" s="18"/>
      <x:c r="B427" s="18"/>
      <x:c r="C427" s="18"/>
      <x:c r="D427" s="18"/>
      <x:c r="E427" s="18"/>
      <x:c r="F427" s="18"/>
      <x:c r="G427" s="18"/>
      <x:c r="H427" s="18"/>
      <x:c r="I427" s="18"/>
      <x:c r="J427" s="18"/>
      <x:c r="K427" s="18"/>
    </x:row>
    <x:row r="428">
      <x:c r="A428" s="18"/>
      <x:c r="B428" s="18"/>
      <x:c r="C428" s="18"/>
      <x:c r="D428" s="18"/>
      <x:c r="E428" s="18"/>
      <x:c r="F428" s="18"/>
      <x:c r="G428" s="18"/>
      <x:c r="H428" s="18"/>
      <x:c r="I428" s="18"/>
      <x:c r="J428" s="18"/>
      <x:c r="K428" s="18"/>
    </x:row>
    <x:row r="429">
      <x:c r="A429" s="18"/>
      <x:c r="B429" s="18"/>
      <x:c r="C429" s="18"/>
      <x:c r="D429" s="18"/>
      <x:c r="E429" s="18"/>
      <x:c r="F429" s="18"/>
      <x:c r="G429" s="18"/>
      <x:c r="H429" s="18"/>
      <x:c r="I429" s="18"/>
      <x:c r="J429" s="18"/>
      <x:c r="K429" s="18"/>
    </x:row>
    <x:row r="430">
      <x:c r="A430" s="18"/>
      <x:c r="B430" s="18"/>
      <x:c r="C430" s="18"/>
      <x:c r="D430" s="18"/>
      <x:c r="E430" s="18"/>
      <x:c r="F430" s="18"/>
      <x:c r="G430" s="18"/>
      <x:c r="H430" s="18"/>
      <x:c r="I430" s="18"/>
      <x:c r="J430" s="18"/>
      <x:c r="K430" s="18"/>
    </x:row>
    <x:row r="431">
      <x:c r="A431" s="18"/>
      <x:c r="B431" s="18"/>
      <x:c r="C431" s="18"/>
      <x:c r="D431" s="18"/>
      <x:c r="E431" s="18"/>
      <x:c r="F431" s="18"/>
      <x:c r="G431" s="18"/>
      <x:c r="H431" s="18"/>
      <x:c r="I431" s="18"/>
      <x:c r="J431" s="18"/>
      <x:c r="K431" s="18"/>
    </x:row>
    <x:row r="432">
      <x:c r="A432" s="18"/>
      <x:c r="B432" s="18"/>
      <x:c r="C432" s="18"/>
      <x:c r="D432" s="18"/>
      <x:c r="E432" s="18"/>
      <x:c r="F432" s="18"/>
      <x:c r="G432" s="18"/>
      <x:c r="H432" s="18"/>
      <x:c r="I432" s="18"/>
      <x:c r="J432" s="18"/>
      <x:c r="K432" s="18"/>
    </x:row>
    <x:row r="433">
      <x:c r="A433" s="18"/>
      <x:c r="B433" s="18"/>
      <x:c r="C433" s="18"/>
      <x:c r="D433" s="18"/>
      <x:c r="E433" s="18"/>
      <x:c r="F433" s="18"/>
      <x:c r="G433" s="18"/>
      <x:c r="H433" s="18"/>
      <x:c r="I433" s="18"/>
      <x:c r="J433" s="18"/>
      <x:c r="K433" s="18"/>
    </x:row>
    <x:row r="434">
      <x:c r="A434" s="18"/>
      <x:c r="B434" s="18"/>
      <x:c r="C434" s="18"/>
      <x:c r="D434" s="18"/>
      <x:c r="E434" s="18"/>
      <x:c r="F434" s="18"/>
      <x:c r="G434" s="18"/>
      <x:c r="H434" s="18"/>
      <x:c r="I434" s="18"/>
      <x:c r="J434" s="18"/>
      <x:c r="K434" s="18"/>
    </x:row>
    <x:row r="435">
      <x:c r="A435" s="18"/>
      <x:c r="B435" s="18"/>
      <x:c r="C435" s="18"/>
      <x:c r="D435" s="18"/>
      <x:c r="E435" s="18"/>
      <x:c r="F435" s="18"/>
      <x:c r="G435" s="18"/>
      <x:c r="H435" s="18"/>
      <x:c r="I435" s="18"/>
      <x:c r="J435" s="18"/>
      <x:c r="K435" s="18"/>
    </x:row>
    <x:row r="436">
      <x:c r="A436" s="18"/>
      <x:c r="B436" s="18"/>
      <x:c r="C436" s="18"/>
      <x:c r="D436" s="18"/>
      <x:c r="E436" s="18"/>
      <x:c r="F436" s="18"/>
      <x:c r="G436" s="18"/>
      <x:c r="H436" s="18"/>
      <x:c r="I436" s="18"/>
      <x:c r="J436" s="18"/>
      <x:c r="K436" s="18"/>
    </x:row>
    <x:row r="437">
      <x:c r="A437" s="18"/>
      <x:c r="B437" s="18"/>
      <x:c r="C437" s="18"/>
      <x:c r="D437" s="18"/>
      <x:c r="E437" s="18"/>
      <x:c r="F437" s="18"/>
      <x:c r="G437" s="18"/>
      <x:c r="H437" s="18"/>
      <x:c r="I437" s="18"/>
      <x:c r="J437" s="18"/>
      <x:c r="K437" s="18"/>
    </x:row>
    <x:row r="438">
      <x:c r="A438" s="18"/>
      <x:c r="B438" s="18"/>
      <x:c r="C438" s="18"/>
      <x:c r="D438" s="18"/>
      <x:c r="E438" s="18"/>
      <x:c r="F438" s="18"/>
      <x:c r="G438" s="18"/>
      <x:c r="H438" s="18"/>
      <x:c r="I438" s="18"/>
      <x:c r="J438" s="18"/>
      <x:c r="K438" s="18"/>
    </x:row>
    <x:row r="439">
      <x:c r="A439" s="18"/>
      <x:c r="B439" s="18"/>
      <x:c r="C439" s="18"/>
      <x:c r="D439" s="18"/>
      <x:c r="E439" s="18"/>
      <x:c r="F439" s="18"/>
      <x:c r="G439" s="18"/>
      <x:c r="H439" s="18"/>
      <x:c r="I439" s="18"/>
      <x:c r="J439" s="18"/>
      <x:c r="K439" s="18"/>
    </x:row>
    <x:row r="440">
      <x:c r="A440" s="18"/>
      <x:c r="B440" s="18"/>
      <x:c r="C440" s="18"/>
      <x:c r="D440" s="18"/>
      <x:c r="E440" s="18"/>
      <x:c r="F440" s="18"/>
      <x:c r="G440" s="18"/>
      <x:c r="H440" s="18"/>
      <x:c r="I440" s="18"/>
      <x:c r="J440" s="18"/>
      <x:c r="K440" s="18"/>
    </x:row>
    <x:row r="441">
      <x:c r="A441" s="18"/>
      <x:c r="B441" s="18"/>
      <x:c r="C441" s="18"/>
      <x:c r="D441" s="18"/>
      <x:c r="E441" s="18"/>
      <x:c r="F441" s="18"/>
      <x:c r="G441" s="18"/>
      <x:c r="H441" s="18"/>
      <x:c r="I441" s="18"/>
      <x:c r="J441" s="18"/>
      <x:c r="K441" s="18"/>
    </x:row>
    <x:row r="442">
      <x:c r="A442" s="18"/>
      <x:c r="B442" s="18"/>
      <x:c r="C442" s="18"/>
      <x:c r="D442" s="18"/>
      <x:c r="E442" s="18"/>
      <x:c r="F442" s="18"/>
      <x:c r="G442" s="18"/>
      <x:c r="H442" s="18"/>
      <x:c r="I442" s="18"/>
      <x:c r="J442" s="18"/>
      <x:c r="K442" s="18"/>
    </x:row>
    <x:row r="443">
      <x:c r="A443" s="18"/>
      <x:c r="B443" s="18"/>
      <x:c r="C443" s="18"/>
      <x:c r="D443" s="18"/>
      <x:c r="E443" s="18"/>
      <x:c r="F443" s="18"/>
      <x:c r="G443" s="18"/>
      <x:c r="H443" s="18"/>
      <x:c r="I443" s="18"/>
      <x:c r="J443" s="18"/>
      <x:c r="K443" s="18"/>
    </x:row>
    <x:row r="444">
      <x:c r="A444" s="18"/>
      <x:c r="B444" s="18"/>
      <x:c r="C444" s="18"/>
      <x:c r="D444" s="18"/>
      <x:c r="E444" s="18"/>
      <x:c r="F444" s="18"/>
      <x:c r="G444" s="18"/>
      <x:c r="H444" s="18"/>
      <x:c r="I444" s="18"/>
      <x:c r="J444" s="18"/>
      <x:c r="K444" s="18"/>
    </x:row>
    <x:row r="445">
      <x:c r="A445" s="18"/>
      <x:c r="B445" s="18"/>
      <x:c r="C445" s="18"/>
      <x:c r="D445" s="18"/>
      <x:c r="E445" s="18"/>
      <x:c r="F445" s="18"/>
      <x:c r="G445" s="18"/>
      <x:c r="H445" s="18"/>
      <x:c r="I445" s="18"/>
      <x:c r="J445" s="18"/>
      <x:c r="K445" s="18"/>
    </x:row>
    <x:row r="446">
      <x:c r="A446" s="18"/>
      <x:c r="B446" s="18"/>
      <x:c r="C446" s="18"/>
      <x:c r="D446" s="18"/>
      <x:c r="E446" s="18"/>
      <x:c r="F446" s="18"/>
      <x:c r="G446" s="18"/>
      <x:c r="H446" s="18"/>
      <x:c r="I446" s="18"/>
      <x:c r="J446" s="18"/>
      <x:c r="K446" s="18"/>
    </x:row>
    <x:row r="447">
      <x:c r="A447" s="18"/>
      <x:c r="B447" s="18"/>
      <x:c r="C447" s="18"/>
      <x:c r="D447" s="18"/>
      <x:c r="E447" s="18"/>
      <x:c r="F447" s="18"/>
      <x:c r="G447" s="18"/>
      <x:c r="H447" s="18"/>
      <x:c r="I447" s="18"/>
      <x:c r="J447" s="18"/>
      <x:c r="K447" s="18"/>
    </x:row>
    <x:row r="448">
      <x:c r="A448" s="18"/>
      <x:c r="B448" s="18"/>
      <x:c r="C448" s="18"/>
      <x:c r="D448" s="18"/>
      <x:c r="E448" s="18"/>
      <x:c r="F448" s="18"/>
      <x:c r="G448" s="18"/>
      <x:c r="H448" s="18"/>
      <x:c r="I448" s="18"/>
      <x:c r="J448" s="18"/>
      <x:c r="K448" s="18"/>
    </x:row>
    <x:row r="449">
      <x:c r="A449" s="18"/>
      <x:c r="B449" s="18"/>
      <x:c r="C449" s="18"/>
      <x:c r="D449" s="18"/>
      <x:c r="E449" s="18"/>
      <x:c r="F449" s="18"/>
      <x:c r="G449" s="18"/>
      <x:c r="H449" s="18"/>
      <x:c r="I449" s="18"/>
      <x:c r="J449" s="18"/>
      <x:c r="K449" s="18"/>
    </x:row>
    <x:row r="450">
      <x:c r="A450" s="18"/>
      <x:c r="B450" s="18"/>
      <x:c r="C450" s="18"/>
      <x:c r="D450" s="18"/>
      <x:c r="E450" s="18"/>
      <x:c r="F450" s="18"/>
      <x:c r="G450" s="18"/>
      <x:c r="H450" s="18"/>
      <x:c r="I450" s="18"/>
      <x:c r="J450" s="18"/>
      <x:c r="K450" s="18"/>
    </x:row>
    <x:row r="451">
      <x:c r="A451" s="18"/>
      <x:c r="B451" s="18"/>
      <x:c r="C451" s="18"/>
      <x:c r="D451" s="18"/>
      <x:c r="E451" s="18"/>
      <x:c r="F451" s="18"/>
      <x:c r="G451" s="18"/>
      <x:c r="H451" s="18"/>
      <x:c r="I451" s="18"/>
      <x:c r="J451" s="18"/>
      <x:c r="K451" s="18"/>
    </x:row>
    <x:row r="452">
      <x:c r="A452" s="18"/>
      <x:c r="B452" s="18"/>
      <x:c r="C452" s="18"/>
      <x:c r="D452" s="18"/>
      <x:c r="E452" s="18"/>
      <x:c r="F452" s="18"/>
      <x:c r="G452" s="18"/>
      <x:c r="H452" s="18"/>
      <x:c r="I452" s="18"/>
      <x:c r="J452" s="18"/>
      <x:c r="K452" s="18"/>
    </x:row>
    <x:row r="453">
      <x:c r="A453" s="18"/>
      <x:c r="B453" s="18"/>
      <x:c r="C453" s="18"/>
      <x:c r="D453" s="18"/>
      <x:c r="E453" s="18"/>
      <x:c r="F453" s="18"/>
      <x:c r="G453" s="18"/>
      <x:c r="H453" s="18"/>
      <x:c r="I453" s="18"/>
      <x:c r="J453" s="18"/>
      <x:c r="K453" s="18"/>
    </x:row>
    <x:row r="454">
      <x:c r="A454" s="18"/>
      <x:c r="B454" s="18"/>
      <x:c r="C454" s="18"/>
      <x:c r="D454" s="18"/>
      <x:c r="E454" s="18"/>
      <x:c r="F454" s="18"/>
      <x:c r="G454" s="18"/>
      <x:c r="H454" s="18"/>
      <x:c r="I454" s="18"/>
      <x:c r="J454" s="18"/>
      <x:c r="K454" s="18"/>
    </x:row>
    <x:row r="455">
      <x:c r="A455" s="18"/>
      <x:c r="B455" s="18"/>
      <x:c r="C455" s="18"/>
      <x:c r="D455" s="18"/>
      <x:c r="E455" s="18"/>
      <x:c r="F455" s="18"/>
      <x:c r="G455" s="18"/>
      <x:c r="H455" s="18"/>
      <x:c r="I455" s="18"/>
      <x:c r="J455" s="18"/>
      <x:c r="K455" s="18"/>
    </x:row>
    <x:row r="456">
      <x:c r="A456" s="18"/>
      <x:c r="B456" s="18"/>
      <x:c r="C456" s="18"/>
      <x:c r="D456" s="18"/>
      <x:c r="E456" s="18"/>
      <x:c r="F456" s="18"/>
      <x:c r="G456" s="18"/>
      <x:c r="H456" s="18"/>
      <x:c r="I456" s="18"/>
      <x:c r="J456" s="18"/>
      <x:c r="K456" s="18"/>
    </x:row>
    <x:row r="457">
      <x:c r="A457" s="18"/>
      <x:c r="B457" s="18"/>
      <x:c r="C457" s="18"/>
      <x:c r="D457" s="18"/>
      <x:c r="E457" s="18"/>
      <x:c r="F457" s="18"/>
      <x:c r="G457" s="18"/>
      <x:c r="H457" s="18"/>
      <x:c r="I457" s="18"/>
      <x:c r="J457" s="18"/>
      <x:c r="K457" s="18"/>
    </x:row>
    <x:row r="458">
      <x:c r="A458" s="18"/>
      <x:c r="B458" s="18"/>
      <x:c r="C458" s="18"/>
      <x:c r="D458" s="18"/>
      <x:c r="E458" s="18"/>
      <x:c r="F458" s="18"/>
      <x:c r="G458" s="18"/>
      <x:c r="H458" s="18"/>
      <x:c r="I458" s="18"/>
      <x:c r="J458" s="18"/>
      <x:c r="K458" s="18"/>
    </x:row>
    <x:row r="459">
      <x:c r="A459" s="18"/>
      <x:c r="B459" s="18"/>
      <x:c r="C459" s="18"/>
      <x:c r="D459" s="18"/>
      <x:c r="E459" s="18"/>
      <x:c r="F459" s="18"/>
      <x:c r="G459" s="18"/>
      <x:c r="H459" s="18"/>
      <x:c r="I459" s="18"/>
      <x:c r="J459" s="18"/>
      <x:c r="K459" s="18"/>
    </x:row>
    <x:row r="460">
      <x:c r="A460" s="18"/>
      <x:c r="B460" s="18"/>
      <x:c r="C460" s="18"/>
      <x:c r="D460" s="18"/>
      <x:c r="E460" s="18"/>
      <x:c r="F460" s="18"/>
      <x:c r="G460" s="18"/>
      <x:c r="H460" s="18"/>
      <x:c r="I460" s="18"/>
      <x:c r="J460" s="18"/>
      <x:c r="K460" s="18"/>
    </x:row>
    <x:row r="461">
      <x:c r="A461" s="18"/>
      <x:c r="B461" s="18"/>
      <x:c r="C461" s="18"/>
      <x:c r="D461" s="18"/>
      <x:c r="E461" s="18"/>
      <x:c r="F461" s="18"/>
      <x:c r="G461" s="18"/>
      <x:c r="H461" s="18"/>
      <x:c r="I461" s="18"/>
      <x:c r="J461" s="18"/>
      <x:c r="K461" s="18"/>
    </x:row>
    <x:row r="462">
      <x:c r="A462" s="18"/>
      <x:c r="B462" s="18"/>
      <x:c r="C462" s="18"/>
      <x:c r="D462" s="18"/>
      <x:c r="E462" s="18"/>
      <x:c r="F462" s="18"/>
      <x:c r="G462" s="18"/>
      <x:c r="H462" s="18"/>
      <x:c r="I462" s="18"/>
      <x:c r="J462" s="18"/>
      <x:c r="K462" s="18"/>
    </x:row>
    <x:row r="463">
      <x:c r="A463" s="18"/>
      <x:c r="B463" s="18"/>
      <x:c r="C463" s="18"/>
      <x:c r="D463" s="18"/>
      <x:c r="E463" s="18"/>
      <x:c r="F463" s="18"/>
      <x:c r="G463" s="18"/>
      <x:c r="H463" s="18"/>
      <x:c r="I463" s="18"/>
      <x:c r="J463" s="18"/>
      <x:c r="K463" s="18"/>
    </x:row>
    <x:row r="464">
      <x:c r="A464" s="18"/>
      <x:c r="B464" s="18"/>
      <x:c r="C464" s="18"/>
      <x:c r="D464" s="18"/>
      <x:c r="E464" s="18"/>
      <x:c r="F464" s="18"/>
      <x:c r="G464" s="18"/>
      <x:c r="H464" s="18"/>
      <x:c r="I464" s="18"/>
      <x:c r="J464" s="18"/>
      <x:c r="K464" s="18"/>
    </x:row>
    <x:row r="465">
      <x:c r="A465" s="18"/>
      <x:c r="B465" s="18"/>
      <x:c r="C465" s="18"/>
      <x:c r="D465" s="18"/>
      <x:c r="E465" s="18"/>
      <x:c r="F465" s="18"/>
      <x:c r="G465" s="18"/>
      <x:c r="H465" s="18"/>
      <x:c r="I465" s="18"/>
      <x:c r="J465" s="18"/>
      <x:c r="K465" s="18"/>
    </x:row>
    <x:row r="466">
      <x:c r="A466" s="18"/>
      <x:c r="B466" s="18"/>
      <x:c r="C466" s="18"/>
      <x:c r="D466" s="18"/>
      <x:c r="E466" s="18"/>
      <x:c r="F466" s="18"/>
      <x:c r="G466" s="18"/>
      <x:c r="H466" s="18"/>
      <x:c r="I466" s="18"/>
      <x:c r="J466" s="18"/>
      <x:c r="K466" s="18"/>
    </x:row>
    <x:row r="467">
      <x:c r="A467" s="18"/>
      <x:c r="B467" s="18"/>
      <x:c r="C467" s="18"/>
      <x:c r="D467" s="18"/>
      <x:c r="E467" s="18"/>
      <x:c r="F467" s="18"/>
      <x:c r="G467" s="18"/>
      <x:c r="H467" s="18"/>
      <x:c r="I467" s="18"/>
      <x:c r="J467" s="18"/>
      <x:c r="K467" s="18"/>
    </x:row>
    <x:row r="468">
      <x:c r="A468" s="18"/>
      <x:c r="B468" s="18"/>
      <x:c r="C468" s="18"/>
      <x:c r="D468" s="18"/>
      <x:c r="E468" s="18"/>
      <x:c r="F468" s="18"/>
      <x:c r="G468" s="18"/>
      <x:c r="H468" s="18"/>
      <x:c r="I468" s="18"/>
      <x:c r="J468" s="18"/>
      <x:c r="K468" s="18"/>
    </x:row>
    <x:row r="469">
      <x:c r="A469" s="18"/>
      <x:c r="B469" s="18"/>
      <x:c r="C469" s="18"/>
      <x:c r="D469" s="18"/>
      <x:c r="E469" s="18"/>
      <x:c r="F469" s="18"/>
      <x:c r="G469" s="18"/>
      <x:c r="H469" s="18"/>
      <x:c r="I469" s="18"/>
      <x:c r="J469" s="18"/>
      <x:c r="K469" s="18"/>
    </x:row>
    <x:row r="470">
      <x:c r="A470" s="18"/>
      <x:c r="B470" s="18"/>
      <x:c r="C470" s="18"/>
      <x:c r="D470" s="18"/>
      <x:c r="E470" s="18"/>
      <x:c r="F470" s="18"/>
      <x:c r="G470" s="18"/>
      <x:c r="H470" s="18"/>
      <x:c r="I470" s="18"/>
      <x:c r="J470" s="18"/>
      <x:c r="K470" s="18"/>
    </x:row>
    <x:row r="471">
      <x:c r="A471" s="18"/>
      <x:c r="B471" s="18"/>
      <x:c r="C471" s="18"/>
      <x:c r="D471" s="18"/>
      <x:c r="E471" s="18"/>
      <x:c r="F471" s="18"/>
      <x:c r="G471" s="18"/>
      <x:c r="H471" s="18"/>
      <x:c r="I471" s="18"/>
      <x:c r="J471" s="18"/>
      <x:c r="K471" s="18"/>
    </x:row>
    <x:row r="472">
      <x:c r="A472" s="18"/>
      <x:c r="B472" s="18"/>
      <x:c r="C472" s="18"/>
      <x:c r="D472" s="18"/>
      <x:c r="E472" s="18"/>
      <x:c r="F472" s="18"/>
      <x:c r="G472" s="18"/>
      <x:c r="H472" s="18"/>
      <x:c r="I472" s="18"/>
      <x:c r="J472" s="18"/>
      <x:c r="K472" s="18"/>
    </x:row>
    <x:row r="473">
      <x:c r="A473" s="18"/>
      <x:c r="B473" s="18"/>
      <x:c r="C473" s="18"/>
      <x:c r="D473" s="18"/>
      <x:c r="E473" s="18"/>
      <x:c r="F473" s="18"/>
      <x:c r="G473" s="18"/>
      <x:c r="H473" s="18"/>
      <x:c r="I473" s="18"/>
      <x:c r="J473" s="18"/>
      <x:c r="K473" s="18"/>
    </x:row>
    <x:row r="474">
      <x:c r="A474" s="18"/>
      <x:c r="B474" s="18"/>
      <x:c r="C474" s="18"/>
      <x:c r="D474" s="18"/>
      <x:c r="E474" s="18"/>
      <x:c r="F474" s="18"/>
      <x:c r="G474" s="18"/>
      <x:c r="H474" s="18"/>
      <x:c r="I474" s="18"/>
      <x:c r="J474" s="18"/>
      <x:c r="K474" s="18"/>
    </x:row>
    <x:row r="475">
      <x:c r="A475" s="18"/>
      <x:c r="B475" s="18"/>
      <x:c r="C475" s="18"/>
      <x:c r="D475" s="18"/>
      <x:c r="E475" s="18"/>
      <x:c r="F475" s="18"/>
      <x:c r="G475" s="18"/>
      <x:c r="H475" s="18"/>
      <x:c r="I475" s="18"/>
      <x:c r="J475" s="18"/>
      <x:c r="K475" s="18"/>
    </x:row>
    <x:row r="476">
      <x:c r="A476" s="18"/>
      <x:c r="B476" s="18"/>
      <x:c r="C476" s="18"/>
      <x:c r="D476" s="18"/>
      <x:c r="E476" s="18"/>
      <x:c r="F476" s="18"/>
      <x:c r="G476" s="18"/>
      <x:c r="H476" s="18"/>
      <x:c r="I476" s="18"/>
      <x:c r="J476" s="18"/>
      <x:c r="K476" s="18"/>
    </x:row>
    <x:row r="477">
      <x:c r="A477" s="18"/>
      <x:c r="B477" s="18"/>
      <x:c r="C477" s="18"/>
      <x:c r="D477" s="18"/>
      <x:c r="E477" s="18"/>
      <x:c r="F477" s="18"/>
      <x:c r="G477" s="18"/>
      <x:c r="H477" s="18"/>
      <x:c r="I477" s="18"/>
      <x:c r="J477" s="18"/>
      <x:c r="K477" s="18"/>
    </x:row>
    <x:row r="478">
      <x:c r="A478" s="18"/>
      <x:c r="B478" s="18"/>
      <x:c r="C478" s="18"/>
      <x:c r="D478" s="18"/>
      <x:c r="E478" s="18"/>
      <x:c r="F478" s="18"/>
      <x:c r="G478" s="18"/>
      <x:c r="H478" s="18"/>
      <x:c r="I478" s="18"/>
      <x:c r="J478" s="18"/>
      <x:c r="K478" s="18"/>
    </x:row>
    <x:row r="479">
      <x:c r="A479" s="18"/>
      <x:c r="B479" s="18"/>
      <x:c r="C479" s="18"/>
      <x:c r="D479" s="18"/>
      <x:c r="E479" s="18"/>
      <x:c r="F479" s="18"/>
      <x:c r="G479" s="18"/>
      <x:c r="H479" s="18"/>
      <x:c r="I479" s="18"/>
      <x:c r="J479" s="18"/>
      <x:c r="K479" s="18"/>
    </x:row>
    <x:row r="480">
      <x:c r="A480" s="18"/>
      <x:c r="B480" s="18"/>
      <x:c r="C480" s="18"/>
      <x:c r="D480" s="18"/>
      <x:c r="E480" s="18"/>
      <x:c r="F480" s="18"/>
      <x:c r="G480" s="18"/>
      <x:c r="H480" s="18"/>
      <x:c r="I480" s="18"/>
      <x:c r="J480" s="18"/>
      <x:c r="K480" s="18"/>
    </x:row>
    <x:row r="481">
      <x:c r="A481" s="18"/>
      <x:c r="B481" s="18"/>
      <x:c r="C481" s="18"/>
      <x:c r="D481" s="18"/>
      <x:c r="E481" s="18"/>
      <x:c r="F481" s="18"/>
      <x:c r="G481" s="18"/>
      <x:c r="H481" s="18"/>
      <x:c r="I481" s="18"/>
      <x:c r="J481" s="18"/>
      <x:c r="K481" s="18"/>
    </x:row>
    <x:row r="482">
      <x:c r="A482" s="18"/>
      <x:c r="B482" s="18"/>
      <x:c r="C482" s="18"/>
      <x:c r="D482" s="18"/>
      <x:c r="E482" s="18"/>
      <x:c r="F482" s="18"/>
      <x:c r="G482" s="18"/>
      <x:c r="H482" s="18"/>
      <x:c r="I482" s="18"/>
      <x:c r="J482" s="18"/>
      <x:c r="K482" s="18"/>
    </x:row>
    <x:row r="483">
      <x:c r="A483" s="18"/>
      <x:c r="B483" s="18"/>
      <x:c r="C483" s="18"/>
      <x:c r="D483" s="18"/>
      <x:c r="E483" s="18"/>
      <x:c r="F483" s="18"/>
      <x:c r="G483" s="18"/>
      <x:c r="H483" s="18"/>
      <x:c r="I483" s="18"/>
      <x:c r="J483" s="18"/>
      <x:c r="K483" s="18"/>
    </x:row>
    <x:row r="484">
      <x:c r="A484" s="18"/>
      <x:c r="B484" s="18"/>
      <x:c r="C484" s="18"/>
      <x:c r="D484" s="18"/>
      <x:c r="E484" s="18"/>
      <x:c r="F484" s="18"/>
      <x:c r="G484" s="18"/>
      <x:c r="H484" s="18"/>
      <x:c r="I484" s="18"/>
      <x:c r="J484" s="18"/>
      <x:c r="K484" s="18"/>
    </x:row>
    <x:row r="485">
      <x:c r="A485" s="18"/>
      <x:c r="B485" s="18"/>
      <x:c r="C485" s="18"/>
      <x:c r="D485" s="18"/>
      <x:c r="E485" s="18"/>
      <x:c r="F485" s="18"/>
      <x:c r="G485" s="18"/>
      <x:c r="H485" s="18"/>
      <x:c r="I485" s="18"/>
      <x:c r="J485" s="18"/>
      <x:c r="K485" s="18"/>
    </x:row>
    <x:row r="486">
      <x:c r="A486" s="18"/>
      <x:c r="B486" s="18"/>
      <x:c r="C486" s="18"/>
      <x:c r="D486" s="18"/>
      <x:c r="E486" s="18"/>
      <x:c r="F486" s="18"/>
      <x:c r="G486" s="18"/>
      <x:c r="H486" s="18"/>
      <x:c r="I486" s="18"/>
      <x:c r="J486" s="18"/>
      <x:c r="K486" s="18"/>
    </x:row>
    <x:row r="487">
      <x:c r="A487" s="18"/>
      <x:c r="B487" s="18"/>
      <x:c r="C487" s="18"/>
      <x:c r="D487" s="18"/>
      <x:c r="E487" s="18"/>
      <x:c r="F487" s="18"/>
      <x:c r="G487" s="18"/>
      <x:c r="H487" s="18"/>
      <x:c r="I487" s="18"/>
      <x:c r="J487" s="18"/>
      <x:c r="K487" s="18"/>
    </x:row>
    <x:row r="488">
      <x:c r="A488" s="18"/>
      <x:c r="B488" s="18"/>
      <x:c r="C488" s="18"/>
      <x:c r="D488" s="18"/>
      <x:c r="E488" s="18"/>
      <x:c r="F488" s="18"/>
      <x:c r="G488" s="18"/>
      <x:c r="H488" s="18"/>
      <x:c r="I488" s="18"/>
      <x:c r="J488" s="18"/>
      <x:c r="K488" s="18"/>
    </x:row>
    <x:row r="489">
      <x:c r="A489" s="18"/>
      <x:c r="B489" s="18"/>
      <x:c r="C489" s="18"/>
      <x:c r="D489" s="18"/>
      <x:c r="E489" s="18"/>
      <x:c r="F489" s="18"/>
      <x:c r="G489" s="18"/>
      <x:c r="H489" s="18"/>
      <x:c r="I489" s="18"/>
      <x:c r="J489" s="18"/>
      <x:c r="K489" s="18"/>
    </x:row>
    <x:row r="490">
      <x:c r="A490" s="18"/>
      <x:c r="B490" s="18"/>
      <x:c r="C490" s="18"/>
      <x:c r="D490" s="18"/>
      <x:c r="E490" s="18"/>
      <x:c r="F490" s="18"/>
      <x:c r="G490" s="18"/>
      <x:c r="H490" s="18"/>
      <x:c r="I490" s="18"/>
      <x:c r="J490" s="18"/>
      <x:c r="K490" s="18"/>
    </x:row>
    <x:row r="491">
      <x:c r="A491" s="18"/>
      <x:c r="B491" s="18"/>
      <x:c r="C491" s="18"/>
      <x:c r="D491" s="18"/>
      <x:c r="E491" s="18"/>
      <x:c r="F491" s="18"/>
      <x:c r="G491" s="18"/>
      <x:c r="H491" s="18"/>
      <x:c r="I491" s="18"/>
      <x:c r="J491" s="18"/>
      <x:c r="K491" s="18"/>
    </x:row>
    <x:row r="492">
      <x:c r="A492" s="18"/>
      <x:c r="B492" s="18"/>
      <x:c r="C492" s="18"/>
      <x:c r="D492" s="18"/>
      <x:c r="E492" s="18"/>
      <x:c r="F492" s="18"/>
      <x:c r="G492" s="18"/>
      <x:c r="H492" s="18"/>
      <x:c r="I492" s="18"/>
      <x:c r="J492" s="18"/>
      <x:c r="K492" s="18"/>
    </x:row>
    <x:row r="493">
      <x:c r="A493" s="18"/>
      <x:c r="B493" s="18"/>
      <x:c r="C493" s="18"/>
      <x:c r="D493" s="18"/>
      <x:c r="E493" s="18"/>
      <x:c r="F493" s="18"/>
      <x:c r="G493" s="18"/>
      <x:c r="H493" s="18"/>
      <x:c r="I493" s="18"/>
      <x:c r="J493" s="18"/>
      <x:c r="K493" s="18"/>
    </x:row>
    <x:row r="494">
      <x:c r="A494" s="18"/>
      <x:c r="B494" s="18"/>
      <x:c r="C494" s="18"/>
      <x:c r="D494" s="18"/>
      <x:c r="E494" s="18"/>
      <x:c r="F494" s="18"/>
      <x:c r="G494" s="18"/>
      <x:c r="H494" s="18"/>
      <x:c r="I494" s="18"/>
      <x:c r="J494" s="18"/>
      <x:c r="K494" s="18"/>
    </x:row>
    <x:row r="495">
      <x:c r="A495" s="18"/>
      <x:c r="B495" s="18"/>
      <x:c r="C495" s="18"/>
      <x:c r="D495" s="18"/>
      <x:c r="E495" s="18"/>
      <x:c r="F495" s="18"/>
      <x:c r="G495" s="18"/>
      <x:c r="H495" s="18"/>
      <x:c r="I495" s="18"/>
      <x:c r="J495" s="18"/>
      <x:c r="K495" s="18"/>
    </x:row>
    <x:row r="496">
      <x:c r="A496" s="18"/>
      <x:c r="B496" s="18"/>
      <x:c r="C496" s="18"/>
      <x:c r="D496" s="18"/>
      <x:c r="E496" s="18"/>
      <x:c r="F496" s="18"/>
      <x:c r="G496" s="18"/>
      <x:c r="H496" s="18"/>
      <x:c r="I496" s="18"/>
      <x:c r="J496" s="18"/>
      <x:c r="K496" s="18"/>
    </x:row>
    <x:row r="497">
      <x:c r="A497" s="18"/>
      <x:c r="B497" s="18"/>
      <x:c r="C497" s="18"/>
      <x:c r="D497" s="18"/>
      <x:c r="E497" s="18"/>
      <x:c r="F497" s="18"/>
      <x:c r="G497" s="18"/>
      <x:c r="H497" s="18"/>
      <x:c r="I497" s="18"/>
      <x:c r="J497" s="18"/>
      <x:c r="K497" s="18"/>
    </x:row>
    <x:row r="498">
      <x:c r="A498" s="18"/>
      <x:c r="B498" s="18"/>
      <x:c r="C498" s="18"/>
      <x:c r="D498" s="18"/>
      <x:c r="E498" s="18"/>
      <x:c r="F498" s="18"/>
      <x:c r="G498" s="18"/>
      <x:c r="H498" s="18"/>
      <x:c r="I498" s="18"/>
      <x:c r="J498" s="18"/>
      <x:c r="K498" s="18"/>
    </x:row>
    <x:row r="499">
      <x:c r="A499" s="18"/>
      <x:c r="B499" s="18"/>
      <x:c r="C499" s="18"/>
      <x:c r="D499" s="18"/>
      <x:c r="E499" s="18"/>
      <x:c r="F499" s="18"/>
      <x:c r="G499" s="18"/>
      <x:c r="H499" s="18"/>
      <x:c r="I499" s="18"/>
      <x:c r="J499" s="18"/>
      <x:c r="K499" s="18"/>
    </x:row>
    <x:row r="500">
      <x:c r="A500" s="18"/>
      <x:c r="B500" s="18"/>
      <x:c r="C500" s="18"/>
      <x:c r="D500" s="18"/>
      <x:c r="E500" s="18"/>
      <x:c r="F500" s="18"/>
      <x:c r="G500" s="18"/>
      <x:c r="H500" s="18"/>
      <x:c r="I500" s="18"/>
      <x:c r="J500" s="18"/>
      <x:c r="K500" s="18"/>
    </x:row>
    <x:row r="501">
      <x:c r="A501" s="18" t="str"/>
      <x:c r="B501" s="18" t="str"/>
      <x:c r="C501" s="18" t="str"/>
      <x:c r="D501" s="18" t="str"/>
      <x:c r="E501" s="18" t="str"/>
      <x:c r="F501" s="18" t="str"/>
      <x:c r="G501" s="18" t="str"/>
      <x:c r="H501" s="18" t="str"/>
      <x:c r="I501" s="18" t="str"/>
      <x:c r="J501" s="18" t="str"/>
      <x:c r="K501" s="18" t="str"/>
    </x:row>
    <x:row r="502">
      <x:c r="A502" s="18" t="str"/>
      <x:c r="B502" s="18" t="str"/>
      <x:c r="C502" s="18" t="str"/>
      <x:c r="D502" s="18" t="str"/>
      <x:c r="E502" s="18" t="str"/>
      <x:c r="F502" s="18" t="str"/>
      <x:c r="G502" s="18" t="str"/>
      <x:c r="H502" s="18" t="str"/>
      <x:c r="I502" s="18" t="str"/>
      <x:c r="J502" s="18" t="str"/>
      <x:c r="K502" s="18" t="str"/>
    </x:row>
    <x:row r="503">
      <x:c r="A503" s="18" t="str"/>
      <x:c r="B503" s="18" t="str"/>
      <x:c r="C503" s="18" t="str"/>
      <x:c r="D503" s="18" t="str"/>
      <x:c r="E503" s="18" t="str"/>
      <x:c r="F503" s="18" t="str"/>
      <x:c r="G503" s="18" t="str"/>
      <x:c r="H503" s="18" t="str"/>
      <x:c r="I503" s="18" t="str"/>
      <x:c r="J503" s="18" t="str"/>
      <x:c r="K503" s="18" t="str"/>
    </x:row>
    <x:row r="504">
      <x:c r="A504" s="18" t="str"/>
      <x:c r="B504" s="18" t="str"/>
      <x:c r="C504" s="18" t="str"/>
      <x:c r="D504" s="18" t="str"/>
      <x:c r="E504" s="18" t="str"/>
      <x:c r="F504" s="18" t="str"/>
      <x:c r="G504" s="18" t="str"/>
      <x:c r="H504" s="18" t="str"/>
      <x:c r="I504" s="18" t="str"/>
      <x:c r="J504" s="18" t="str"/>
      <x:c r="K504" s="18" t="str"/>
    </x:row>
    <x:row r="505">
      <x:c r="A505" s="18" t="str"/>
      <x:c r="B505" s="18" t="str"/>
      <x:c r="C505" s="18" t="str"/>
      <x:c r="D505" s="18" t="str"/>
      <x:c r="E505" s="18" t="str"/>
      <x:c r="F505" s="18" t="str"/>
      <x:c r="G505" s="18" t="str"/>
      <x:c r="H505" s="18" t="str"/>
      <x:c r="I505" s="18" t="str"/>
      <x:c r="J505" s="18" t="str"/>
      <x:c r="K505" s="18" t="str"/>
    </x:row>
    <x:row r="506">
      <x:c r="A506" s="18" t="str"/>
      <x:c r="B506" s="18" t="str"/>
      <x:c r="C506" s="18" t="str"/>
      <x:c r="D506" s="18" t="str"/>
      <x:c r="E506" s="18" t="str"/>
      <x:c r="F506" s="18" t="str"/>
      <x:c r="G506" s="18" t="str"/>
      <x:c r="H506" s="18" t="str"/>
      <x:c r="I506" s="18" t="str"/>
      <x:c r="J506" s="18" t="str"/>
      <x:c r="K506" s="18" t="str"/>
    </x:row>
    <x:row r="507">
      <x:c r="A507" s="18" t="str"/>
      <x:c r="B507" s="18" t="str"/>
      <x:c r="C507" s="18" t="str"/>
      <x:c r="D507" s="18" t="str"/>
      <x:c r="E507" s="18" t="str"/>
      <x:c r="F507" s="18" t="str"/>
      <x:c r="G507" s="18" t="str"/>
      <x:c r="H507" s="18" t="str"/>
      <x:c r="I507" s="18" t="str"/>
      <x:c r="J507" s="18" t="str"/>
      <x:c r="K507" s="18" t="str"/>
    </x:row>
    <x:row r="508">
      <x:c r="A508" s="18" t="str"/>
      <x:c r="B508" s="18" t="str"/>
      <x:c r="C508" s="18" t="str"/>
      <x:c r="D508" s="18" t="str"/>
      <x:c r="E508" s="18" t="str"/>
      <x:c r="F508" s="18" t="str"/>
      <x:c r="G508" s="18" t="str"/>
      <x:c r="H508" s="18" t="str"/>
      <x:c r="I508" s="18" t="str"/>
      <x:c r="J508" s="18" t="str"/>
      <x:c r="K508" s="18" t="str"/>
    </x:row>
    <x:row r="509">
      <x:c r="A509" s="18" t="str"/>
      <x:c r="B509" s="18" t="str"/>
      <x:c r="C509" s="18" t="str"/>
      <x:c r="D509" s="18" t="str"/>
      <x:c r="E509" s="18" t="str"/>
      <x:c r="F509" s="18" t="str"/>
      <x:c r="G509" s="18" t="str"/>
      <x:c r="H509" s="18" t="str"/>
      <x:c r="I509" s="18" t="str"/>
      <x:c r="J509" s="18" t="str"/>
      <x:c r="K509" s="18" t="str"/>
    </x:row>
    <x:row r="510">
      <x:c r="A510" s="18" t="str"/>
      <x:c r="B510" s="18" t="str"/>
      <x:c r="C510" s="18" t="str"/>
      <x:c r="D510" s="18" t="str"/>
      <x:c r="E510" s="18" t="str"/>
      <x:c r="F510" s="18" t="str"/>
      <x:c r="G510" s="18" t="str"/>
      <x:c r="H510" s="18" t="str"/>
      <x:c r="I510" s="18" t="str"/>
      <x:c r="J510" s="18" t="str"/>
      <x:c r="K510" s="18" t="str"/>
    </x:row>
    <x:row r="511">
      <x:c r="A511" s="18" t="str"/>
      <x:c r="B511" s="18" t="str"/>
      <x:c r="C511" s="18" t="str"/>
      <x:c r="D511" s="18" t="str"/>
      <x:c r="E511" s="18" t="str"/>
      <x:c r="F511" s="18" t="str"/>
      <x:c r="G511" s="18" t="str"/>
      <x:c r="H511" s="18" t="str"/>
      <x:c r="I511" s="18" t="str"/>
      <x:c r="J511" s="18" t="str"/>
      <x:c r="K511" s="18" t="str"/>
    </x:row>
    <x:row r="512">
      <x:c r="A512" s="18" t="str"/>
      <x:c r="B512" s="18" t="str"/>
      <x:c r="C512" s="18" t="str"/>
      <x:c r="D512" s="18" t="str"/>
      <x:c r="E512" s="18" t="str"/>
      <x:c r="F512" s="18" t="str"/>
      <x:c r="G512" s="18" t="str"/>
      <x:c r="H512" s="18" t="str"/>
      <x:c r="I512" s="18" t="str"/>
      <x:c r="J512" s="18" t="str"/>
      <x:c r="K512" s="18" t="str"/>
    </x:row>
    <x:row r="513">
      <x:c r="A513" s="18" t="str"/>
      <x:c r="B513" s="18" t="str"/>
      <x:c r="C513" s="18" t="str"/>
      <x:c r="D513" s="18" t="str"/>
      <x:c r="E513" s="18" t="str"/>
      <x:c r="F513" s="18" t="str"/>
      <x:c r="G513" s="18" t="str"/>
      <x:c r="H513" s="18" t="str"/>
      <x:c r="I513" s="18" t="str"/>
      <x:c r="J513" s="18" t="str"/>
      <x:c r="K513" s="18" t="str"/>
    </x:row>
    <x:row r="514">
      <x:c r="A514" s="18" t="str"/>
      <x:c r="B514" s="18" t="str"/>
      <x:c r="C514" s="18" t="str"/>
      <x:c r="D514" s="18" t="str"/>
      <x:c r="E514" s="18" t="str"/>
      <x:c r="F514" s="18" t="str"/>
      <x:c r="G514" s="18" t="str"/>
      <x:c r="H514" s="18" t="str"/>
      <x:c r="I514" s="18" t="str"/>
      <x:c r="J514" s="18" t="str"/>
      <x:c r="K514" s="18" t="str"/>
    </x:row>
    <x:row r="515">
      <x:c r="A515" s="18" t="str"/>
      <x:c r="B515" s="18" t="str"/>
      <x:c r="C515" s="18" t="str"/>
      <x:c r="D515" s="18" t="str"/>
      <x:c r="E515" s="18" t="str"/>
      <x:c r="F515" s="18" t="str"/>
      <x:c r="G515" s="18" t="str"/>
      <x:c r="H515" s="18" t="str"/>
      <x:c r="I515" s="18" t="str"/>
      <x:c r="J515" s="18" t="str"/>
      <x:c r="K515" s="18" t="str"/>
    </x:row>
    <x:row r="516">
      <x:c r="A516" s="18" t="str"/>
      <x:c r="B516" s="18" t="str"/>
      <x:c r="C516" s="18" t="str"/>
      <x:c r="D516" s="18" t="str"/>
      <x:c r="E516" s="18" t="str"/>
      <x:c r="F516" s="18" t="str"/>
      <x:c r="G516" s="18" t="str"/>
      <x:c r="H516" s="18" t="str"/>
      <x:c r="I516" s="18" t="str"/>
      <x:c r="J516" s="18" t="str"/>
      <x:c r="K516" s="18" t="str"/>
    </x:row>
    <x:row r="517">
      <x:c r="A517" s="18" t="str"/>
      <x:c r="B517" s="18" t="str"/>
      <x:c r="C517" s="18" t="str"/>
      <x:c r="D517" s="18" t="str"/>
      <x:c r="E517" s="18" t="str"/>
      <x:c r="F517" s="18" t="str"/>
      <x:c r="G517" s="18" t="str"/>
      <x:c r="H517" s="18" t="str"/>
      <x:c r="I517" s="18" t="str"/>
      <x:c r="J517" s="18" t="str"/>
      <x:c r="K517" s="18" t="str"/>
    </x:row>
    <x:row r="518">
      <x:c r="A518" s="18" t="str"/>
      <x:c r="B518" s="18" t="str"/>
      <x:c r="C518" s="18" t="str"/>
      <x:c r="D518" s="18" t="str"/>
      <x:c r="E518" s="18" t="str"/>
      <x:c r="F518" s="18" t="str"/>
      <x:c r="G518" s="18" t="str"/>
      <x:c r="H518" s="18" t="str"/>
      <x:c r="I518" s="18" t="str"/>
      <x:c r="J518" s="18" t="str"/>
      <x:c r="K518" s="18" t="str"/>
    </x:row>
    <x:row r="519">
      <x:c r="A519" s="18" t="str"/>
      <x:c r="B519" s="18" t="str"/>
      <x:c r="C519" s="18" t="str"/>
      <x:c r="D519" s="18" t="str"/>
      <x:c r="E519" s="18" t="str"/>
      <x:c r="F519" s="18" t="str"/>
      <x:c r="G519" s="18" t="str"/>
      <x:c r="H519" s="18" t="str"/>
      <x:c r="I519" s="18" t="str"/>
      <x:c r="J519" s="18" t="str"/>
      <x:c r="K519" s="18" t="str"/>
    </x:row>
    <x:row r="520">
      <x:c r="A520" s="18" t="str"/>
      <x:c r="B520" s="18" t="str"/>
      <x:c r="C520" s="18" t="str"/>
      <x:c r="D520" s="18" t="str"/>
      <x:c r="E520" s="18" t="str"/>
      <x:c r="F520" s="18" t="str"/>
      <x:c r="G520" s="18" t="str"/>
      <x:c r="H520" s="18" t="str"/>
      <x:c r="I520" s="18" t="str"/>
      <x:c r="J520" s="18" t="str"/>
      <x:c r="K520" s="18" t="str"/>
    </x:row>
    <x:row r="521">
      <x:c r="A521" s="18" t="str"/>
      <x:c r="B521" s="18" t="str"/>
      <x:c r="C521" s="18" t="str"/>
      <x:c r="D521" s="18" t="str"/>
      <x:c r="E521" s="18" t="str"/>
      <x:c r="F521" s="18" t="str"/>
      <x:c r="G521" s="18" t="str"/>
      <x:c r="H521" s="18" t="str"/>
      <x:c r="I521" s="18" t="str"/>
      <x:c r="J521" s="18" t="str"/>
      <x:c r="K521" s="18" t="str"/>
    </x:row>
    <x:row r="522">
      <x:c r="A522" s="18" t="str"/>
      <x:c r="B522" s="18" t="str"/>
      <x:c r="C522" s="18" t="str"/>
      <x:c r="D522" s="18" t="str"/>
      <x:c r="E522" s="18" t="str"/>
      <x:c r="F522" s="18" t="str"/>
      <x:c r="G522" s="18" t="str"/>
      <x:c r="H522" s="18" t="str"/>
      <x:c r="I522" s="18" t="str"/>
      <x:c r="J522" s="18" t="str"/>
      <x:c r="K522" s="18" t="str"/>
    </x:row>
    <x:row r="523">
      <x:c r="A523" s="18" t="str"/>
      <x:c r="B523" s="18" t="str"/>
      <x:c r="C523" s="18" t="str"/>
      <x:c r="D523" s="18" t="str"/>
      <x:c r="E523" s="18" t="str"/>
      <x:c r="F523" s="18" t="str"/>
      <x:c r="G523" s="18" t="str"/>
      <x:c r="H523" s="18" t="str"/>
      <x:c r="I523" s="18" t="str"/>
      <x:c r="J523" s="18" t="str"/>
      <x:c r="K523" s="18" t="str"/>
    </x:row>
    <x:row r="524">
      <x:c r="A524" s="18" t="str"/>
      <x:c r="B524" s="18" t="str"/>
      <x:c r="C524" s="18" t="str"/>
      <x:c r="D524" s="18" t="str"/>
      <x:c r="E524" s="18" t="str"/>
      <x:c r="F524" s="18" t="str"/>
      <x:c r="G524" s="18" t="str"/>
      <x:c r="H524" s="18" t="str"/>
      <x:c r="I524" s="18" t="str"/>
      <x:c r="J524" s="18" t="str"/>
      <x:c r="K524" s="18" t="str"/>
    </x:row>
    <x:row r="525">
      <x:c r="A525" s="18" t="str"/>
      <x:c r="B525" s="18" t="str"/>
      <x:c r="C525" s="18" t="str"/>
      <x:c r="D525" s="18" t="str"/>
      <x:c r="E525" s="18" t="str"/>
      <x:c r="F525" s="18" t="str"/>
      <x:c r="G525" s="18" t="str"/>
      <x:c r="H525" s="18" t="str"/>
      <x:c r="I525" s="18" t="str"/>
      <x:c r="J525" s="18" t="str"/>
      <x:c r="K525" s="18" t="str"/>
    </x:row>
    <x:row r="526">
      <x:c r="A526" s="18" t="str"/>
      <x:c r="B526" s="18" t="str"/>
      <x:c r="C526" s="18" t="str"/>
      <x:c r="D526" s="18" t="str"/>
      <x:c r="E526" s="18" t="str"/>
      <x:c r="F526" s="18" t="str"/>
      <x:c r="G526" s="18" t="str"/>
      <x:c r="H526" s="18" t="str"/>
      <x:c r="I526" s="18" t="str"/>
      <x:c r="J526" s="18" t="str"/>
      <x:c r="K526" s="18" t="str"/>
    </x:row>
    <x:row r="527">
      <x:c r="A527" s="18" t="str"/>
      <x:c r="B527" s="18" t="str"/>
      <x:c r="C527" s="18" t="str"/>
      <x:c r="D527" s="18" t="str"/>
      <x:c r="E527" s="18" t="str"/>
      <x:c r="F527" s="18" t="str"/>
      <x:c r="G527" s="18" t="str"/>
      <x:c r="H527" s="18" t="str"/>
      <x:c r="I527" s="18" t="str"/>
      <x:c r="J527" s="18" t="str"/>
      <x:c r="K527" s="18" t="str"/>
    </x:row>
    <x:row r="528">
      <x:c r="A528" s="18" t="str"/>
      <x:c r="B528" s="18" t="str"/>
      <x:c r="C528" s="18" t="str"/>
      <x:c r="D528" s="18" t="str"/>
      <x:c r="E528" s="18" t="str"/>
      <x:c r="F528" s="18" t="str"/>
      <x:c r="G528" s="18" t="str"/>
      <x:c r="H528" s="18" t="str"/>
      <x:c r="I528" s="18" t="str"/>
      <x:c r="J528" s="18" t="str"/>
      <x:c r="K528" s="18" t="str"/>
    </x:row>
    <x:row r="529">
      <x:c r="A529" s="18" t="str"/>
      <x:c r="B529" s="18" t="str"/>
      <x:c r="C529" s="18" t="str"/>
      <x:c r="D529" s="18" t="str"/>
      <x:c r="E529" s="18" t="str"/>
      <x:c r="F529" s="18" t="str"/>
      <x:c r="G529" s="18" t="str"/>
      <x:c r="H529" s="18" t="str"/>
      <x:c r="I529" s="18" t="str"/>
      <x:c r="J529" s="18" t="str"/>
      <x:c r="K529" s="18" t="str"/>
    </x:row>
    <x:row r="530">
      <x:c r="A530" s="18" t="str"/>
      <x:c r="B530" s="18" t="str"/>
      <x:c r="C530" s="18" t="str"/>
      <x:c r="D530" s="18" t="str"/>
      <x:c r="E530" s="18" t="str"/>
      <x:c r="F530" s="18" t="str"/>
      <x:c r="G530" s="18" t="str"/>
      <x:c r="H530" s="18" t="str"/>
      <x:c r="I530" s="18" t="str"/>
      <x:c r="J530" s="18" t="str"/>
      <x:c r="K530" s="18" t="str"/>
    </x:row>
    <x:row r="531">
      <x:c r="A531" s="18" t="str"/>
      <x:c r="B531" s="18" t="str"/>
      <x:c r="C531" s="18" t="str"/>
      <x:c r="D531" s="18" t="str"/>
      <x:c r="E531" s="18" t="str"/>
      <x:c r="F531" s="18" t="str"/>
      <x:c r="G531" s="18" t="str"/>
      <x:c r="H531" s="18" t="str"/>
      <x:c r="I531" s="18" t="str"/>
      <x:c r="J531" s="18" t="str"/>
      <x:c r="K531" s="18" t="str"/>
    </x:row>
    <x:row r="532">
      <x:c r="A532" s="18" t="str"/>
      <x:c r="B532" s="18" t="str"/>
      <x:c r="C532" s="18" t="str"/>
      <x:c r="D532" s="18" t="str"/>
      <x:c r="E532" s="18" t="str"/>
      <x:c r="F532" s="18" t="str"/>
      <x:c r="G532" s="18" t="str"/>
      <x:c r="H532" s="18" t="str"/>
      <x:c r="I532" s="18" t="str"/>
      <x:c r="J532" s="18" t="str"/>
      <x:c r="K532" s="18" t="str"/>
    </x:row>
    <x:row r="533">
      <x:c r="A533" s="18" t="str"/>
      <x:c r="B533" s="18" t="str"/>
      <x:c r="C533" s="18" t="str"/>
      <x:c r="D533" s="18" t="str"/>
      <x:c r="E533" s="18" t="str"/>
      <x:c r="F533" s="18" t="str"/>
      <x:c r="G533" s="18" t="str"/>
      <x:c r="H533" s="18" t="str"/>
      <x:c r="I533" s="18" t="str"/>
      <x:c r="J533" s="18" t="str"/>
      <x:c r="K533" s="18" t="str"/>
    </x:row>
    <x:row r="534">
      <x:c r="A534" s="18" t="str"/>
      <x:c r="B534" s="18" t="str"/>
      <x:c r="C534" s="18" t="str"/>
      <x:c r="D534" s="18" t="str"/>
      <x:c r="E534" s="18" t="str"/>
      <x:c r="F534" s="18" t="str"/>
      <x:c r="G534" s="18" t="str"/>
      <x:c r="H534" s="18" t="str"/>
      <x:c r="I534" s="18" t="str"/>
      <x:c r="J534" s="18" t="str"/>
      <x:c r="K534" s="18" t="str"/>
    </x:row>
    <x:row r="535">
      <x:c r="A535" s="18" t="str"/>
      <x:c r="B535" s="18" t="str"/>
      <x:c r="C535" s="18" t="str"/>
      <x:c r="D535" s="18" t="str"/>
      <x:c r="E535" s="18" t="str"/>
      <x:c r="F535" s="18" t="str"/>
      <x:c r="G535" s="18" t="str"/>
      <x:c r="H535" s="18" t="str"/>
      <x:c r="I535" s="18" t="str"/>
      <x:c r="J535" s="18" t="str"/>
      <x:c r="K535" s="18" t="str"/>
    </x:row>
    <x:row r="536">
      <x:c r="A536" s="18" t="str"/>
      <x:c r="B536" s="18" t="str"/>
      <x:c r="C536" s="18" t="str"/>
      <x:c r="D536" s="18" t="str"/>
      <x:c r="E536" s="18" t="str"/>
      <x:c r="F536" s="18" t="str"/>
      <x:c r="G536" s="18" t="str"/>
      <x:c r="H536" s="18" t="str"/>
      <x:c r="I536" s="18" t="str"/>
      <x:c r="J536" s="18" t="str"/>
      <x:c r="K536" s="18" t="str"/>
    </x:row>
    <x:row r="537">
      <x:c r="A537" s="18" t="str"/>
      <x:c r="B537" s="18" t="str"/>
      <x:c r="C537" s="18" t="str"/>
      <x:c r="D537" s="18" t="str"/>
      <x:c r="E537" s="18" t="str"/>
      <x:c r="F537" s="18" t="str"/>
      <x:c r="G537" s="18" t="str"/>
      <x:c r="H537" s="18" t="str"/>
      <x:c r="I537" s="18" t="str"/>
      <x:c r="J537" s="18" t="str"/>
      <x:c r="K537" s="18" t="str"/>
    </x:row>
    <x:row r="538">
      <x:c r="A538" s="18" t="str"/>
      <x:c r="B538" s="18" t="str"/>
      <x:c r="C538" s="18" t="str"/>
      <x:c r="D538" s="18" t="str"/>
      <x:c r="E538" s="18" t="str"/>
      <x:c r="F538" s="18" t="str"/>
      <x:c r="G538" s="18" t="str"/>
      <x:c r="H538" s="18" t="str"/>
      <x:c r="I538" s="18" t="str"/>
      <x:c r="J538" s="18" t="str"/>
      <x:c r="K538" s="18" t="str"/>
    </x:row>
    <x:row r="539">
      <x:c r="A539" s="18" t="str"/>
      <x:c r="B539" s="18" t="str"/>
      <x:c r="C539" s="18" t="str"/>
      <x:c r="D539" s="18" t="str"/>
      <x:c r="E539" s="18" t="str"/>
      <x:c r="F539" s="18" t="str"/>
      <x:c r="G539" s="18" t="str"/>
      <x:c r="H539" s="18" t="str"/>
      <x:c r="I539" s="18" t="str"/>
      <x:c r="J539" s="18" t="str"/>
      <x:c r="K539" s="18" t="str"/>
    </x:row>
    <x:row r="540">
      <x:c r="A540" s="18" t="str"/>
      <x:c r="B540" s="18" t="str"/>
      <x:c r="C540" s="18" t="str"/>
      <x:c r="D540" s="18" t="str"/>
      <x:c r="E540" s="18" t="str"/>
      <x:c r="F540" s="18" t="str"/>
      <x:c r="G540" s="18" t="str"/>
      <x:c r="H540" s="18" t="str"/>
      <x:c r="I540" s="18" t="str"/>
      <x:c r="J540" s="18" t="str"/>
      <x:c r="K540" s="18" t="str"/>
    </x:row>
    <x:row r="541">
      <x:c r="A541" s="18" t="str"/>
      <x:c r="B541" s="18" t="str"/>
      <x:c r="C541" s="18" t="str"/>
      <x:c r="D541" s="18" t="str"/>
      <x:c r="E541" s="18" t="str"/>
      <x:c r="F541" s="18" t="str"/>
      <x:c r="G541" s="18" t="str"/>
      <x:c r="H541" s="18" t="str"/>
      <x:c r="I541" s="18" t="str"/>
      <x:c r="J541" s="18" t="str"/>
      <x:c r="K541" s="18" t="str"/>
    </x:row>
    <x:row r="542">
      <x:c r="A542" s="18" t="str"/>
      <x:c r="B542" s="18" t="str"/>
      <x:c r="C542" s="18" t="str"/>
      <x:c r="D542" s="18" t="str"/>
      <x:c r="E542" s="18" t="str"/>
      <x:c r="F542" s="18" t="str"/>
      <x:c r="G542" s="18" t="str"/>
      <x:c r="H542" s="18" t="str"/>
      <x:c r="I542" s="18" t="str"/>
      <x:c r="J542" s="18" t="str"/>
      <x:c r="K542" s="18" t="str"/>
    </x:row>
    <x:row r="543">
      <x:c r="A543" s="18" t="str"/>
      <x:c r="B543" s="18" t="str"/>
      <x:c r="C543" s="18" t="str"/>
      <x:c r="D543" s="18" t="str"/>
      <x:c r="E543" s="18" t="str"/>
      <x:c r="F543" s="18" t="str"/>
      <x:c r="G543" s="18" t="str"/>
      <x:c r="H543" s="18" t="str"/>
      <x:c r="I543" s="18" t="str"/>
      <x:c r="J543" s="18" t="str"/>
      <x:c r="K543" s="18" t="str"/>
    </x:row>
    <x:row r="544">
      <x:c r="A544" s="18" t="str"/>
      <x:c r="B544" s="18" t="str"/>
      <x:c r="C544" s="18" t="str"/>
      <x:c r="D544" s="18" t="str"/>
      <x:c r="E544" s="18" t="str"/>
      <x:c r="F544" s="18" t="str"/>
      <x:c r="G544" s="18" t="str"/>
      <x:c r="H544" s="18" t="str"/>
      <x:c r="I544" s="18" t="str"/>
      <x:c r="J544" s="18" t="str"/>
      <x:c r="K544" s="18" t="str"/>
    </x:row>
    <x:row r="545">
      <x:c r="A545" s="18" t="str"/>
      <x:c r="B545" s="18" t="str"/>
      <x:c r="C545" s="18" t="str"/>
      <x:c r="D545" s="18" t="str"/>
      <x:c r="E545" s="18" t="str"/>
      <x:c r="F545" s="18" t="str"/>
      <x:c r="G545" s="18" t="str"/>
      <x:c r="H545" s="18" t="str"/>
      <x:c r="I545" s="18" t="str"/>
      <x:c r="J545" s="18" t="str"/>
      <x:c r="K545" s="18" t="str"/>
    </x:row>
    <x:row r="546">
      <x:c r="A546" s="18" t="str"/>
      <x:c r="B546" s="18" t="str"/>
      <x:c r="C546" s="18" t="str"/>
      <x:c r="D546" s="18" t="str"/>
      <x:c r="E546" s="18" t="str"/>
      <x:c r="F546" s="18" t="str"/>
      <x:c r="G546" s="18" t="str"/>
      <x:c r="H546" s="18" t="str"/>
      <x:c r="I546" s="18" t="str"/>
      <x:c r="J546" s="18" t="str"/>
      <x:c r="K546" s="18" t="str"/>
    </x:row>
    <x:row r="547">
      <x:c r="A547" s="18" t="str"/>
      <x:c r="B547" s="18" t="str"/>
      <x:c r="C547" s="18" t="str"/>
      <x:c r="D547" s="18" t="str"/>
      <x:c r="E547" s="18" t="str"/>
      <x:c r="F547" s="18" t="str"/>
      <x:c r="G547" s="18" t="str"/>
      <x:c r="H547" s="18" t="str"/>
      <x:c r="I547" s="18" t="str"/>
      <x:c r="J547" s="18" t="str"/>
      <x:c r="K547" s="18" t="str"/>
    </x:row>
    <x:row r="548">
      <x:c r="A548" s="18" t="str"/>
      <x:c r="B548" s="18" t="str"/>
      <x:c r="C548" s="18" t="str"/>
      <x:c r="D548" s="18" t="str"/>
      <x:c r="E548" s="18" t="str"/>
      <x:c r="F548" s="18" t="str"/>
      <x:c r="G548" s="18" t="str"/>
      <x:c r="H548" s="18" t="str"/>
      <x:c r="I548" s="18" t="str"/>
      <x:c r="J548" s="18" t="str"/>
      <x:c r="K548" s="18" t="str"/>
    </x:row>
    <x:row r="549">
      <x:c r="A549" s="18" t="str"/>
      <x:c r="B549" s="18" t="str"/>
      <x:c r="C549" s="18" t="str"/>
      <x:c r="D549" s="18" t="str"/>
      <x:c r="E549" s="18" t="str"/>
      <x:c r="F549" s="18" t="str"/>
      <x:c r="G549" s="18" t="str"/>
      <x:c r="H549" s="18" t="str"/>
      <x:c r="I549" s="18" t="str"/>
      <x:c r="J549" s="18" t="str"/>
      <x:c r="K549" s="18" t="str"/>
    </x:row>
    <x:row r="550">
      <x:c r="A550" s="18" t="str"/>
      <x:c r="B550" s="18" t="str"/>
      <x:c r="C550" s="18" t="str"/>
      <x:c r="D550" s="18" t="str"/>
      <x:c r="E550" s="18" t="str"/>
      <x:c r="F550" s="18" t="str"/>
      <x:c r="G550" s="18" t="str"/>
      <x:c r="H550" s="18" t="str"/>
      <x:c r="I550" s="18" t="str"/>
      <x:c r="J550" s="18" t="str"/>
      <x:c r="K550" s="18" t="str"/>
    </x:row>
    <x:row r="551">
      <x:c r="A551" s="18" t="str"/>
      <x:c r="B551" s="18" t="str"/>
      <x:c r="C551" s="18" t="str"/>
      <x:c r="D551" s="18" t="str"/>
      <x:c r="E551" s="18" t="str"/>
      <x:c r="F551" s="18" t="str"/>
      <x:c r="G551" s="18" t="str"/>
      <x:c r="H551" s="18" t="str"/>
      <x:c r="I551" s="18" t="str"/>
      <x:c r="J551" s="18" t="str"/>
      <x:c r="K551" s="18" t="str"/>
    </x:row>
    <x:row r="552">
      <x:c r="A552" s="18" t="str"/>
      <x:c r="B552" s="18" t="str"/>
      <x:c r="C552" s="18" t="str"/>
      <x:c r="D552" s="18" t="str"/>
      <x:c r="E552" s="18" t="str"/>
      <x:c r="F552" s="18" t="str"/>
      <x:c r="G552" s="18" t="str"/>
      <x:c r="H552" s="18" t="str"/>
      <x:c r="I552" s="18" t="str"/>
      <x:c r="J552" s="18" t="str"/>
      <x:c r="K552" s="18" t="str"/>
    </x:row>
    <x:row r="553">
      <x:c r="A553" s="18" t="str"/>
      <x:c r="B553" s="18" t="str"/>
      <x:c r="C553" s="18" t="str"/>
      <x:c r="D553" s="18" t="str"/>
      <x:c r="E553" s="18" t="str"/>
      <x:c r="F553" s="18" t="str"/>
      <x:c r="G553" s="18" t="str"/>
      <x:c r="H553" s="18" t="str"/>
      <x:c r="I553" s="18" t="str"/>
      <x:c r="J553" s="18" t="str"/>
      <x:c r="K553" s="18" t="str"/>
    </x:row>
    <x:row r="554">
      <x:c r="A554" s="18" t="str"/>
      <x:c r="B554" s="18" t="str"/>
      <x:c r="C554" s="18" t="str"/>
      <x:c r="D554" s="18" t="str"/>
      <x:c r="E554" s="18" t="str"/>
      <x:c r="F554" s="18" t="str"/>
      <x:c r="G554" s="18" t="str"/>
      <x:c r="H554" s="18" t="str"/>
      <x:c r="I554" s="18" t="str"/>
      <x:c r="J554" s="18" t="str"/>
      <x:c r="K554" s="18" t="str"/>
    </x:row>
    <x:row r="555">
      <x:c r="A555" s="18" t="str"/>
      <x:c r="B555" s="18" t="str"/>
      <x:c r="C555" s="18" t="str"/>
      <x:c r="D555" s="18" t="str"/>
      <x:c r="E555" s="18" t="str"/>
      <x:c r="F555" s="18" t="str"/>
      <x:c r="G555" s="18" t="str"/>
      <x:c r="H555" s="18" t="str"/>
      <x:c r="I555" s="18" t="str"/>
      <x:c r="J555" s="18" t="str"/>
      <x:c r="K555" s="18" t="str"/>
    </x:row>
    <x:row r="556">
      <x:c r="A556" s="18" t="str"/>
      <x:c r="B556" s="18" t="str"/>
      <x:c r="C556" s="18" t="str"/>
      <x:c r="D556" s="18" t="str"/>
      <x:c r="E556" s="18" t="str"/>
      <x:c r="F556" s="18" t="str"/>
      <x:c r="G556" s="18" t="str"/>
      <x:c r="H556" s="18" t="str"/>
      <x:c r="I556" s="18" t="str"/>
      <x:c r="J556" s="18" t="str"/>
      <x:c r="K556" s="18" t="str"/>
    </x:row>
    <x:row r="557">
      <x:c r="A557" s="18" t="str"/>
      <x:c r="B557" s="18" t="str"/>
      <x:c r="C557" s="18" t="str"/>
      <x:c r="D557" s="18" t="str"/>
      <x:c r="E557" s="18" t="str"/>
      <x:c r="F557" s="18" t="str"/>
      <x:c r="G557" s="18" t="str"/>
      <x:c r="H557" s="18" t="str"/>
      <x:c r="I557" s="18" t="str"/>
      <x:c r="J557" s="18" t="str"/>
      <x:c r="K557" s="18" t="str"/>
    </x:row>
    <x:row r="558">
      <x:c r="A558" s="18" t="str"/>
      <x:c r="B558" s="18" t="str"/>
      <x:c r="C558" s="18" t="str"/>
      <x:c r="D558" s="18" t="str"/>
      <x:c r="E558" s="18" t="str"/>
      <x:c r="F558" s="18" t="str"/>
      <x:c r="G558" s="18" t="str"/>
      <x:c r="H558" s="18" t="str"/>
      <x:c r="I558" s="18" t="str"/>
      <x:c r="J558" s="18" t="str"/>
      <x:c r="K558" s="18" t="str"/>
    </x:row>
    <x:row r="559">
      <x:c r="A559" s="18" t="str"/>
      <x:c r="B559" s="18" t="str"/>
      <x:c r="C559" s="18" t="str"/>
      <x:c r="D559" s="18" t="str"/>
      <x:c r="E559" s="18" t="str"/>
      <x:c r="F559" s="18" t="str"/>
      <x:c r="G559" s="18" t="str"/>
      <x:c r="H559" s="18" t="str"/>
      <x:c r="I559" s="18" t="str"/>
      <x:c r="J559" s="18" t="str"/>
      <x:c r="K559" s="18" t="str"/>
    </x:row>
    <x:row r="560">
      <x:c r="A560" s="18" t="str"/>
      <x:c r="B560" s="18" t="str"/>
      <x:c r="C560" s="18" t="str"/>
      <x:c r="D560" s="18" t="str"/>
      <x:c r="E560" s="18" t="str"/>
      <x:c r="F560" s="18" t="str"/>
      <x:c r="G560" s="18" t="str"/>
      <x:c r="H560" s="18" t="str"/>
      <x:c r="I560" s="18" t="str"/>
      <x:c r="J560" s="18" t="str"/>
      <x:c r="K560" s="18" t="str"/>
    </x:row>
    <x:row r="561">
      <x:c r="A561" s="18" t="str"/>
      <x:c r="B561" s="18" t="str"/>
      <x:c r="C561" s="18" t="str"/>
      <x:c r="D561" s="18" t="str"/>
      <x:c r="E561" s="18" t="str"/>
      <x:c r="F561" s="18" t="str"/>
      <x:c r="G561" s="18" t="str"/>
      <x:c r="H561" s="18" t="str"/>
      <x:c r="I561" s="18" t="str"/>
      <x:c r="J561" s="18" t="str"/>
      <x:c r="K561" s="18" t="str"/>
    </x:row>
    <x:row r="562">
      <x:c r="A562" s="18" t="str"/>
      <x:c r="B562" s="18" t="str"/>
      <x:c r="C562" s="18" t="str"/>
      <x:c r="D562" s="18" t="str"/>
      <x:c r="E562" s="18" t="str"/>
      <x:c r="F562" s="18" t="str"/>
      <x:c r="G562" s="18" t="str"/>
      <x:c r="H562" s="18" t="str"/>
      <x:c r="I562" s="18" t="str"/>
      <x:c r="J562" s="18" t="str"/>
      <x:c r="K562" s="18" t="str"/>
    </x:row>
    <x:row r="563">
      <x:c r="A563" s="18" t="str"/>
      <x:c r="B563" s="18" t="str"/>
      <x:c r="C563" s="18" t="str"/>
      <x:c r="D563" s="18" t="str"/>
      <x:c r="E563" s="18" t="str"/>
      <x:c r="F563" s="18" t="str"/>
      <x:c r="G563" s="18" t="str"/>
      <x:c r="H563" s="18" t="str"/>
      <x:c r="I563" s="18" t="str"/>
      <x:c r="J563" s="18" t="str"/>
      <x:c r="K563" s="18" t="str"/>
    </x:row>
    <x:row r="564">
      <x:c r="A564" s="18" t="str"/>
      <x:c r="B564" s="18" t="str"/>
      <x:c r="C564" s="18" t="str"/>
      <x:c r="D564" s="18" t="str"/>
      <x:c r="E564" s="18" t="str"/>
      <x:c r="F564" s="18" t="str"/>
      <x:c r="G564" s="18" t="str"/>
      <x:c r="H564" s="18" t="str"/>
      <x:c r="I564" s="18" t="str"/>
      <x:c r="J564" s="18" t="str"/>
      <x:c r="K564" s="18" t="str"/>
    </x:row>
    <x:row r="565">
      <x:c r="A565" s="18" t="str"/>
      <x:c r="B565" s="18" t="str"/>
      <x:c r="C565" s="18" t="str"/>
      <x:c r="D565" s="18" t="str"/>
      <x:c r="E565" s="18" t="str"/>
      <x:c r="F565" s="18" t="str"/>
      <x:c r="G565" s="18" t="str"/>
      <x:c r="H565" s="18" t="str"/>
      <x:c r="I565" s="18" t="str"/>
      <x:c r="J565" s="18" t="str"/>
      <x:c r="K565" s="18" t="str"/>
    </x:row>
    <x:row r="566">
      <x:c r="A566" s="18" t="str"/>
      <x:c r="B566" s="18" t="str"/>
      <x:c r="C566" s="18" t="str"/>
      <x:c r="D566" s="18" t="str"/>
      <x:c r="E566" s="18" t="str"/>
      <x:c r="F566" s="18" t="str"/>
      <x:c r="G566" s="18" t="str"/>
      <x:c r="H566" s="18" t="str"/>
      <x:c r="I566" s="18" t="str"/>
      <x:c r="J566" s="18" t="str"/>
      <x:c r="K566" s="18" t="str"/>
    </x:row>
    <x:row r="567">
      <x:c r="A567" s="18" t="str"/>
      <x:c r="B567" s="18" t="str"/>
      <x:c r="C567" s="18" t="str"/>
      <x:c r="D567" s="18" t="str"/>
      <x:c r="E567" s="18" t="str"/>
      <x:c r="F567" s="18" t="str"/>
      <x:c r="G567" s="18" t="str"/>
      <x:c r="H567" s="18" t="str"/>
      <x:c r="I567" s="18" t="str"/>
      <x:c r="J567" s="18" t="str"/>
      <x:c r="K567" s="18" t="str"/>
    </x:row>
    <x:row r="568">
      <x:c r="A568" s="18" t="str"/>
      <x:c r="B568" s="18" t="str"/>
      <x:c r="C568" s="18" t="str"/>
      <x:c r="D568" s="18" t="str"/>
      <x:c r="E568" s="18" t="str"/>
      <x:c r="F568" s="18" t="str"/>
      <x:c r="G568" s="18" t="str"/>
      <x:c r="H568" s="18" t="str"/>
      <x:c r="I568" s="18" t="str"/>
      <x:c r="J568" s="18" t="str"/>
      <x:c r="K568" s="18" t="str"/>
    </x:row>
    <x:row r="569">
      <x:c r="A569" s="18" t="str"/>
      <x:c r="B569" s="18" t="str"/>
      <x:c r="C569" s="18" t="str"/>
      <x:c r="D569" s="18" t="str"/>
      <x:c r="E569" s="18" t="str"/>
      <x:c r="F569" s="18" t="str"/>
      <x:c r="G569" s="18" t="str"/>
      <x:c r="H569" s="18" t="str"/>
      <x:c r="I569" s="18" t="str"/>
      <x:c r="J569" s="18" t="str"/>
      <x:c r="K569" s="18" t="str"/>
    </x:row>
    <x:row r="570">
      <x:c r="A570" s="18" t="str"/>
      <x:c r="B570" s="18" t="str"/>
      <x:c r="C570" s="18" t="str"/>
      <x:c r="D570" s="18" t="str"/>
      <x:c r="E570" s="18" t="str"/>
      <x:c r="F570" s="18" t="str"/>
      <x:c r="G570" s="18" t="str"/>
      <x:c r="H570" s="18" t="str"/>
      <x:c r="I570" s="18" t="str"/>
      <x:c r="J570" s="18" t="str"/>
      <x:c r="K570" s="18" t="str"/>
    </x:row>
    <x:row r="571">
      <x:c r="A571" s="18" t="str"/>
      <x:c r="B571" s="18" t="str"/>
      <x:c r="C571" s="18" t="str"/>
      <x:c r="D571" s="18" t="str"/>
      <x:c r="E571" s="18" t="str"/>
      <x:c r="F571" s="18" t="str"/>
      <x:c r="G571" s="18" t="str"/>
      <x:c r="H571" s="18" t="str"/>
      <x:c r="I571" s="18" t="str"/>
      <x:c r="J571" s="18" t="str"/>
      <x:c r="K571" s="18" t="str"/>
    </x:row>
    <x:row r="572">
      <x:c r="A572" s="18" t="str"/>
      <x:c r="B572" s="18" t="str"/>
      <x:c r="C572" s="18" t="str"/>
      <x:c r="D572" s="18" t="str"/>
      <x:c r="E572" s="18" t="str"/>
      <x:c r="F572" s="18" t="str"/>
      <x:c r="G572" s="18" t="str"/>
      <x:c r="H572" s="18" t="str"/>
      <x:c r="I572" s="18" t="str"/>
      <x:c r="J572" s="18" t="str"/>
      <x:c r="K572" s="18" t="str"/>
    </x:row>
    <x:row r="573">
      <x:c r="A573" s="18" t="str"/>
      <x:c r="B573" s="18" t="str"/>
      <x:c r="C573" s="18" t="str"/>
      <x:c r="D573" s="18" t="str"/>
      <x:c r="E573" s="18" t="str"/>
      <x:c r="F573" s="18" t="str"/>
      <x:c r="G573" s="18" t="str"/>
      <x:c r="H573" s="18" t="str"/>
      <x:c r="I573" s="18" t="str"/>
      <x:c r="J573" s="18" t="str"/>
      <x:c r="K573" s="18" t="str"/>
    </x:row>
    <x:row r="574">
      <x:c r="A574" s="18" t="str"/>
      <x:c r="B574" s="18" t="str"/>
      <x:c r="C574" s="18" t="str"/>
      <x:c r="D574" s="18" t="str"/>
      <x:c r="E574" s="18" t="str"/>
      <x:c r="F574" s="18" t="str"/>
      <x:c r="G574" s="18" t="str"/>
      <x:c r="H574" s="18" t="str"/>
      <x:c r="I574" s="18" t="str"/>
      <x:c r="J574" s="18" t="str"/>
      <x:c r="K574" s="18" t="str"/>
    </x:row>
    <x:row r="575">
      <x:c r="A575" s="18" t="str"/>
      <x:c r="B575" s="18" t="str"/>
      <x:c r="C575" s="18" t="str"/>
      <x:c r="D575" s="18" t="str"/>
      <x:c r="E575" s="18" t="str"/>
      <x:c r="F575" s="18" t="str"/>
      <x:c r="G575" s="18" t="str"/>
      <x:c r="H575" s="18" t="str"/>
      <x:c r="I575" s="18" t="str"/>
      <x:c r="J575" s="18" t="str"/>
      <x:c r="K575" s="18" t="str"/>
    </x:row>
    <x:row r="576">
      <x:c r="A576" s="18" t="str"/>
      <x:c r="B576" s="18" t="str"/>
      <x:c r="C576" s="18" t="str"/>
      <x:c r="D576" s="18" t="str"/>
      <x:c r="E576" s="18" t="str"/>
      <x:c r="F576" s="18" t="str"/>
      <x:c r="G576" s="18" t="str"/>
      <x:c r="H576" s="18" t="str"/>
      <x:c r="I576" s="18" t="str"/>
      <x:c r="J576" s="18" t="str"/>
      <x:c r="K576" s="18" t="str"/>
    </x:row>
    <x:row r="577">
      <x:c r="A577" s="18" t="str"/>
      <x:c r="B577" s="18" t="str"/>
      <x:c r="C577" s="18" t="str"/>
      <x:c r="D577" s="18" t="str"/>
      <x:c r="E577" s="18" t="str"/>
      <x:c r="F577" s="18" t="str"/>
      <x:c r="G577" s="18" t="str"/>
      <x:c r="H577" s="18" t="str"/>
      <x:c r="I577" s="18" t="str"/>
      <x:c r="J577" s="18" t="str"/>
      <x:c r="K577" s="18" t="str"/>
    </x:row>
    <x:row r="578">
      <x:c r="A578" s="18" t="str"/>
      <x:c r="B578" s="18" t="str"/>
      <x:c r="C578" s="18" t="str"/>
      <x:c r="D578" s="18" t="str"/>
      <x:c r="E578" s="18" t="str"/>
      <x:c r="F578" s="18" t="str"/>
      <x:c r="G578" s="18" t="str"/>
      <x:c r="H578" s="18" t="str"/>
      <x:c r="I578" s="18" t="str"/>
      <x:c r="J578" s="18" t="str"/>
      <x:c r="K578" s="18" t="str"/>
    </x:row>
    <x:row r="579">
      <x:c r="A579" s="18" t="str"/>
      <x:c r="B579" s="18" t="str"/>
      <x:c r="C579" s="18" t="str"/>
      <x:c r="D579" s="18" t="str"/>
      <x:c r="E579" s="18" t="str"/>
      <x:c r="F579" s="18" t="str"/>
      <x:c r="G579" s="18" t="str"/>
      <x:c r="H579" s="18" t="str"/>
      <x:c r="I579" s="18" t="str"/>
      <x:c r="J579" s="18" t="str"/>
      <x:c r="K579" s="18" t="str"/>
    </x:row>
    <x:row r="580">
      <x:c r="A580" s="18" t="str"/>
      <x:c r="B580" s="18" t="str"/>
      <x:c r="C580" s="18" t="str"/>
      <x:c r="D580" s="18" t="str"/>
      <x:c r="E580" s="18" t="str"/>
      <x:c r="F580" s="18" t="str"/>
      <x:c r="G580" s="18" t="str"/>
      <x:c r="H580" s="18" t="str"/>
      <x:c r="I580" s="18" t="str"/>
      <x:c r="J580" s="18" t="str"/>
      <x:c r="K580" s="18" t="str"/>
    </x:row>
    <x:row r="581">
      <x:c r="A581" s="18" t="str"/>
      <x:c r="B581" s="18" t="str"/>
      <x:c r="C581" s="18" t="str"/>
      <x:c r="D581" s="18" t="str"/>
      <x:c r="E581" s="18" t="str"/>
      <x:c r="F581" s="18" t="str"/>
      <x:c r="G581" s="18" t="str"/>
      <x:c r="H581" s="18" t="str"/>
      <x:c r="I581" s="18" t="str"/>
      <x:c r="J581" s="18" t="str"/>
      <x:c r="K581" s="18" t="str"/>
    </x:row>
    <x:row r="582">
      <x:c r="A582" s="18" t="str"/>
      <x:c r="B582" s="18" t="str"/>
      <x:c r="C582" s="18" t="str"/>
      <x:c r="D582" s="18" t="str"/>
      <x:c r="E582" s="18" t="str"/>
      <x:c r="F582" s="18" t="str"/>
      <x:c r="G582" s="18" t="str"/>
      <x:c r="H582" s="18" t="str"/>
      <x:c r="I582" s="18" t="str"/>
      <x:c r="J582" s="18" t="str"/>
      <x:c r="K582" s="18" t="str"/>
    </x:row>
    <x:row r="583">
      <x:c r="A583" s="18" t="str"/>
      <x:c r="B583" s="18" t="str"/>
      <x:c r="C583" s="18" t="str"/>
      <x:c r="D583" s="18" t="str"/>
      <x:c r="E583" s="18" t="str"/>
      <x:c r="F583" s="18" t="str"/>
      <x:c r="G583" s="18" t="str"/>
      <x:c r="H583" s="18" t="str"/>
      <x:c r="I583" s="18" t="str"/>
      <x:c r="J583" s="18" t="str"/>
      <x:c r="K583" s="18" t="str"/>
    </x:row>
    <x:row r="584">
      <x:c r="A584" s="18" t="str"/>
      <x:c r="B584" s="18" t="str"/>
      <x:c r="C584" s="18" t="str"/>
      <x:c r="D584" s="18" t="str"/>
      <x:c r="E584" s="18" t="str"/>
      <x:c r="F584" s="18" t="str"/>
      <x:c r="G584" s="18" t="str"/>
      <x:c r="H584" s="18" t="str"/>
      <x:c r="I584" s="18" t="str"/>
      <x:c r="J584" s="18" t="str"/>
      <x:c r="K584" s="18" t="str"/>
    </x:row>
    <x:row r="585">
      <x:c r="A585" s="18" t="str"/>
      <x:c r="B585" s="18" t="str"/>
      <x:c r="C585" s="18" t="str"/>
      <x:c r="D585" s="18" t="str"/>
      <x:c r="E585" s="18" t="str"/>
      <x:c r="F585" s="18" t="str"/>
      <x:c r="G585" s="18" t="str"/>
      <x:c r="H585" s="18" t="str"/>
      <x:c r="I585" s="18" t="str"/>
      <x:c r="J585" s="18" t="str"/>
      <x:c r="K585" s="18" t="str"/>
    </x:row>
    <x:row r="586">
      <x:c r="A586" s="18" t="str"/>
      <x:c r="B586" s="18" t="str"/>
      <x:c r="C586" s="18" t="str"/>
      <x:c r="D586" s="18" t="str"/>
      <x:c r="E586" s="18" t="str"/>
      <x:c r="F586" s="18" t="str"/>
      <x:c r="G586" s="18" t="str"/>
      <x:c r="H586" s="18" t="str"/>
      <x:c r="I586" s="18" t="str"/>
      <x:c r="J586" s="18" t="str"/>
      <x:c r="K586" s="18" t="str"/>
    </x:row>
    <x:row r="587">
      <x:c r="A587" s="18" t="str"/>
      <x:c r="B587" s="18" t="str"/>
      <x:c r="C587" s="18" t="str"/>
      <x:c r="D587" s="18" t="str"/>
      <x:c r="E587" s="18" t="str"/>
      <x:c r="F587" s="18" t="str"/>
      <x:c r="G587" s="18" t="str"/>
      <x:c r="H587" s="18" t="str"/>
      <x:c r="I587" s="18" t="str"/>
      <x:c r="J587" s="18" t="str"/>
      <x:c r="K587" s="18" t="str"/>
    </x:row>
    <x:row r="588">
      <x:c r="A588" s="18" t="str"/>
      <x:c r="B588" s="18" t="str"/>
      <x:c r="C588" s="18" t="str"/>
      <x:c r="D588" s="18" t="str"/>
      <x:c r="E588" s="18" t="str"/>
      <x:c r="F588" s="18" t="str"/>
      <x:c r="G588" s="18" t="str"/>
      <x:c r="H588" s="18" t="str"/>
      <x:c r="I588" s="18" t="str"/>
      <x:c r="J588" s="18" t="str"/>
      <x:c r="K588" s="18" t="str"/>
    </x:row>
    <x:row r="589">
      <x:c r="A589" s="18" t="str"/>
      <x:c r="B589" s="18" t="str"/>
      <x:c r="C589" s="18" t="str"/>
      <x:c r="D589" s="18" t="str"/>
      <x:c r="E589" s="18" t="str"/>
      <x:c r="F589" s="18" t="str"/>
      <x:c r="G589" s="18" t="str"/>
      <x:c r="H589" s="18" t="str"/>
      <x:c r="I589" s="18" t="str"/>
      <x:c r="J589" s="18" t="str"/>
      <x:c r="K589" s="18" t="str"/>
    </x:row>
    <x:row r="590">
      <x:c r="A590" s="18" t="str"/>
      <x:c r="B590" s="18" t="str"/>
      <x:c r="C590" s="18" t="str"/>
      <x:c r="D590" s="18" t="str"/>
      <x:c r="E590" s="18" t="str"/>
      <x:c r="F590" s="18" t="str"/>
      <x:c r="G590" s="18" t="str"/>
      <x:c r="H590" s="18" t="str"/>
      <x:c r="I590" s="18" t="str"/>
      <x:c r="J590" s="18" t="str"/>
      <x:c r="K590" s="18" t="str"/>
    </x:row>
    <x:row r="591">
      <x:c r="A591" s="18" t="str"/>
      <x:c r="B591" s="18" t="str"/>
      <x:c r="C591" s="18" t="str"/>
      <x:c r="D591" s="18" t="str"/>
      <x:c r="E591" s="18" t="str"/>
      <x:c r="F591" s="18" t="str"/>
      <x:c r="G591" s="18" t="str"/>
      <x:c r="H591" s="18" t="str"/>
      <x:c r="I591" s="18" t="str"/>
      <x:c r="J591" s="18" t="str"/>
      <x:c r="K591" s="18" t="str"/>
    </x:row>
    <x:row r="592">
      <x:c r="A592" s="18" t="str"/>
      <x:c r="B592" s="18" t="str"/>
      <x:c r="C592" s="18" t="str"/>
      <x:c r="D592" s="18" t="str"/>
      <x:c r="E592" s="18" t="str"/>
      <x:c r="F592" s="18" t="str"/>
      <x:c r="G592" s="18" t="str"/>
      <x:c r="H592" s="18" t="str"/>
      <x:c r="I592" s="18" t="str"/>
      <x:c r="J592" s="18" t="str"/>
      <x:c r="K592" s="18" t="str"/>
    </x:row>
    <x:row r="593">
      <x:c r="A593" s="18" t="str"/>
      <x:c r="B593" s="18" t="str"/>
      <x:c r="C593" s="18" t="str"/>
      <x:c r="D593" s="18" t="str"/>
      <x:c r="E593" s="18" t="str"/>
      <x:c r="F593" s="18" t="str"/>
      <x:c r="G593" s="18" t="str"/>
      <x:c r="H593" s="18" t="str"/>
      <x:c r="I593" s="18" t="str"/>
      <x:c r="J593" s="18" t="str"/>
      <x:c r="K593" s="18" t="str"/>
    </x:row>
    <x:row r="594">
      <x:c r="A594" s="18" t="str"/>
      <x:c r="B594" s="18" t="str"/>
      <x:c r="C594" s="18" t="str"/>
      <x:c r="D594" s="18" t="str"/>
      <x:c r="E594" s="18" t="str"/>
      <x:c r="F594" s="18" t="str"/>
      <x:c r="G594" s="18" t="str"/>
      <x:c r="H594" s="18" t="str"/>
      <x:c r="I594" s="18" t="str"/>
      <x:c r="J594" s="18" t="str"/>
      <x:c r="K594" s="18" t="str"/>
    </x:row>
    <x:row r="595">
      <x:c r="A595" s="18" t="str"/>
      <x:c r="B595" s="18" t="str"/>
      <x:c r="C595" s="18" t="str"/>
      <x:c r="D595" s="18" t="str"/>
      <x:c r="E595" s="18" t="str"/>
      <x:c r="F595" s="18" t="str"/>
      <x:c r="G595" s="18" t="str"/>
      <x:c r="H595" s="18" t="str"/>
      <x:c r="I595" s="18" t="str"/>
      <x:c r="J595" s="18" t="str"/>
      <x:c r="K595" s="18" t="str"/>
    </x:row>
    <x:row r="596">
      <x:c r="A596" s="18" t="str"/>
      <x:c r="B596" s="18" t="str"/>
      <x:c r="C596" s="18" t="str"/>
      <x:c r="D596" s="18" t="str"/>
      <x:c r="E596" s="18" t="str"/>
      <x:c r="F596" s="18" t="str"/>
      <x:c r="G596" s="18" t="str"/>
      <x:c r="H596" s="18" t="str"/>
      <x:c r="I596" s="18" t="str"/>
      <x:c r="J596" s="18" t="str"/>
      <x:c r="K596" s="18" t="str"/>
    </x:row>
    <x:row r="597">
      <x:c r="A597" s="18" t="str"/>
      <x:c r="B597" s="18" t="str"/>
      <x:c r="C597" s="18" t="str"/>
      <x:c r="D597" s="18" t="str"/>
      <x:c r="E597" s="18" t="str"/>
      <x:c r="F597" s="18" t="str"/>
      <x:c r="G597" s="18" t="str"/>
      <x:c r="H597" s="18" t="str"/>
      <x:c r="I597" s="18" t="str"/>
      <x:c r="J597" s="18" t="str"/>
      <x:c r="K597" s="18" t="str"/>
    </x:row>
    <x:row r="598">
      <x:c r="A598" s="18" t="str"/>
      <x:c r="B598" s="18" t="str"/>
      <x:c r="C598" s="18" t="str"/>
      <x:c r="D598" s="18" t="str"/>
      <x:c r="E598" s="18" t="str"/>
      <x:c r="F598" s="18" t="str"/>
      <x:c r="G598" s="18" t="str"/>
      <x:c r="H598" s="18" t="str"/>
      <x:c r="I598" s="18" t="str"/>
      <x:c r="J598" s="18" t="str"/>
      <x:c r="K598" s="18" t="str"/>
    </x:row>
    <x:row r="599">
      <x:c r="A599" s="18" t="str"/>
      <x:c r="B599" s="18" t="str"/>
      <x:c r="C599" s="18" t="str"/>
      <x:c r="D599" s="18" t="str"/>
      <x:c r="E599" s="18" t="str"/>
      <x:c r="F599" s="18" t="str"/>
      <x:c r="G599" s="18" t="str"/>
      <x:c r="H599" s="18" t="str"/>
      <x:c r="I599" s="18" t="str"/>
      <x:c r="J599" s="18" t="str"/>
      <x:c r="K599" s="18" t="str"/>
    </x:row>
    <x:row r="600">
      <x:c r="A600" s="18" t="str"/>
      <x:c r="B600" s="18" t="str"/>
      <x:c r="C600" s="18" t="str"/>
      <x:c r="D600" s="18" t="str"/>
      <x:c r="E600" s="18" t="str"/>
      <x:c r="F600" s="18" t="str"/>
      <x:c r="G600" s="18" t="str"/>
      <x:c r="H600" s="18" t="str"/>
      <x:c r="I600" s="18" t="str"/>
      <x:c r="J600" s="18" t="str"/>
      <x:c r="K600" s="18" t="str"/>
    </x:row>
    <x:row r="601">
      <x:c r="A601" s="18" t="str"/>
      <x:c r="B601" s="18" t="str"/>
      <x:c r="C601" s="18" t="str"/>
      <x:c r="D601" s="18" t="str"/>
      <x:c r="E601" s="18" t="str"/>
      <x:c r="F601" s="18" t="str"/>
      <x:c r="G601" s="18" t="str"/>
      <x:c r="H601" s="18" t="str"/>
      <x:c r="I601" s="18" t="str"/>
      <x:c r="J601" s="18" t="str"/>
      <x:c r="K601" s="18" t="str"/>
    </x:row>
    <x:row r="602">
      <x:c r="A602" s="18" t="str"/>
      <x:c r="B602" s="18" t="str"/>
      <x:c r="C602" s="18" t="str"/>
      <x:c r="D602" s="18" t="str"/>
      <x:c r="E602" s="18" t="str"/>
      <x:c r="F602" s="18" t="str"/>
      <x:c r="G602" s="18" t="str"/>
      <x:c r="H602" s="18" t="str"/>
      <x:c r="I602" s="18" t="str"/>
      <x:c r="J602" s="18" t="str"/>
      <x:c r="K602" s="18" t="str"/>
    </x:row>
    <x:row r="603">
      <x:c r="A603" s="18" t="str"/>
      <x:c r="B603" s="18" t="str"/>
      <x:c r="C603" s="18" t="str"/>
      <x:c r="D603" s="18" t="str"/>
      <x:c r="E603" s="18" t="str"/>
      <x:c r="F603" s="18" t="str"/>
      <x:c r="G603" s="18" t="str"/>
      <x:c r="H603" s="18" t="str"/>
      <x:c r="I603" s="18" t="str"/>
      <x:c r="J603" s="18" t="str"/>
      <x:c r="K603" s="18" t="str"/>
    </x:row>
  </x:sheetData>
  <x:mergeCells>
    <x:mergeCell ref="A1:K1"/>
    <x:mergeCell ref="A2:K2"/>
  </x:mergeCells>
  <x:conditionalFormatting sqref="K4:K603">
    <x:cfRule type="containsText" dxfId="5" priority="1" operator="containsText" text="Y"/>
  </x:conditionalFormatting>
  <x:dataValidations count="3">
    <x:dataValidation type="list" sqref="F4:F603">
      <x:formula1>"제조·개발,원재료·부품,콘텐츠 제작,유통,판매,브랜드·마케팅,플랫폼,투자·소유,행사 운영,산업 연관"</x:formula1>
    </x:dataValidation>
    <x:dataValidation type="list" sqref="H4:H603">
      <x:formula1>"direct,indirect"</x:formula1>
    </x:dataValidation>
    <x:dataValidation type="list" sqref="K4:K603">
      <x:formula1>"Y,"</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3" t="str">
        <x:v>TRZIP Code Lists | 조사 코드표</x:v>
      </x:c>
    </x:row>
    <x:row r="3">
      <x:c r="A3" s="9" t="str">
        <x:v>category</x:v>
      </x:c>
      <x:c r="B3" s="9" t="str">
        <x:v>source_type</x:v>
      </x:c>
      <x:c r="C3" s="9" t="str">
        <x:v>evidence_status</x:v>
      </x:c>
      <x:c r="D3" s="9" t="str">
        <x:v>candidate_status</x:v>
      </x:c>
      <x:c r="E3" s="9" t="str">
        <x:v>exclusion_reason</x:v>
      </x:c>
      <x:c r="F3" s="9" t="str">
        <x:v>role_category</x:v>
      </x:c>
      <x:c r="G3" s="9" t="str">
        <x:v>relation_grade</x:v>
      </x:c>
      <x:c r="H3" s="9" t="str">
        <x:v>period_flag</x:v>
      </x:c>
    </x:row>
    <x:row r="4">
      <x:c r="A4" s="11" t="str">
        <x:v>food</x:v>
      </x:c>
      <x:c r="B4" s="11" t="str">
        <x:v>news</x:v>
      </x:c>
      <x:c r="C4" s="11" t="str">
        <x:v>evidence_pending</x:v>
      </x:c>
      <x:c r="D4" s="11" t="str">
        <x:v>candidate</x:v>
      </x:c>
      <x:c r="E4" s="11" t="str">
        <x:v>정치</x:v>
      </x:c>
      <x:c r="F4" s="11" t="str">
        <x:v>제조·개발</x:v>
      </x:c>
      <x:c r="G4" s="11" t="str">
        <x:v>direct</x:v>
      </x:c>
      <x:c r="H4" s="11" t="str">
        <x:v>Y</x:v>
      </x:c>
    </x:row>
    <x:row r="5">
      <x:c r="A5" s="11" t="str">
        <x:v>content</x:v>
      </x:c>
      <x:c r="B5" s="11" t="str">
        <x:v>official</x:v>
      </x:c>
      <x:c r="C5" s="11" t="str">
        <x:v>evidence_ready</x:v>
      </x:c>
      <x:c r="D5" s="11" t="str">
        <x:v>excluded</x:v>
      </x:c>
      <x:c r="E5" s="11" t="str">
        <x:v>범죄</x:v>
      </x:c>
      <x:c r="F5" s="11" t="str">
        <x:v>원재료·부품</x:v>
      </x:c>
      <x:c r="G5" s="11" t="str">
        <x:v>indirect</x:v>
      </x:c>
      <x:c r="H5" s="11" t="str"/>
    </x:row>
    <x:row r="6">
      <x:c r="A6" s="11" t="str">
        <x:v>sports</x:v>
      </x:c>
      <x:c r="B6" s="11" t="str">
        <x:v>youtube</x:v>
      </x:c>
      <x:c r="C6" s="11" t="str"/>
      <x:c r="D6" s="11" t="str">
        <x:v>merged</x:v>
      </x:c>
      <x:c r="E6" s="11" t="str">
        <x:v>재난</x:v>
      </x:c>
      <x:c r="F6" s="11" t="str">
        <x:v>콘텐츠 제작</x:v>
      </x:c>
      <x:c r="G6" s="11" t="str"/>
      <x:c r="H6" s="11" t="str"/>
    </x:row>
    <x:row r="7">
      <x:c r="A7" s="11" t="str">
        <x:v>fashion_beauty_life</x:v>
      </x:c>
      <x:c r="B7" s="11" t="str">
        <x:v>naver_blog</x:v>
      </x:c>
      <x:c r="C7" s="11" t="str"/>
      <x:c r="D7" s="11" t="str"/>
      <x:c r="E7" s="11" t="str">
        <x:v>일반명사</x:v>
      </x:c>
      <x:c r="F7" s="11" t="str">
        <x:v>유통</x:v>
      </x:c>
      <x:c r="G7" s="11" t="str"/>
      <x:c r="H7" s="11" t="str"/>
    </x:row>
    <x:row r="8">
      <x:c r="A8" s="11" t="str">
        <x:v>culture_meme_challenge</x:v>
      </x:c>
      <x:c r="B8" s="11" t="str">
        <x:v>naver_cafe</x:v>
      </x:c>
      <x:c r="C8" s="11" t="str"/>
      <x:c r="D8" s="11" t="str"/>
      <x:c r="E8" s="11" t="str">
        <x:v>인물명 단독</x:v>
      </x:c>
      <x:c r="F8" s="11" t="str">
        <x:v>판매</x:v>
      </x:c>
      <x:c r="G8" s="11" t="str"/>
      <x:c r="H8" s="11" t="str"/>
    </x:row>
    <x:row r="9">
      <x:c r="A9" s="11" t="str">
        <x:v>product_brand</x:v>
      </x:c>
      <x:c r="B9" s="11" t="str">
        <x:v>google_trends</x:v>
      </x:c>
      <x:c r="C9" s="11" t="str"/>
      <x:c r="D9" s="11" t="str"/>
      <x:c r="E9" s="11" t="str">
        <x:v>근거 부족</x:v>
      </x:c>
      <x:c r="F9" s="11" t="str">
        <x:v>브랜드·마케팅</x:v>
      </x:c>
      <x:c r="G9" s="11" t="str"/>
      <x:c r="H9" s="11" t="str"/>
    </x:row>
    <x:row r="10">
      <x:c r="A10" s="11" t="str">
        <x:v>travel</x:v>
      </x:c>
      <x:c r="B10" s="11" t="str">
        <x:v>community</x:v>
      </x:c>
      <x:c r="C10" s="11" t="str"/>
      <x:c r="D10" s="11" t="str"/>
      <x:c r="E10" s="11" t="str">
        <x:v>광고성</x:v>
      </x:c>
      <x:c r="F10" s="11" t="str">
        <x:v>플랫폼</x:v>
      </x:c>
      <x:c r="G10" s="11" t="str"/>
      <x:c r="H10" s="11" t="str"/>
    </x:row>
    <x:row r="11">
      <x:c r="A11" s="11" t="str"/>
      <x:c r="B11" s="11" t="str">
        <x:v>other</x:v>
      </x:c>
      <x:c r="C11" s="11" t="str"/>
      <x:c r="D11" s="11" t="str"/>
      <x:c r="E11" s="11" t="str">
        <x:v>중복 병합</x:v>
      </x:c>
      <x:c r="F11" s="11" t="str">
        <x:v>투자·소유</x:v>
      </x:c>
      <x:c r="G11" s="11" t="str"/>
      <x:c r="H11" s="11" t="str"/>
    </x:row>
    <x:row r="12">
      <x:c r="A12" s="11" t="str"/>
      <x:c r="B12" s="11" t="str"/>
      <x:c r="C12" s="11" t="str"/>
      <x:c r="D12" s="11" t="str"/>
      <x:c r="E12" s="11" t="str"/>
      <x:c r="F12" s="11" t="str">
        <x:v>행사 운영</x:v>
      </x:c>
      <x:c r="G12" s="11" t="str"/>
      <x:c r="H12" s="11" t="str"/>
    </x:row>
    <x:row r="13">
      <x:c r="A13" s="11" t="str"/>
      <x:c r="B13" s="11" t="str"/>
      <x:c r="C13" s="11" t="str"/>
      <x:c r="D13" s="11" t="str"/>
      <x:c r="E13" s="11" t="str"/>
      <x:c r="F13" s="11" t="str">
        <x:v>산업 연관</x:v>
      </x:c>
      <x:c r="G13" s="11" t="str"/>
      <x:c r="H13" s="11" t="str"/>
    </x:row>
  </x:sheetData>
  <x:mergeCells>
    <x:mergeCell ref="A1:H1"/>
  </x:mergeCells>
  <x:pageMargins left="0.7" right="0.7" top="0.75" bottom="0.75" header="0.3" footer="0.3"/>
</x:worksheet>
</file>